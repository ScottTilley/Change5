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tellites3\Re-entry\Sightings - natural\2020 12 16 UTC (20087A)\Trajectory\v5\"/>
    </mc:Choice>
  </mc:AlternateContent>
  <xr:revisionPtr revIDLastSave="0" documentId="13_ncr:1_{E7007FC4-2E22-457D-AA7A-D09C635CF6D9}" xr6:coauthVersionLast="45" xr6:coauthVersionMax="45" xr10:uidLastSave="{00000000-0000-0000-0000-000000000000}"/>
  <bookViews>
    <workbookView xWindow="-108" yWindow="-108" windowWidth="23256" windowHeight="13176" tabRatio="865" xr2:uid="{00000000-000D-0000-FFFF-FFFF00000000}"/>
  </bookViews>
  <sheets>
    <sheet name="Compute Ephemeris" sheetId="78" r:id="rId1"/>
    <sheet name="Const" sheetId="17" state="hidden" r:id="rId2"/>
    <sheet name="Sites" sheetId="94" r:id="rId3"/>
    <sheet name="Chart1" sheetId="82" r:id="rId4"/>
    <sheet name="Chart1a" sheetId="89" state="hidden" r:id="rId5"/>
    <sheet name="Chart2" sheetId="83" r:id="rId6"/>
    <sheet name="Chart3" sheetId="84" r:id="rId7"/>
    <sheet name="Chart4" sheetId="86" r:id="rId8"/>
    <sheet name="Chart5" sheetId="87" r:id="rId9"/>
    <sheet name="Chart6" sheetId="88" r:id="rId10"/>
    <sheet name="Chart7" sheetId="90" r:id="rId11"/>
    <sheet name="Chart8" sheetId="91" r:id="rId12"/>
    <sheet name="Chart9" sheetId="92" r:id="rId13"/>
    <sheet name="Chart10" sheetId="93" r:id="rId14"/>
  </sheets>
  <functionGroups builtInGroupCount="19"/>
  <definedNames>
    <definedName name="_xlnm.Print_Area" localSheetId="0">'Compute Ephemeris'!$A:$M</definedName>
    <definedName name="_xlnm.Print_Titles" localSheetId="0">'Compute Ephemeris'!$1:$5</definedName>
  </definedNames>
  <calcPr calcId="191029" refMode="R1C1" iterate="1" iterateCount="500" iterateDelta="1E-1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78" l="1"/>
  <c r="O4" i="78"/>
  <c r="O3" i="78"/>
  <c r="O2" i="78"/>
  <c r="A1" i="78" l="1"/>
  <c r="AA83" i="78" l="1"/>
  <c r="AA84" i="78"/>
  <c r="AA85" i="78"/>
  <c r="AA86" i="78"/>
  <c r="AA87" i="78"/>
  <c r="AA88" i="78"/>
  <c r="AA89" i="78"/>
  <c r="AA90" i="78"/>
  <c r="AA91" i="78"/>
  <c r="A91" i="78"/>
  <c r="A90" i="78"/>
  <c r="A89" i="78"/>
  <c r="A88" i="78"/>
  <c r="A87" i="78"/>
  <c r="A86" i="78"/>
  <c r="A85" i="78"/>
  <c r="A84" i="78"/>
  <c r="A83" i="78"/>
  <c r="D90" i="78"/>
  <c r="B84" i="78"/>
  <c r="D89" i="78"/>
  <c r="E90" i="78"/>
  <c r="C85" i="78"/>
  <c r="D88" i="78"/>
  <c r="C87" i="78"/>
  <c r="B86" i="78"/>
  <c r="D86" i="78"/>
  <c r="E84" i="78"/>
  <c r="C83" i="78"/>
  <c r="C88" i="78"/>
  <c r="D84" i="78"/>
  <c r="B88" i="78"/>
  <c r="B87" i="78"/>
  <c r="B83" i="78"/>
  <c r="B90" i="78"/>
  <c r="D87" i="78"/>
  <c r="D83" i="78"/>
  <c r="E85" i="78"/>
  <c r="E83" i="78"/>
  <c r="E88" i="78"/>
  <c r="E91" i="78"/>
  <c r="D91" i="78"/>
  <c r="C90" i="78"/>
  <c r="E86" i="78"/>
  <c r="E89" i="78"/>
  <c r="C91" i="78"/>
  <c r="C84" i="78"/>
  <c r="E87" i="78"/>
  <c r="B85" i="78"/>
  <c r="D85" i="78"/>
  <c r="C86" i="78"/>
  <c r="B91" i="78"/>
  <c r="C89" i="78"/>
  <c r="B89" i="78"/>
  <c r="AF84" i="78" l="1"/>
  <c r="AE85" i="78"/>
  <c r="AG84" i="78"/>
  <c r="AF90" i="78"/>
  <c r="AE91" i="78"/>
  <c r="AF85" i="78"/>
  <c r="AG86" i="78"/>
  <c r="AF87" i="78"/>
  <c r="AF88" i="78"/>
  <c r="AF86" i="78"/>
  <c r="AE83" i="78"/>
  <c r="AG88" i="78"/>
  <c r="AE89" i="78"/>
  <c r="AF91" i="78"/>
  <c r="AE86" i="78"/>
  <c r="AF83" i="78"/>
  <c r="AF89" i="78"/>
  <c r="AG83" i="78"/>
  <c r="AE84" i="78"/>
  <c r="AG89" i="78"/>
  <c r="AE90" i="78"/>
  <c r="AG90" i="78"/>
  <c r="AG85" i="78"/>
  <c r="AG91" i="78"/>
  <c r="AE87" i="78"/>
  <c r="AG87" i="78"/>
  <c r="AE88" i="78"/>
  <c r="O85" i="78"/>
  <c r="F89" i="78"/>
  <c r="F83" i="78"/>
  <c r="O91" i="78"/>
  <c r="F90" i="78"/>
  <c r="F91" i="78"/>
  <c r="F87" i="78"/>
  <c r="F86" i="78"/>
  <c r="O83" i="78"/>
  <c r="O89" i="78"/>
  <c r="F84" i="78"/>
  <c r="O86" i="78"/>
  <c r="F88" i="78"/>
  <c r="O84" i="78"/>
  <c r="O90" i="78"/>
  <c r="F85" i="78"/>
  <c r="O87" i="78"/>
  <c r="O88" i="78"/>
  <c r="AA82" i="78"/>
  <c r="AA81" i="78"/>
  <c r="AA80" i="78"/>
  <c r="AA79" i="78"/>
  <c r="AA78" i="78"/>
  <c r="AA77" i="78"/>
  <c r="AA76" i="78"/>
  <c r="AA75" i="78"/>
  <c r="AA74" i="78"/>
  <c r="AA73" i="78"/>
  <c r="AA72" i="78"/>
  <c r="AA71" i="78"/>
  <c r="AA70" i="78"/>
  <c r="AA69" i="78"/>
  <c r="AA68" i="78"/>
  <c r="AA67" i="78"/>
  <c r="AA66" i="78"/>
  <c r="AA65" i="78"/>
  <c r="AA64" i="78"/>
  <c r="AA63" i="78"/>
  <c r="AA62" i="78"/>
  <c r="AA61" i="78"/>
  <c r="AA60" i="78"/>
  <c r="AA59" i="78"/>
  <c r="AA58" i="78"/>
  <c r="AA57" i="78"/>
  <c r="AA56" i="78"/>
  <c r="AA55" i="78"/>
  <c r="AA54" i="78"/>
  <c r="AA53" i="78"/>
  <c r="AA52" i="78"/>
  <c r="AA51" i="78"/>
  <c r="AA50" i="78"/>
  <c r="AA49" i="78"/>
  <c r="AA48" i="78"/>
  <c r="AA47" i="78"/>
  <c r="AA46" i="78"/>
  <c r="AA45" i="78"/>
  <c r="AA44" i="78"/>
  <c r="AA43" i="78"/>
  <c r="AA42" i="78"/>
  <c r="AA41" i="78"/>
  <c r="AA40" i="78"/>
  <c r="AA39" i="78"/>
  <c r="AA38" i="78"/>
  <c r="AA37" i="78"/>
  <c r="AA36" i="78"/>
  <c r="AA35" i="78"/>
  <c r="AA34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C43" i="78"/>
  <c r="D55" i="78"/>
  <c r="D48" i="78"/>
  <c r="C42" i="78"/>
  <c r="C59" i="78"/>
  <c r="E63" i="78"/>
  <c r="B80" i="78"/>
  <c r="E81" i="78"/>
  <c r="D70" i="78"/>
  <c r="D63" i="78"/>
  <c r="E74" i="78"/>
  <c r="C35" i="78"/>
  <c r="E60" i="78"/>
  <c r="E72" i="78"/>
  <c r="B35" i="78"/>
  <c r="B74" i="78"/>
  <c r="C37" i="78"/>
  <c r="E51" i="78"/>
  <c r="C82" i="78"/>
  <c r="B50" i="78"/>
  <c r="C76" i="78"/>
  <c r="D36" i="78"/>
  <c r="D40" i="78"/>
  <c r="C62" i="78"/>
  <c r="D50" i="78"/>
  <c r="AC91" i="78"/>
  <c r="B73" i="78"/>
  <c r="B56" i="78"/>
  <c r="B63" i="78"/>
  <c r="E56" i="78"/>
  <c r="B66" i="78"/>
  <c r="B49" i="78"/>
  <c r="E54" i="78"/>
  <c r="C39" i="78"/>
  <c r="B53" i="78"/>
  <c r="C57" i="78"/>
  <c r="D51" i="78"/>
  <c r="E37" i="78"/>
  <c r="B62" i="78"/>
  <c r="B48" i="78"/>
  <c r="D68" i="78"/>
  <c r="D34" i="78"/>
  <c r="E73" i="78"/>
  <c r="D71" i="78"/>
  <c r="D57" i="78"/>
  <c r="E58" i="78"/>
  <c r="E49" i="78"/>
  <c r="C75" i="78"/>
  <c r="C55" i="78"/>
  <c r="B37" i="78"/>
  <c r="C64" i="78"/>
  <c r="E42" i="78"/>
  <c r="C63" i="78"/>
  <c r="C36" i="78"/>
  <c r="E66" i="78"/>
  <c r="D81" i="78"/>
  <c r="D60" i="78"/>
  <c r="D43" i="78"/>
  <c r="E57" i="78"/>
  <c r="AC88" i="78"/>
  <c r="D53" i="78"/>
  <c r="D49" i="78"/>
  <c r="E76" i="78"/>
  <c r="D66" i="78"/>
  <c r="E44" i="78"/>
  <c r="D82" i="78"/>
  <c r="B77" i="78"/>
  <c r="D73" i="78"/>
  <c r="E82" i="78"/>
  <c r="B46" i="78"/>
  <c r="D79" i="78"/>
  <c r="C78" i="78"/>
  <c r="B58" i="78"/>
  <c r="C46" i="78"/>
  <c r="D46" i="78"/>
  <c r="B78" i="78"/>
  <c r="E61" i="78"/>
  <c r="E55" i="78"/>
  <c r="B34" i="78"/>
  <c r="B52" i="78"/>
  <c r="C71" i="78"/>
  <c r="D77" i="78"/>
  <c r="B79" i="78"/>
  <c r="B41" i="78"/>
  <c r="B82" i="78"/>
  <c r="E71" i="78"/>
  <c r="E70" i="78"/>
  <c r="C74" i="78"/>
  <c r="D65" i="78"/>
  <c r="D52" i="78"/>
  <c r="C73" i="78"/>
  <c r="AC86" i="78"/>
  <c r="B61" i="78"/>
  <c r="B81" i="78"/>
  <c r="B51" i="78"/>
  <c r="C65" i="78"/>
  <c r="E48" i="78"/>
  <c r="C34" i="78"/>
  <c r="B40" i="78"/>
  <c r="B43" i="78"/>
  <c r="C72" i="78"/>
  <c r="E35" i="78"/>
  <c r="B70" i="78"/>
  <c r="B45" i="78"/>
  <c r="D38" i="78"/>
  <c r="D59" i="78"/>
  <c r="C53" i="78"/>
  <c r="D45" i="78"/>
  <c r="D78" i="78"/>
  <c r="C52" i="78"/>
  <c r="C44" i="78"/>
  <c r="B64" i="78"/>
  <c r="E68" i="78"/>
  <c r="C41" i="78"/>
  <c r="D42" i="78"/>
  <c r="E41" i="78"/>
  <c r="C80" i="78"/>
  <c r="E47" i="78"/>
  <c r="B57" i="78"/>
  <c r="B71" i="78"/>
  <c r="E45" i="78"/>
  <c r="AC89" i="78"/>
  <c r="C40" i="78"/>
  <c r="B76" i="78"/>
  <c r="D62" i="78"/>
  <c r="AC90" i="78"/>
  <c r="B72" i="78"/>
  <c r="C56" i="78"/>
  <c r="D72" i="78"/>
  <c r="AC83" i="78"/>
  <c r="B44" i="78"/>
  <c r="B59" i="78"/>
  <c r="B55" i="78"/>
  <c r="D69" i="78"/>
  <c r="E59" i="78"/>
  <c r="B69" i="78"/>
  <c r="D35" i="78"/>
  <c r="E38" i="78"/>
  <c r="D56" i="78"/>
  <c r="B75" i="78"/>
  <c r="C38" i="78"/>
  <c r="B60" i="78"/>
  <c r="B36" i="78"/>
  <c r="E34" i="78"/>
  <c r="D75" i="78"/>
  <c r="E64" i="78"/>
  <c r="D80" i="78"/>
  <c r="E53" i="78"/>
  <c r="B39" i="78"/>
  <c r="B67" i="78"/>
  <c r="E65" i="78"/>
  <c r="C48" i="78"/>
  <c r="D76" i="78"/>
  <c r="D67" i="78"/>
  <c r="C45" i="78"/>
  <c r="D64" i="78"/>
  <c r="D41" i="78"/>
  <c r="C77" i="78"/>
  <c r="E79" i="78"/>
  <c r="D39" i="78"/>
  <c r="E43" i="78"/>
  <c r="C50" i="78"/>
  <c r="C66" i="78"/>
  <c r="E62" i="78"/>
  <c r="AC84" i="78"/>
  <c r="D74" i="78"/>
  <c r="C70" i="78"/>
  <c r="B47" i="78"/>
  <c r="C51" i="78"/>
  <c r="C47" i="78"/>
  <c r="C54" i="78"/>
  <c r="E75" i="78"/>
  <c r="E46" i="78"/>
  <c r="C49" i="78"/>
  <c r="E50" i="78"/>
  <c r="E67" i="78"/>
  <c r="C60" i="78"/>
  <c r="B38" i="78"/>
  <c r="E39" i="78"/>
  <c r="AC85" i="78"/>
  <c r="B68" i="78"/>
  <c r="B54" i="78"/>
  <c r="E52" i="78"/>
  <c r="E36" i="78"/>
  <c r="D58" i="78"/>
  <c r="B42" i="78"/>
  <c r="C79" i="78"/>
  <c r="C81" i="78"/>
  <c r="C67" i="78"/>
  <c r="D47" i="78"/>
  <c r="C69" i="78"/>
  <c r="AC87" i="78"/>
  <c r="E69" i="78"/>
  <c r="D44" i="78"/>
  <c r="E77" i="78"/>
  <c r="B65" i="78"/>
  <c r="D37" i="78"/>
  <c r="E40" i="78"/>
  <c r="E78" i="78"/>
  <c r="D61" i="78"/>
  <c r="D54" i="78"/>
  <c r="C58" i="78"/>
  <c r="C68" i="78"/>
  <c r="C61" i="78"/>
  <c r="E80" i="78"/>
  <c r="AH83" i="78" l="1"/>
  <c r="AB91" i="78"/>
  <c r="AB85" i="78"/>
  <c r="AB86" i="78"/>
  <c r="AB87" i="78"/>
  <c r="AB88" i="78"/>
  <c r="AB89" i="78"/>
  <c r="AB90" i="78"/>
  <c r="AB84" i="78"/>
  <c r="AH84" i="78"/>
  <c r="AH87" i="78"/>
  <c r="AH88" i="78"/>
  <c r="AH89" i="78"/>
  <c r="AH86" i="78"/>
  <c r="AH90" i="78"/>
  <c r="AH91" i="78"/>
  <c r="AH85" i="78"/>
  <c r="AG63" i="78"/>
  <c r="AG54" i="78"/>
  <c r="AG76" i="78"/>
  <c r="AG55" i="78"/>
  <c r="AE75" i="78"/>
  <c r="AE71" i="78"/>
  <c r="AG60" i="78"/>
  <c r="AE72" i="78"/>
  <c r="AG72" i="78"/>
  <c r="AE81" i="78"/>
  <c r="AG64" i="78"/>
  <c r="AE62" i="78"/>
  <c r="AG50" i="78"/>
  <c r="AG66" i="78"/>
  <c r="AE66" i="78"/>
  <c r="AG52" i="78"/>
  <c r="AG45" i="78"/>
  <c r="AG59" i="78"/>
  <c r="AG77" i="78"/>
  <c r="AE56" i="78"/>
  <c r="AE53" i="78"/>
  <c r="AG61" i="78"/>
  <c r="AE45" i="78"/>
  <c r="AG42" i="78"/>
  <c r="AE78" i="78"/>
  <c r="AE48" i="78"/>
  <c r="AG47" i="78"/>
  <c r="AE64" i="78"/>
  <c r="AG67" i="78"/>
  <c r="AG53" i="78"/>
  <c r="AE34" i="78"/>
  <c r="AE70" i="78"/>
  <c r="AE35" i="78"/>
  <c r="AE55" i="78"/>
  <c r="AE51" i="78"/>
  <c r="AE73" i="78"/>
  <c r="AG69" i="78"/>
  <c r="AE47" i="78"/>
  <c r="AE67" i="78"/>
  <c r="AE68" i="78"/>
  <c r="AE37" i="78"/>
  <c r="AG56" i="78"/>
  <c r="AG65" i="78"/>
  <c r="AG58" i="78"/>
  <c r="AG37" i="78"/>
  <c r="AG73" i="78"/>
  <c r="AE43" i="78"/>
  <c r="AE57" i="78"/>
  <c r="AE49" i="78"/>
  <c r="AG39" i="78"/>
  <c r="AG75" i="78"/>
  <c r="AG43" i="78"/>
  <c r="AG34" i="78"/>
  <c r="AE59" i="78"/>
  <c r="AE38" i="78"/>
  <c r="AE74" i="78"/>
  <c r="AG48" i="78"/>
  <c r="AG62" i="78"/>
  <c r="AG78" i="78"/>
  <c r="AE40" i="78"/>
  <c r="AE76" i="78"/>
  <c r="AG81" i="78"/>
  <c r="AE82" i="78"/>
  <c r="AG79" i="78"/>
  <c r="AE65" i="78"/>
  <c r="AE80" i="78"/>
  <c r="AG68" i="78"/>
  <c r="AE46" i="78"/>
  <c r="AE77" i="78"/>
  <c r="AG49" i="78"/>
  <c r="AE60" i="78"/>
  <c r="AE63" i="78"/>
  <c r="AE44" i="78"/>
  <c r="AE61" i="78"/>
  <c r="AE42" i="78"/>
  <c r="AG46" i="78"/>
  <c r="AG41" i="78"/>
  <c r="AE79" i="78"/>
  <c r="AE69" i="78"/>
  <c r="AG51" i="78"/>
  <c r="AE41" i="78"/>
  <c r="AG40" i="78"/>
  <c r="AE50" i="78"/>
  <c r="AE54" i="78"/>
  <c r="AG38" i="78"/>
  <c r="AG74" i="78"/>
  <c r="AG71" i="78"/>
  <c r="AE52" i="78"/>
  <c r="AG57" i="78"/>
  <c r="AG70" i="78"/>
  <c r="AE36" i="78"/>
  <c r="AG82" i="78"/>
  <c r="AE39" i="78"/>
  <c r="AG35" i="78"/>
  <c r="AG44" i="78"/>
  <c r="AG80" i="78"/>
  <c r="AG36" i="78"/>
  <c r="AE58" i="78"/>
  <c r="AF50" i="78"/>
  <c r="AF39" i="78"/>
  <c r="AF51" i="78"/>
  <c r="AF63" i="78"/>
  <c r="AF75" i="78"/>
  <c r="AF53" i="78"/>
  <c r="AF49" i="78"/>
  <c r="AF74" i="78"/>
  <c r="AF78" i="78"/>
  <c r="AF76" i="78"/>
  <c r="AF82" i="78"/>
  <c r="AF46" i="78"/>
  <c r="AF59" i="78"/>
  <c r="AF55" i="78"/>
  <c r="AF65" i="78"/>
  <c r="AF38" i="78"/>
  <c r="AF62" i="78"/>
  <c r="AF43" i="78"/>
  <c r="AF77" i="78"/>
  <c r="AF72" i="78"/>
  <c r="AF36" i="78"/>
  <c r="AF61" i="78"/>
  <c r="AF71" i="78"/>
  <c r="AF67" i="78"/>
  <c r="AF48" i="78"/>
  <c r="AF44" i="78"/>
  <c r="AF56" i="78"/>
  <c r="AF68" i="78"/>
  <c r="AF80" i="78"/>
  <c r="AF41" i="78"/>
  <c r="AF79" i="78"/>
  <c r="AF57" i="78"/>
  <c r="AF81" i="78"/>
  <c r="AF40" i="78"/>
  <c r="AF64" i="78"/>
  <c r="AF73" i="78"/>
  <c r="AF60" i="78"/>
  <c r="AF52" i="78"/>
  <c r="AH52" i="78" s="1"/>
  <c r="AF42" i="78"/>
  <c r="AF45" i="78"/>
  <c r="AF69" i="78"/>
  <c r="AF58" i="78"/>
  <c r="AF34" i="78"/>
  <c r="AF54" i="78"/>
  <c r="AF35" i="78"/>
  <c r="AF66" i="78"/>
  <c r="AF70" i="78"/>
  <c r="AF37" i="78"/>
  <c r="AF47" i="78"/>
  <c r="O77" i="78"/>
  <c r="O41" i="78"/>
  <c r="O71" i="78"/>
  <c r="O53" i="78"/>
  <c r="O35" i="78"/>
  <c r="O47" i="78"/>
  <c r="O59" i="78"/>
  <c r="O65" i="78"/>
  <c r="O72" i="78"/>
  <c r="O78" i="78"/>
  <c r="O55" i="78"/>
  <c r="O67" i="78"/>
  <c r="O38" i="78"/>
  <c r="O44" i="78"/>
  <c r="O50" i="78"/>
  <c r="O56" i="78"/>
  <c r="O62" i="78"/>
  <c r="O68" i="78"/>
  <c r="O74" i="78"/>
  <c r="O80" i="78"/>
  <c r="O54" i="78"/>
  <c r="O48" i="78"/>
  <c r="O66" i="78"/>
  <c r="O37" i="78"/>
  <c r="O43" i="78"/>
  <c r="O61" i="78"/>
  <c r="O79" i="78"/>
  <c r="O39" i="78"/>
  <c r="O45" i="78"/>
  <c r="O51" i="78"/>
  <c r="O57" i="78"/>
  <c r="O63" i="78"/>
  <c r="O69" i="78"/>
  <c r="O75" i="78"/>
  <c r="O81" i="78"/>
  <c r="O49" i="78"/>
  <c r="O36" i="78"/>
  <c r="O42" i="78"/>
  <c r="O60" i="78"/>
  <c r="O73" i="78"/>
  <c r="O34" i="78"/>
  <c r="O40" i="78"/>
  <c r="O46" i="78"/>
  <c r="O52" i="78"/>
  <c r="O58" i="78"/>
  <c r="O64" i="78"/>
  <c r="O70" i="78"/>
  <c r="O76" i="78"/>
  <c r="O82" i="78"/>
  <c r="F69" i="78"/>
  <c r="F57" i="78"/>
  <c r="F54" i="78"/>
  <c r="F53" i="78"/>
  <c r="F38" i="78"/>
  <c r="F35" i="78"/>
  <c r="F74" i="78"/>
  <c r="F41" i="78"/>
  <c r="F80" i="78"/>
  <c r="F42" i="78"/>
  <c r="F39" i="78"/>
  <c r="F78" i="78"/>
  <c r="F36" i="78"/>
  <c r="F44" i="78"/>
  <c r="F45" i="78"/>
  <c r="F51" i="78"/>
  <c r="F48" i="78"/>
  <c r="F50" i="78"/>
  <c r="F61" i="78"/>
  <c r="F75" i="78"/>
  <c r="F81" i="78"/>
  <c r="F63" i="78"/>
  <c r="F37" i="78"/>
  <c r="F64" i="78"/>
  <c r="F56" i="78"/>
  <c r="F66" i="78"/>
  <c r="F55" i="78"/>
  <c r="F47" i="78"/>
  <c r="F71" i="78"/>
  <c r="F52" i="78"/>
  <c r="F46" i="78"/>
  <c r="F43" i="78"/>
  <c r="F70" i="78"/>
  <c r="F62" i="78"/>
  <c r="F72" i="78"/>
  <c r="F60" i="78"/>
  <c r="F49" i="78"/>
  <c r="F82" i="78"/>
  <c r="F68" i="78"/>
  <c r="F58" i="78"/>
  <c r="F79" i="78"/>
  <c r="F76" i="78"/>
  <c r="F65" i="78"/>
  <c r="F67" i="78"/>
  <c r="F59" i="78"/>
  <c r="F40" i="78"/>
  <c r="F77" i="78"/>
  <c r="F73" i="78"/>
  <c r="F34" i="78"/>
  <c r="AC55" i="78"/>
  <c r="AC81" i="78"/>
  <c r="AC49" i="78"/>
  <c r="AC78" i="78"/>
  <c r="AC73" i="78"/>
  <c r="AC67" i="78"/>
  <c r="AC50" i="78"/>
  <c r="AC44" i="78"/>
  <c r="AC82" i="78"/>
  <c r="AC69" i="78"/>
  <c r="AC80" i="78"/>
  <c r="AC39" i="78"/>
  <c r="AC54" i="78"/>
  <c r="AC51" i="78"/>
  <c r="AC72" i="78"/>
  <c r="AC37" i="78"/>
  <c r="AC56" i="78"/>
  <c r="AC71" i="78"/>
  <c r="AC47" i="78"/>
  <c r="AC70" i="78"/>
  <c r="AC40" i="78"/>
  <c r="AC36" i="78"/>
  <c r="AC61" i="78"/>
  <c r="AC75" i="78"/>
  <c r="AC41" i="78"/>
  <c r="AC57" i="78"/>
  <c r="AC38" i="78"/>
  <c r="AC34" i="78"/>
  <c r="AC45" i="78"/>
  <c r="AC64" i="78"/>
  <c r="AC77" i="78"/>
  <c r="AC79" i="78"/>
  <c r="AC63" i="78"/>
  <c r="AC59" i="78"/>
  <c r="AC48" i="78"/>
  <c r="AC60" i="78"/>
  <c r="AC65" i="78"/>
  <c r="AC42" i="78"/>
  <c r="AC52" i="78"/>
  <c r="AC74" i="78"/>
  <c r="AC43" i="78"/>
  <c r="AC58" i="78"/>
  <c r="AC62" i="78"/>
  <c r="AC46" i="78"/>
  <c r="AC53" i="78"/>
  <c r="AC35" i="78"/>
  <c r="AC76" i="78"/>
  <c r="AC66" i="78"/>
  <c r="AC68" i="78"/>
  <c r="AH47" i="78" l="1"/>
  <c r="AH77" i="78"/>
  <c r="AH40" i="78"/>
  <c r="AH81" i="78"/>
  <c r="AH78" i="78"/>
  <c r="AH79" i="78"/>
  <c r="AH61" i="78"/>
  <c r="AH69" i="78"/>
  <c r="AH59" i="78"/>
  <c r="AB75" i="78"/>
  <c r="AB67" i="78"/>
  <c r="AB82" i="78"/>
  <c r="AB83" i="78"/>
  <c r="AH37" i="78"/>
  <c r="AH67" i="78"/>
  <c r="AH66" i="78"/>
  <c r="AH76" i="78"/>
  <c r="AH35" i="78"/>
  <c r="AH36" i="78"/>
  <c r="AB78" i="78"/>
  <c r="AB41" i="78"/>
  <c r="AB42" i="78"/>
  <c r="AB37" i="78"/>
  <c r="AB47" i="78"/>
  <c r="AB81" i="78"/>
  <c r="AB63" i="78"/>
  <c r="AB68" i="78"/>
  <c r="AB77" i="78"/>
  <c r="AB76" i="78"/>
  <c r="AB57" i="78"/>
  <c r="AB49" i="78"/>
  <c r="AB48" i="78"/>
  <c r="AB50" i="78"/>
  <c r="AB66" i="78"/>
  <c r="AB65" i="78"/>
  <c r="AB62" i="78"/>
  <c r="AB61" i="78"/>
  <c r="AB60" i="78"/>
  <c r="AB39" i="78"/>
  <c r="AB40" i="78"/>
  <c r="AB59" i="78"/>
  <c r="AB71" i="78"/>
  <c r="AB72" i="78"/>
  <c r="AB55" i="78"/>
  <c r="AB56" i="78"/>
  <c r="AB38" i="78"/>
  <c r="AB80" i="78"/>
  <c r="AB79" i="78"/>
  <c r="AB43" i="78"/>
  <c r="AB44" i="78"/>
  <c r="AB70" i="78"/>
  <c r="AB69" i="78"/>
  <c r="AB45" i="78"/>
  <c r="AB46" i="78"/>
  <c r="AB51" i="78"/>
  <c r="AB52" i="78"/>
  <c r="AB54" i="78"/>
  <c r="AB53" i="78"/>
  <c r="AB64" i="78"/>
  <c r="AB58" i="78"/>
  <c r="AB35" i="78"/>
  <c r="AB36" i="78"/>
  <c r="AB74" i="78"/>
  <c r="AB73" i="78"/>
  <c r="AH50" i="78"/>
  <c r="AH49" i="78"/>
  <c r="AH58" i="78"/>
  <c r="AH41" i="78"/>
  <c r="AH43" i="78"/>
  <c r="AH53" i="78"/>
  <c r="AH75" i="78"/>
  <c r="AH65" i="78"/>
  <c r="AH55" i="78"/>
  <c r="AH39" i="78"/>
  <c r="AH48" i="78"/>
  <c r="AH71" i="78"/>
  <c r="AH54" i="78"/>
  <c r="AH57" i="78"/>
  <c r="AH72" i="78"/>
  <c r="AH74" i="78"/>
  <c r="AH34" i="78"/>
  <c r="AH62" i="78"/>
  <c r="AH45" i="78"/>
  <c r="AH68" i="78"/>
  <c r="AH38" i="78"/>
  <c r="AH63" i="78"/>
  <c r="AH42" i="78"/>
  <c r="AH56" i="78"/>
  <c r="AH51" i="78"/>
  <c r="AH44" i="78"/>
  <c r="AH80" i="78"/>
  <c r="AH60" i="78"/>
  <c r="AH73" i="78"/>
  <c r="AH46" i="78"/>
  <c r="AH70" i="78"/>
  <c r="AH64" i="78"/>
  <c r="AH82" i="78"/>
  <c r="A33" i="78" l="1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A9" i="78" l="1"/>
  <c r="AA7" i="78"/>
  <c r="B9" i="78"/>
  <c r="C9" i="78"/>
  <c r="E9" i="78"/>
  <c r="D9" i="78"/>
  <c r="D7" i="78"/>
  <c r="E7" i="78"/>
  <c r="C7" i="78"/>
  <c r="B7" i="78"/>
  <c r="AG9" i="78" l="1"/>
  <c r="AG7" i="78"/>
  <c r="AE9" i="78"/>
  <c r="AE7" i="78"/>
  <c r="AF9" i="78"/>
  <c r="AF7" i="78"/>
  <c r="O9" i="78"/>
  <c r="O7" i="78"/>
  <c r="AC7" i="78"/>
  <c r="AC9" i="78"/>
  <c r="AH9" i="78" l="1"/>
  <c r="AH7" i="78"/>
  <c r="AA30" i="78"/>
  <c r="AA27" i="78"/>
  <c r="E30" i="78"/>
  <c r="B30" i="78"/>
  <c r="C30" i="78"/>
  <c r="D27" i="78"/>
  <c r="D30" i="78"/>
  <c r="C27" i="78"/>
  <c r="B27" i="78"/>
  <c r="E27" i="78"/>
  <c r="AG27" i="78" l="1"/>
  <c r="AE30" i="78"/>
  <c r="AG30" i="78"/>
  <c r="AE27" i="78"/>
  <c r="AF27" i="78"/>
  <c r="AF30" i="78"/>
  <c r="AC27" i="78"/>
  <c r="AC30" i="78"/>
  <c r="AH30" i="78" l="1"/>
  <c r="AH27" i="78"/>
  <c r="O27" i="78"/>
  <c r="O30" i="78"/>
  <c r="AA33" i="78"/>
  <c r="AA32" i="78"/>
  <c r="AA31" i="78"/>
  <c r="AA29" i="78"/>
  <c r="AA28" i="78"/>
  <c r="AA26" i="78"/>
  <c r="AA25" i="78"/>
  <c r="AA24" i="78"/>
  <c r="AA23" i="78"/>
  <c r="AA22" i="78"/>
  <c r="AA21" i="78"/>
  <c r="AA20" i="78"/>
  <c r="AA19" i="78"/>
  <c r="AA18" i="78"/>
  <c r="AA17" i="78"/>
  <c r="AA16" i="78"/>
  <c r="AA15" i="78"/>
  <c r="AA14" i="78"/>
  <c r="AA13" i="78"/>
  <c r="AA12" i="78"/>
  <c r="AA11" i="78"/>
  <c r="AA10" i="78"/>
  <c r="AA8" i="78"/>
  <c r="AA6" i="78"/>
  <c r="B2" i="17" l="1"/>
  <c r="B3" i="17"/>
  <c r="E26" i="78"/>
  <c r="B19" i="78"/>
  <c r="B24" i="78"/>
  <c r="E20" i="78"/>
  <c r="C10" i="78"/>
  <c r="C26" i="78"/>
  <c r="B10" i="78"/>
  <c r="C33" i="78"/>
  <c r="E13" i="78"/>
  <c r="D28" i="78"/>
  <c r="B21" i="78"/>
  <c r="E14" i="78"/>
  <c r="B20" i="78"/>
  <c r="C21" i="78"/>
  <c r="D10" i="78"/>
  <c r="C20" i="78"/>
  <c r="C14" i="78"/>
  <c r="E29" i="78"/>
  <c r="E12" i="78"/>
  <c r="B32" i="78"/>
  <c r="D15" i="78"/>
  <c r="D19" i="78"/>
  <c r="E23" i="78"/>
  <c r="C12" i="78"/>
  <c r="B31" i="78"/>
  <c r="C15" i="78"/>
  <c r="C22" i="78"/>
  <c r="C18" i="78"/>
  <c r="C24" i="78"/>
  <c r="D22" i="78"/>
  <c r="D24" i="78"/>
  <c r="C6" i="78"/>
  <c r="E6" i="78"/>
  <c r="D6" i="78"/>
  <c r="B18" i="78"/>
  <c r="E18" i="78"/>
  <c r="B12" i="78"/>
  <c r="E25" i="78"/>
  <c r="C17" i="78"/>
  <c r="D12" i="78"/>
  <c r="C13" i="78"/>
  <c r="D32" i="78"/>
  <c r="B22" i="78"/>
  <c r="D8" i="78"/>
  <c r="E32" i="78"/>
  <c r="C8" i="78"/>
  <c r="B16" i="78"/>
  <c r="D23" i="78"/>
  <c r="D31" i="78"/>
  <c r="E15" i="78"/>
  <c r="E21" i="78"/>
  <c r="E24" i="78"/>
  <c r="B23" i="78"/>
  <c r="D17" i="78"/>
  <c r="B8" i="78"/>
  <c r="B17" i="78"/>
  <c r="E33" i="78"/>
  <c r="D21" i="78"/>
  <c r="D18" i="78"/>
  <c r="E10" i="78"/>
  <c r="D13" i="78"/>
  <c r="D14" i="78"/>
  <c r="C23" i="78"/>
  <c r="C11" i="78"/>
  <c r="E28" i="78"/>
  <c r="D25" i="78"/>
  <c r="B29" i="78"/>
  <c r="E17" i="78"/>
  <c r="B15" i="78"/>
  <c r="B33" i="78"/>
  <c r="E22" i="78"/>
  <c r="D20" i="78"/>
  <c r="E8" i="78"/>
  <c r="E11" i="78"/>
  <c r="E19" i="78"/>
  <c r="B26" i="78"/>
  <c r="C31" i="78"/>
  <c r="C16" i="78"/>
  <c r="E16" i="78"/>
  <c r="D33" i="78"/>
  <c r="B25" i="78"/>
  <c r="B13" i="78"/>
  <c r="C28" i="78"/>
  <c r="B28" i="78"/>
  <c r="C25" i="78"/>
  <c r="C32" i="78"/>
  <c r="B11" i="78"/>
  <c r="D26" i="78"/>
  <c r="C19" i="78"/>
  <c r="B6" i="78"/>
  <c r="D11" i="78"/>
  <c r="B14" i="78"/>
  <c r="E31" i="78"/>
  <c r="C29" i="78"/>
  <c r="D29" i="78"/>
  <c r="D16" i="78"/>
  <c r="Q2" i="78"/>
  <c r="Q3" i="78"/>
  <c r="AG13" i="78" l="1"/>
  <c r="AG29" i="78"/>
  <c r="AE15" i="78"/>
  <c r="AG15" i="78"/>
  <c r="AE25" i="78"/>
  <c r="AG18" i="78"/>
  <c r="AE24" i="78"/>
  <c r="AG22" i="78"/>
  <c r="AE19" i="78"/>
  <c r="AG11" i="78"/>
  <c r="AG8" i="78"/>
  <c r="AE22" i="78"/>
  <c r="AE29" i="78"/>
  <c r="AE11" i="78"/>
  <c r="AE17" i="78"/>
  <c r="AE12" i="78"/>
  <c r="AE20" i="78"/>
  <c r="AE23" i="78"/>
  <c r="AG21" i="78"/>
  <c r="AE10" i="78"/>
  <c r="AG14" i="78"/>
  <c r="AG25" i="78"/>
  <c r="AG26" i="78"/>
  <c r="AE16" i="78"/>
  <c r="AG24" i="78"/>
  <c r="AE33" i="78"/>
  <c r="AG23" i="78"/>
  <c r="AG12" i="78"/>
  <c r="AG16" i="78"/>
  <c r="AG10" i="78"/>
  <c r="AG32" i="78"/>
  <c r="AG17" i="78"/>
  <c r="AG28" i="78"/>
  <c r="AE13" i="78"/>
  <c r="AG31" i="78"/>
  <c r="AE18" i="78"/>
  <c r="AE31" i="78"/>
  <c r="AE21" i="78"/>
  <c r="AE8" i="78"/>
  <c r="AG20" i="78"/>
  <c r="AE28" i="78"/>
  <c r="AG33" i="78"/>
  <c r="AE14" i="78"/>
  <c r="AG19" i="78"/>
  <c r="AE26" i="78"/>
  <c r="AE32" i="78"/>
  <c r="AI7" i="78"/>
  <c r="AI8" i="78" s="1"/>
  <c r="AI9" i="78" s="1"/>
  <c r="AI10" i="78" s="1"/>
  <c r="AI11" i="78" s="1"/>
  <c r="AI12" i="78" s="1"/>
  <c r="AI13" i="78" s="1"/>
  <c r="AI14" i="78" s="1"/>
  <c r="AI15" i="78" s="1"/>
  <c r="AI16" i="78" s="1"/>
  <c r="AI17" i="78" s="1"/>
  <c r="AI18" i="78" s="1"/>
  <c r="AI19" i="78" s="1"/>
  <c r="AI20" i="78" s="1"/>
  <c r="AI21" i="78" s="1"/>
  <c r="AI22" i="78" s="1"/>
  <c r="AI23" i="78" s="1"/>
  <c r="AI24" i="78" s="1"/>
  <c r="AI25" i="78" s="1"/>
  <c r="AI26" i="78" s="1"/>
  <c r="AI27" i="78" s="1"/>
  <c r="AI28" i="78" s="1"/>
  <c r="AI29" i="78" s="1"/>
  <c r="AI30" i="78" s="1"/>
  <c r="AI31" i="78" s="1"/>
  <c r="AI32" i="78" s="1"/>
  <c r="AI33" i="78" s="1"/>
  <c r="AI34" i="78" s="1"/>
  <c r="AI35" i="78" s="1"/>
  <c r="AI36" i="78" s="1"/>
  <c r="AI37" i="78" s="1"/>
  <c r="AI38" i="78" s="1"/>
  <c r="AI39" i="78" s="1"/>
  <c r="AI40" i="78" s="1"/>
  <c r="AI41" i="78" s="1"/>
  <c r="AI42" i="78" s="1"/>
  <c r="AI43" i="78" s="1"/>
  <c r="AI44" i="78" s="1"/>
  <c r="AI45" i="78" s="1"/>
  <c r="AI46" i="78" s="1"/>
  <c r="AI47" i="78" s="1"/>
  <c r="AI48" i="78" s="1"/>
  <c r="AI49" i="78" s="1"/>
  <c r="AI50" i="78" s="1"/>
  <c r="AI51" i="78" s="1"/>
  <c r="AI52" i="78" s="1"/>
  <c r="AI53" i="78" s="1"/>
  <c r="AI54" i="78" s="1"/>
  <c r="AI55" i="78" s="1"/>
  <c r="AI56" i="78" s="1"/>
  <c r="AI57" i="78" s="1"/>
  <c r="AI58" i="78" s="1"/>
  <c r="AI59" i="78" s="1"/>
  <c r="AI60" i="78" s="1"/>
  <c r="AI61" i="78" s="1"/>
  <c r="AI62" i="78" s="1"/>
  <c r="AI63" i="78" s="1"/>
  <c r="AI64" i="78" s="1"/>
  <c r="AI65" i="78" s="1"/>
  <c r="AI66" i="78" s="1"/>
  <c r="AI67" i="78" s="1"/>
  <c r="AI68" i="78" s="1"/>
  <c r="AI69" i="78" s="1"/>
  <c r="AI70" i="78" s="1"/>
  <c r="AI71" i="78" s="1"/>
  <c r="AI72" i="78" s="1"/>
  <c r="AI73" i="78" s="1"/>
  <c r="AI74" i="78" s="1"/>
  <c r="AI75" i="78" s="1"/>
  <c r="AI76" i="78" s="1"/>
  <c r="AI77" i="78" s="1"/>
  <c r="AI78" i="78" s="1"/>
  <c r="AI79" i="78" s="1"/>
  <c r="AI80" i="78" s="1"/>
  <c r="AI81" i="78" s="1"/>
  <c r="AI82" i="78" s="1"/>
  <c r="AI83" i="78" s="1"/>
  <c r="AI84" i="78" s="1"/>
  <c r="AI85" i="78" s="1"/>
  <c r="AI86" i="78" s="1"/>
  <c r="AI87" i="78" s="1"/>
  <c r="AI88" i="78" s="1"/>
  <c r="AI89" i="78" s="1"/>
  <c r="AI90" i="78" s="1"/>
  <c r="AI91" i="78" s="1"/>
  <c r="AF32" i="78"/>
  <c r="AF21" i="78"/>
  <c r="AF18" i="78"/>
  <c r="AF20" i="78"/>
  <c r="AF12" i="78"/>
  <c r="AF31" i="78"/>
  <c r="AF17" i="78"/>
  <c r="AF28" i="78"/>
  <c r="AF14" i="78"/>
  <c r="AF33" i="78"/>
  <c r="AF11" i="78"/>
  <c r="AF19" i="78"/>
  <c r="AF26" i="78"/>
  <c r="AF24" i="78"/>
  <c r="AF22" i="78"/>
  <c r="AF25" i="78"/>
  <c r="AF15" i="78"/>
  <c r="AF29" i="78"/>
  <c r="AF16" i="78"/>
  <c r="AF8" i="78"/>
  <c r="AF13" i="78"/>
  <c r="AF23" i="78"/>
  <c r="AF10" i="78"/>
  <c r="AF6" i="78"/>
  <c r="AE6" i="78"/>
  <c r="O6" i="78"/>
  <c r="O20" i="78"/>
  <c r="O31" i="78"/>
  <c r="O22" i="78"/>
  <c r="O23" i="78"/>
  <c r="O24" i="78"/>
  <c r="O16" i="78"/>
  <c r="O29" i="78"/>
  <c r="O15" i="78"/>
  <c r="O21" i="78"/>
  <c r="O14" i="78"/>
  <c r="AG6" i="78"/>
  <c r="Q4" i="78"/>
  <c r="O8" i="78"/>
  <c r="O10" i="78"/>
  <c r="O33" i="78"/>
  <c r="O19" i="78"/>
  <c r="O11" i="78"/>
  <c r="O13" i="78"/>
  <c r="O17" i="78"/>
  <c r="O26" i="78"/>
  <c r="O25" i="78"/>
  <c r="O28" i="78"/>
  <c r="O12" i="78"/>
  <c r="O32" i="78"/>
  <c r="O18" i="78"/>
  <c r="F23" i="78"/>
  <c r="F24" i="78"/>
  <c r="F31" i="78"/>
  <c r="F30" i="78"/>
  <c r="F29" i="78"/>
  <c r="F33" i="78"/>
  <c r="F26" i="78"/>
  <c r="F19" i="78"/>
  <c r="F20" i="78"/>
  <c r="F22" i="78"/>
  <c r="F27" i="78"/>
  <c r="F21" i="78"/>
  <c r="F28" i="78"/>
  <c r="F32" i="78"/>
  <c r="F18" i="78"/>
  <c r="F25" i="78"/>
  <c r="F17" i="78"/>
  <c r="F14" i="78"/>
  <c r="F16" i="78"/>
  <c r="F15" i="78"/>
  <c r="F10" i="78"/>
  <c r="F11" i="78"/>
  <c r="F7" i="78"/>
  <c r="F9" i="78"/>
  <c r="F13" i="78"/>
  <c r="F8" i="78"/>
  <c r="F12" i="78"/>
  <c r="F6" i="78"/>
  <c r="AH23" i="78" l="1"/>
  <c r="AH13" i="78"/>
  <c r="AH26" i="78"/>
  <c r="AH18" i="78"/>
  <c r="AH19" i="78"/>
  <c r="AH8" i="78"/>
  <c r="AH21" i="78"/>
  <c r="AH16" i="78"/>
  <c r="AH29" i="78"/>
  <c r="AH15" i="78"/>
  <c r="AH11" i="78"/>
  <c r="AH33" i="78"/>
  <c r="AH28" i="78"/>
  <c r="AH17" i="78"/>
  <c r="AH31" i="78"/>
  <c r="AH12" i="78"/>
  <c r="AH20" i="78"/>
  <c r="AH32" i="78"/>
  <c r="AH6" i="78"/>
  <c r="AH10" i="78"/>
  <c r="AH25" i="78"/>
  <c r="AH22" i="78"/>
  <c r="AH24" i="78"/>
  <c r="AH14" i="78"/>
  <c r="AC20" i="78"/>
  <c r="AC6" i="78"/>
  <c r="AC22" i="78"/>
  <c r="AC23" i="78"/>
  <c r="AC14" i="78"/>
  <c r="AC13" i="78"/>
  <c r="AC33" i="78"/>
  <c r="AC26" i="78"/>
  <c r="AC16" i="78"/>
  <c r="AC29" i="78"/>
  <c r="AC12" i="78"/>
  <c r="AC19" i="78"/>
  <c r="AC10" i="78"/>
  <c r="AC24" i="78"/>
  <c r="AC31" i="78"/>
  <c r="AC32" i="78"/>
  <c r="AC15" i="78"/>
  <c r="AC21" i="78"/>
  <c r="AC8" i="78"/>
  <c r="AC28" i="78"/>
  <c r="AC11" i="78"/>
  <c r="AC17" i="78"/>
  <c r="AC18" i="78"/>
  <c r="AC25" i="78"/>
  <c r="M34" i="78"/>
  <c r="J78" i="78"/>
  <c r="J26" i="78"/>
  <c r="L82" i="78"/>
  <c r="K58" i="78"/>
  <c r="H48" i="78"/>
  <c r="G88" i="78"/>
  <c r="L17" i="78"/>
  <c r="K23" i="78"/>
  <c r="M25" i="78"/>
  <c r="L73" i="78"/>
  <c r="J77" i="78"/>
  <c r="I44" i="78"/>
  <c r="L8" i="78"/>
  <c r="L58" i="78"/>
  <c r="H87" i="78"/>
  <c r="J75" i="78"/>
  <c r="M14" i="78"/>
  <c r="J15" i="78"/>
  <c r="G60" i="78"/>
  <c r="H11" i="78"/>
  <c r="J40" i="78"/>
  <c r="H17" i="78"/>
  <c r="M17" i="78"/>
  <c r="I67" i="78"/>
  <c r="G17" i="78"/>
  <c r="K81" i="78"/>
  <c r="I68" i="78"/>
  <c r="G51" i="78"/>
  <c r="I72" i="78"/>
  <c r="L87" i="78"/>
  <c r="J70" i="78"/>
  <c r="J45" i="78"/>
  <c r="J87" i="78"/>
  <c r="G83" i="78"/>
  <c r="M82" i="78"/>
  <c r="H55" i="78"/>
  <c r="J6" i="78"/>
  <c r="J89" i="78"/>
  <c r="H73" i="78"/>
  <c r="K18" i="78"/>
  <c r="L53" i="78"/>
  <c r="K31" i="78"/>
  <c r="J86" i="78"/>
  <c r="I33" i="78"/>
  <c r="G57" i="78"/>
  <c r="H26" i="78"/>
  <c r="M32" i="78"/>
  <c r="I26" i="78"/>
  <c r="J42" i="78"/>
  <c r="I79" i="78"/>
  <c r="K74" i="78"/>
  <c r="K46" i="78"/>
  <c r="M35" i="78"/>
  <c r="G41" i="78"/>
  <c r="G72" i="78"/>
  <c r="G90" i="78"/>
  <c r="G35" i="78"/>
  <c r="M88" i="78"/>
  <c r="I58" i="78"/>
  <c r="L37" i="78"/>
  <c r="L72" i="78"/>
  <c r="L86" i="78"/>
  <c r="I6" i="78"/>
  <c r="M31" i="78"/>
  <c r="I36" i="78"/>
  <c r="K34" i="78"/>
  <c r="L80" i="78"/>
  <c r="M40" i="78"/>
  <c r="H69" i="78"/>
  <c r="I70" i="78"/>
  <c r="I73" i="78"/>
  <c r="J9" i="78"/>
  <c r="K15" i="78"/>
  <c r="I20" i="78"/>
  <c r="J34" i="78"/>
  <c r="M44" i="78"/>
  <c r="K64" i="78"/>
  <c r="G67" i="78"/>
  <c r="J16" i="78"/>
  <c r="L50" i="78"/>
  <c r="I23" i="78"/>
  <c r="L46" i="78"/>
  <c r="M63" i="78"/>
  <c r="H80" i="78"/>
  <c r="I84" i="78"/>
  <c r="L78" i="78"/>
  <c r="M9" i="78"/>
  <c r="G23" i="78"/>
  <c r="H90" i="78"/>
  <c r="H77" i="78"/>
  <c r="M89" i="78"/>
  <c r="K89" i="78"/>
  <c r="H28" i="78"/>
  <c r="H71" i="78"/>
  <c r="H53" i="78"/>
  <c r="G24" i="78"/>
  <c r="H38" i="78"/>
  <c r="H67" i="78"/>
  <c r="L54" i="78"/>
  <c r="G43" i="78"/>
  <c r="G46" i="78"/>
  <c r="M20" i="78"/>
  <c r="K55" i="78"/>
  <c r="I18" i="78"/>
  <c r="K61" i="78"/>
  <c r="G21" i="78"/>
  <c r="G19" i="78"/>
  <c r="H25" i="78"/>
  <c r="L63" i="78"/>
  <c r="M26" i="78"/>
  <c r="I8" i="78"/>
  <c r="L57" i="78"/>
  <c r="M62" i="78"/>
  <c r="L19" i="78"/>
  <c r="I21" i="78"/>
  <c r="J66" i="78"/>
  <c r="H41" i="78"/>
  <c r="I39" i="78"/>
  <c r="M73" i="78"/>
  <c r="I59" i="78"/>
  <c r="G68" i="78"/>
  <c r="L21" i="78"/>
  <c r="J59" i="78"/>
  <c r="M55" i="78"/>
  <c r="J20" i="78"/>
  <c r="G74" i="78"/>
  <c r="H32" i="78"/>
  <c r="M72" i="78"/>
  <c r="G48" i="78"/>
  <c r="L84" i="78"/>
  <c r="L38" i="78"/>
  <c r="M28" i="78"/>
  <c r="L55" i="78"/>
  <c r="G16" i="78"/>
  <c r="G52" i="78"/>
  <c r="G32" i="78"/>
  <c r="G79" i="78"/>
  <c r="M16" i="78"/>
  <c r="K8" i="78"/>
  <c r="K49" i="78"/>
  <c r="H35" i="78"/>
  <c r="M85" i="78"/>
  <c r="K9" i="78"/>
  <c r="L16" i="78"/>
  <c r="I42" i="78"/>
  <c r="L79" i="78"/>
  <c r="J43" i="78"/>
  <c r="J10" i="78"/>
  <c r="J13" i="78"/>
  <c r="H52" i="78"/>
  <c r="K65" i="78"/>
  <c r="J88" i="78"/>
  <c r="K71" i="78"/>
  <c r="H23" i="78"/>
  <c r="I82" i="78"/>
  <c r="G45" i="78"/>
  <c r="L81" i="78"/>
  <c r="M84" i="78"/>
  <c r="M79" i="78"/>
  <c r="K76" i="78"/>
  <c r="G61" i="78"/>
  <c r="I60" i="78"/>
  <c r="G71" i="78"/>
  <c r="M29" i="78"/>
  <c r="J56" i="78"/>
  <c r="I63" i="78"/>
  <c r="J49" i="78"/>
  <c r="G22" i="78"/>
  <c r="L23" i="78"/>
  <c r="I37" i="78"/>
  <c r="K16" i="78"/>
  <c r="H66" i="78"/>
  <c r="I17" i="78"/>
  <c r="L24" i="78"/>
  <c r="M59" i="78"/>
  <c r="L41" i="78"/>
  <c r="G31" i="78"/>
  <c r="J38" i="78"/>
  <c r="I54" i="78"/>
  <c r="H30" i="78"/>
  <c r="G85" i="78"/>
  <c r="I29" i="78"/>
  <c r="H70" i="78"/>
  <c r="I10" i="78"/>
  <c r="G29" i="78"/>
  <c r="H47" i="78"/>
  <c r="M37" i="78"/>
  <c r="H10" i="78"/>
  <c r="L90" i="78"/>
  <c r="G42" i="78"/>
  <c r="J83" i="78"/>
  <c r="L6" i="78"/>
  <c r="J63" i="78"/>
  <c r="L75" i="78"/>
  <c r="K88" i="78"/>
  <c r="K72" i="78"/>
  <c r="G53" i="78"/>
  <c r="K14" i="78"/>
  <c r="I45" i="78"/>
  <c r="L56" i="78"/>
  <c r="H6" i="78"/>
  <c r="G14" i="78"/>
  <c r="L27" i="78"/>
  <c r="H33" i="78"/>
  <c r="H19" i="78"/>
  <c r="H60" i="78"/>
  <c r="I87" i="78"/>
  <c r="M10" i="78"/>
  <c r="J81" i="78"/>
  <c r="J33" i="78"/>
  <c r="I28" i="78"/>
  <c r="K48" i="78"/>
  <c r="H16" i="78"/>
  <c r="G47" i="78"/>
  <c r="I91" i="78"/>
  <c r="M87" i="78"/>
  <c r="J29" i="78"/>
  <c r="G55" i="78"/>
  <c r="H83" i="78"/>
  <c r="L49" i="78"/>
  <c r="G56" i="78"/>
  <c r="I31" i="78"/>
  <c r="M6" i="78"/>
  <c r="H85" i="78"/>
  <c r="G58" i="78"/>
  <c r="J7" i="78"/>
  <c r="J46" i="78"/>
  <c r="J60" i="78"/>
  <c r="K6" i="78"/>
  <c r="J27" i="78"/>
  <c r="H68" i="78"/>
  <c r="H78" i="78"/>
  <c r="M47" i="78"/>
  <c r="J79" i="78"/>
  <c r="I50" i="78"/>
  <c r="J8" i="78"/>
  <c r="K70" i="78"/>
  <c r="I15" i="78"/>
  <c r="J61" i="78"/>
  <c r="M36" i="78"/>
  <c r="H31" i="78"/>
  <c r="G28" i="78"/>
  <c r="L14" i="78"/>
  <c r="I47" i="78"/>
  <c r="G82" i="78"/>
  <c r="J80" i="78"/>
  <c r="K66" i="78"/>
  <c r="I48" i="78"/>
  <c r="G39" i="78"/>
  <c r="K33" i="78"/>
  <c r="I61" i="78"/>
  <c r="H91" i="78"/>
  <c r="G91" i="78"/>
  <c r="J39" i="78"/>
  <c r="M67" i="78"/>
  <c r="M53" i="78"/>
  <c r="G36" i="78"/>
  <c r="I43" i="78"/>
  <c r="K50" i="78"/>
  <c r="M42" i="78"/>
  <c r="H58" i="78"/>
  <c r="L91" i="78"/>
  <c r="L18" i="78"/>
  <c r="L71" i="78"/>
  <c r="I34" i="78"/>
  <c r="H44" i="78"/>
  <c r="J12" i="78"/>
  <c r="K67" i="78"/>
  <c r="K12" i="78"/>
  <c r="K56" i="78"/>
  <c r="L74" i="78"/>
  <c r="J69" i="78"/>
  <c r="I14" i="78"/>
  <c r="G7" i="78"/>
  <c r="M54" i="78"/>
  <c r="I38" i="78"/>
  <c r="I7" i="78"/>
  <c r="K90" i="78"/>
  <c r="M41" i="78"/>
  <c r="J47" i="78"/>
  <c r="M7" i="78"/>
  <c r="J65" i="78"/>
  <c r="L20" i="78"/>
  <c r="J74" i="78"/>
  <c r="H81" i="78"/>
  <c r="K7" i="78"/>
  <c r="H37" i="78"/>
  <c r="H57" i="78"/>
  <c r="I53" i="78"/>
  <c r="H8" i="78"/>
  <c r="K69" i="78"/>
  <c r="H13" i="78"/>
  <c r="K32" i="78"/>
  <c r="L39" i="78"/>
  <c r="K68" i="78"/>
  <c r="G87" i="78"/>
  <c r="J25" i="78"/>
  <c r="M70" i="78"/>
  <c r="G37" i="78"/>
  <c r="H59" i="78"/>
  <c r="L15" i="78"/>
  <c r="L70" i="78"/>
  <c r="L45" i="78"/>
  <c r="J48" i="78"/>
  <c r="J17" i="78"/>
  <c r="K63" i="78"/>
  <c r="K43" i="78"/>
  <c r="K78" i="78"/>
  <c r="I55" i="78"/>
  <c r="I81" i="78"/>
  <c r="L83" i="78"/>
  <c r="L68" i="78"/>
  <c r="J11" i="78"/>
  <c r="K37" i="78"/>
  <c r="H22" i="78"/>
  <c r="H76" i="78"/>
  <c r="M21" i="78"/>
  <c r="M65" i="78"/>
  <c r="L52" i="78"/>
  <c r="M80" i="78"/>
  <c r="G77" i="78"/>
  <c r="K54" i="78"/>
  <c r="H88" i="78"/>
  <c r="L28" i="78"/>
  <c r="G50" i="78"/>
  <c r="M39" i="78"/>
  <c r="M71" i="78"/>
  <c r="I32" i="78"/>
  <c r="M46" i="78"/>
  <c r="I66" i="78"/>
  <c r="M38" i="78"/>
  <c r="J52" i="78"/>
  <c r="K87" i="78"/>
  <c r="I24" i="78"/>
  <c r="L32" i="78"/>
  <c r="K41" i="78"/>
  <c r="G40" i="78"/>
  <c r="H79" i="78"/>
  <c r="L77" i="78"/>
  <c r="K79" i="78"/>
  <c r="H46" i="78"/>
  <c r="L43" i="78"/>
  <c r="L59" i="78"/>
  <c r="L11" i="78"/>
  <c r="K77" i="78"/>
  <c r="M86" i="78"/>
  <c r="J71" i="78"/>
  <c r="J67" i="78"/>
  <c r="M15" i="78"/>
  <c r="I83" i="78"/>
  <c r="M77" i="78"/>
  <c r="I71" i="78"/>
  <c r="L42" i="78"/>
  <c r="I77" i="78"/>
  <c r="I19" i="78"/>
  <c r="J82" i="78"/>
  <c r="G11" i="78"/>
  <c r="G66" i="78"/>
  <c r="G64" i="78"/>
  <c r="G12" i="78"/>
  <c r="G20" i="78"/>
  <c r="I88" i="78"/>
  <c r="H65" i="78"/>
  <c r="I76" i="78"/>
  <c r="J84" i="78"/>
  <c r="H14" i="78"/>
  <c r="L35" i="78"/>
  <c r="K59" i="78"/>
  <c r="I80" i="78"/>
  <c r="I40" i="78"/>
  <c r="I90" i="78"/>
  <c r="J55" i="78"/>
  <c r="M22" i="78"/>
  <c r="H72" i="78"/>
  <c r="I56" i="78"/>
  <c r="K57" i="78"/>
  <c r="I78" i="78"/>
  <c r="J21" i="78"/>
  <c r="K38" i="78"/>
  <c r="G80" i="78"/>
  <c r="J36" i="78"/>
  <c r="I22" i="78"/>
  <c r="M24" i="78"/>
  <c r="K44" i="78"/>
  <c r="J50" i="78"/>
  <c r="L22" i="78"/>
  <c r="G65" i="78"/>
  <c r="G27" i="78"/>
  <c r="M75" i="78"/>
  <c r="K26" i="78"/>
  <c r="I41" i="78"/>
  <c r="L12" i="78"/>
  <c r="G33" i="78"/>
  <c r="I89" i="78"/>
  <c r="G34" i="78"/>
  <c r="G75" i="78"/>
  <c r="M50" i="78"/>
  <c r="I86" i="78"/>
  <c r="J53" i="78"/>
  <c r="I74" i="78"/>
  <c r="G73" i="78"/>
  <c r="M51" i="78"/>
  <c r="K22" i="78"/>
  <c r="M64" i="78"/>
  <c r="H50" i="78"/>
  <c r="M61" i="78"/>
  <c r="H63" i="78"/>
  <c r="H62" i="78"/>
  <c r="G70" i="78"/>
  <c r="H36" i="78"/>
  <c r="I11" i="78"/>
  <c r="H84" i="78"/>
  <c r="G8" i="78"/>
  <c r="J18" i="78"/>
  <c r="J24" i="78"/>
  <c r="L9" i="78"/>
  <c r="M91" i="78"/>
  <c r="L76" i="78"/>
  <c r="M33" i="78"/>
  <c r="J90" i="78"/>
  <c r="K47" i="78"/>
  <c r="H24" i="78"/>
  <c r="J23" i="78"/>
  <c r="G25" i="78"/>
  <c r="J76" i="78"/>
  <c r="I62" i="78"/>
  <c r="J54" i="78"/>
  <c r="K39" i="78"/>
  <c r="M27" i="78"/>
  <c r="H12" i="78"/>
  <c r="J35" i="78"/>
  <c r="K45" i="78"/>
  <c r="I69" i="78"/>
  <c r="K80" i="78"/>
  <c r="L31" i="78"/>
  <c r="H74" i="78"/>
  <c r="K73" i="78"/>
  <c r="G63" i="78"/>
  <c r="H45" i="78"/>
  <c r="K17" i="78"/>
  <c r="G6" i="78"/>
  <c r="I85" i="78"/>
  <c r="H56" i="78"/>
  <c r="L10" i="78"/>
  <c r="M43" i="78"/>
  <c r="I35" i="78"/>
  <c r="M78" i="78"/>
  <c r="J14" i="78"/>
  <c r="H54" i="78"/>
  <c r="L30" i="78"/>
  <c r="M76" i="78"/>
  <c r="J85" i="78"/>
  <c r="K83" i="78"/>
  <c r="M8" i="78"/>
  <c r="I30" i="78"/>
  <c r="M30" i="78"/>
  <c r="J41" i="78"/>
  <c r="K25" i="78"/>
  <c r="L66" i="78"/>
  <c r="L40" i="78"/>
  <c r="K84" i="78"/>
  <c r="J51" i="78"/>
  <c r="M45" i="78"/>
  <c r="H49" i="78"/>
  <c r="G44" i="78"/>
  <c r="L13" i="78"/>
  <c r="K35" i="78"/>
  <c r="J73" i="78"/>
  <c r="M19" i="78"/>
  <c r="K28" i="78"/>
  <c r="I57" i="78"/>
  <c r="L65" i="78"/>
  <c r="M68" i="78"/>
  <c r="H42" i="78"/>
  <c r="J37" i="78"/>
  <c r="M56" i="78"/>
  <c r="J22" i="78"/>
  <c r="L51" i="78"/>
  <c r="M83" i="78"/>
  <c r="M13" i="78"/>
  <c r="G84" i="78"/>
  <c r="I12" i="78"/>
  <c r="G18" i="78"/>
  <c r="K75" i="78"/>
  <c r="M11" i="78"/>
  <c r="K30" i="78"/>
  <c r="H89" i="78"/>
  <c r="M48" i="78"/>
  <c r="J62" i="78"/>
  <c r="I16" i="78"/>
  <c r="G26" i="78"/>
  <c r="H27" i="78"/>
  <c r="H39" i="78"/>
  <c r="I51" i="78"/>
  <c r="G13" i="78"/>
  <c r="K82" i="78"/>
  <c r="K36" i="78"/>
  <c r="M66" i="78"/>
  <c r="G59" i="78"/>
  <c r="I13" i="78"/>
  <c r="L7" i="78"/>
  <c r="K85" i="78"/>
  <c r="L60" i="78"/>
  <c r="M60" i="78"/>
  <c r="L26" i="78"/>
  <c r="H20" i="78"/>
  <c r="M81" i="78"/>
  <c r="I27" i="78"/>
  <c r="G76" i="78"/>
  <c r="H15" i="78"/>
  <c r="L69" i="78"/>
  <c r="J31" i="78"/>
  <c r="J44" i="78"/>
  <c r="L29" i="78"/>
  <c r="M52" i="78"/>
  <c r="G81" i="78"/>
  <c r="H75" i="78"/>
  <c r="M74" i="78"/>
  <c r="K21" i="78"/>
  <c r="L61" i="78"/>
  <c r="L36" i="78"/>
  <c r="G54" i="78"/>
  <c r="M57" i="78"/>
  <c r="J72" i="78"/>
  <c r="L33" i="78"/>
  <c r="G86" i="78"/>
  <c r="K53" i="78"/>
  <c r="H86" i="78"/>
  <c r="L25" i="78"/>
  <c r="K11" i="78"/>
  <c r="L85" i="78"/>
  <c r="G30" i="78"/>
  <c r="K24" i="78"/>
  <c r="K86" i="78"/>
  <c r="J28" i="78"/>
  <c r="K60" i="78"/>
  <c r="H29" i="78"/>
  <c r="H61" i="78"/>
  <c r="L88" i="78"/>
  <c r="H64" i="78"/>
  <c r="M12" i="78"/>
  <c r="H40" i="78"/>
  <c r="K62" i="78"/>
  <c r="G38" i="78"/>
  <c r="I49" i="78"/>
  <c r="K91" i="78"/>
  <c r="I46" i="78"/>
  <c r="G9" i="78"/>
  <c r="K29" i="78"/>
  <c r="J30" i="78"/>
  <c r="K19" i="78"/>
  <c r="H43" i="78"/>
  <c r="M23" i="78"/>
  <c r="H51" i="78"/>
  <c r="G78" i="78"/>
  <c r="M58" i="78"/>
  <c r="G62" i="78"/>
  <c r="J57" i="78"/>
  <c r="L44" i="78"/>
  <c r="I9" i="78"/>
  <c r="M90" i="78"/>
  <c r="H18" i="78"/>
  <c r="H7" i="78"/>
  <c r="L64" i="78"/>
  <c r="J68" i="78"/>
  <c r="L48" i="78"/>
  <c r="I25" i="78"/>
  <c r="K42" i="78"/>
  <c r="L34" i="78"/>
  <c r="G89" i="78"/>
  <c r="J19" i="78"/>
  <c r="J58" i="78"/>
  <c r="K51" i="78"/>
  <c r="K52" i="78"/>
  <c r="K40" i="78"/>
  <c r="K27" i="78"/>
  <c r="L62" i="78"/>
  <c r="M69" i="78"/>
  <c r="H9" i="78"/>
  <c r="M49" i="78"/>
  <c r="L47" i="78"/>
  <c r="K10" i="78"/>
  <c r="I65" i="78"/>
  <c r="I75" i="78"/>
  <c r="L67" i="78"/>
  <c r="G69" i="78"/>
  <c r="J32" i="78"/>
  <c r="G10" i="78"/>
  <c r="K20" i="78"/>
  <c r="L89" i="78"/>
  <c r="I52" i="78"/>
  <c r="J64" i="78"/>
  <c r="H34" i="78"/>
  <c r="M18" i="78"/>
  <c r="G15" i="78"/>
  <c r="I64" i="78"/>
  <c r="J91" i="78"/>
  <c r="H82" i="78"/>
  <c r="K13" i="78"/>
  <c r="G49" i="78"/>
  <c r="H21" i="78"/>
  <c r="AB34" i="78" l="1"/>
  <c r="AB28" i="78"/>
  <c r="AB7" i="78"/>
  <c r="AB13" i="78"/>
  <c r="AB22" i="78"/>
  <c r="AB20" i="78"/>
  <c r="AB12" i="78"/>
  <c r="AB25" i="78"/>
  <c r="AB21" i="78"/>
  <c r="AB31" i="78"/>
  <c r="AB16" i="78"/>
  <c r="AB19" i="78"/>
  <c r="AB10" i="78"/>
  <c r="AB9" i="78"/>
  <c r="AB8" i="78"/>
  <c r="AB33" i="78"/>
  <c r="AB14" i="78"/>
  <c r="AB32" i="78"/>
  <c r="AB24" i="78"/>
  <c r="AB26" i="78"/>
  <c r="AB27" i="78"/>
  <c r="AB15" i="78"/>
  <c r="AB23" i="78"/>
  <c r="AB29" i="78"/>
  <c r="AB30" i="78"/>
  <c r="AB18" i="78"/>
  <c r="AB17" i="78"/>
  <c r="AB11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Ted Molczan</author>
    <author>Ted</author>
  </authors>
  <commentList>
    <comment ref="N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Geodetic</t>
        </r>
      </text>
    </comment>
    <comment ref="B4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Geodetic</t>
        </r>
      </text>
    </comment>
    <comment ref="D4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Above geoid</t>
        </r>
      </text>
    </comment>
    <comment ref="G4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Ted Molczan:</t>
        </r>
        <r>
          <rPr>
            <sz val="10"/>
            <color indexed="81"/>
            <rFont val="Tahoma"/>
            <family val="2"/>
          </rPr>
          <t xml:space="preserve">
Clockwise from North</t>
        </r>
      </text>
    </comment>
    <comment ref="J4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Angular velocity.</t>
        </r>
      </text>
    </comment>
    <comment ref="N4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Ted Molczan:</t>
        </r>
        <r>
          <rPr>
            <sz val="10"/>
            <color indexed="81"/>
            <rFont val="Tahoma"/>
            <family val="2"/>
          </rPr>
          <t xml:space="preserve">
Height above mean sea-level, metres</t>
        </r>
      </text>
    </comment>
    <comment ref="F5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fraction of illumination of a sphere at the same position as the object, as seen by the observer</t>
        </r>
      </text>
    </comment>
    <comment ref="H5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Relative local horizontal</t>
        </r>
      </text>
    </comment>
    <comment ref="I5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Relative horizon</t>
        </r>
      </text>
    </comment>
    <comment ref="O5" authorId="1" shapeId="0" xr:uid="{360256F5-7B58-49F0-89BA-BAA22916DCF3}">
      <text>
        <r>
          <rPr>
            <b/>
            <sz val="9"/>
            <color indexed="81"/>
            <rFont val="Tahoma"/>
            <family val="2"/>
          </rPr>
          <t>Ted:</t>
        </r>
        <r>
          <rPr>
            <sz val="9"/>
            <color indexed="81"/>
            <rFont val="Tahoma"/>
            <family val="2"/>
          </rPr>
          <t xml:space="preserve">
Ground distance from observer to re-entry ground track.</t>
        </r>
      </text>
    </comment>
  </commentList>
</comments>
</file>

<file path=xl/sharedStrings.xml><?xml version="1.0" encoding="utf-8"?>
<sst xmlns="http://schemas.openxmlformats.org/spreadsheetml/2006/main" count="75" uniqueCount="63">
  <si>
    <t>deg N</t>
  </si>
  <si>
    <t>km</t>
  </si>
  <si>
    <t>deg</t>
  </si>
  <si>
    <t>Time</t>
  </si>
  <si>
    <t>Observer's Co-ordinates</t>
  </si>
  <si>
    <t>Latitude:</t>
  </si>
  <si>
    <t>Longitude:</t>
  </si>
  <si>
    <t>Z</t>
  </si>
  <si>
    <t>Ground Track</t>
  </si>
  <si>
    <t>UTC</t>
  </si>
  <si>
    <t>m</t>
  </si>
  <si>
    <t xml:space="preserve">Day = </t>
  </si>
  <si>
    <t xml:space="preserve">Month = </t>
  </si>
  <si>
    <t xml:space="preserve">Year = </t>
  </si>
  <si>
    <t>RA (2000.0)</t>
  </si>
  <si>
    <t>Dec (2000.0)</t>
  </si>
  <si>
    <t>Relative</t>
  </si>
  <si>
    <t>Earth's</t>
  </si>
  <si>
    <t>Shadow</t>
  </si>
  <si>
    <t>fracil</t>
  </si>
  <si>
    <t>Range</t>
  </si>
  <si>
    <t>AZ</t>
  </si>
  <si>
    <t>f=</t>
  </si>
  <si>
    <t>(1-f)^2=</t>
  </si>
  <si>
    <t>2f-f^2=</t>
  </si>
  <si>
    <t>DO NOT DELETE THIS SHEET</t>
  </si>
  <si>
    <t>Earth's flattening</t>
  </si>
  <si>
    <t>Lat</t>
  </si>
  <si>
    <t>Lon</t>
  </si>
  <si>
    <t>Altitude</t>
  </si>
  <si>
    <t>Vang</t>
  </si>
  <si>
    <t>deg/s</t>
  </si>
  <si>
    <t>Date - UTC</t>
  </si>
  <si>
    <t>deg E</t>
  </si>
  <si>
    <t>X</t>
  </si>
  <si>
    <t>Y</t>
  </si>
  <si>
    <t>Xdot</t>
  </si>
  <si>
    <t>Ydot</t>
  </si>
  <si>
    <t>Zdot</t>
  </si>
  <si>
    <t>Object's Co-ordinates</t>
  </si>
  <si>
    <t>HAMSL:</t>
  </si>
  <si>
    <t>hh:mm:ss</t>
  </si>
  <si>
    <t>Dist, km</t>
  </si>
  <si>
    <t>LHor</t>
  </si>
  <si>
    <t>Hor</t>
  </si>
  <si>
    <t>EL - deg</t>
  </si>
  <si>
    <t>a</t>
  </si>
  <si>
    <t>km/s</t>
  </si>
  <si>
    <t>g</t>
  </si>
  <si>
    <t>V</t>
  </si>
  <si>
    <t>Vrel</t>
  </si>
  <si>
    <t>Offset, s</t>
  </si>
  <si>
    <t>t</t>
  </si>
  <si>
    <t>Centre of landing NOTAM</t>
  </si>
  <si>
    <t>Site:</t>
  </si>
  <si>
    <t>Delhi</t>
  </si>
  <si>
    <t xml:space="preserve">Karach </t>
  </si>
  <si>
    <t xml:space="preserve">Ahmedabad </t>
  </si>
  <si>
    <t xml:space="preserve">Rajkot </t>
  </si>
  <si>
    <t xml:space="preserve">Vadodara </t>
  </si>
  <si>
    <t xml:space="preserve">Mumbai </t>
  </si>
  <si>
    <t xml:space="preserve">Goa </t>
  </si>
  <si>
    <t>Trajectory Analysis by Mike Loucks (http://www.see.com)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</si>
</sst>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#,##0.0"/>
    <numFmt numFmtId="166" formatCode="0.00000"/>
    <numFmt numFmtId="167" formatCode="0.000"/>
    <numFmt numFmtId="168" formatCode="hh:mm:ss"/>
    <numFmt numFmtId="169" formatCode="0.00000000"/>
    <numFmt numFmtId="170" formatCode="0.0000000"/>
    <numFmt numFmtId="171" formatCode="0.0000000000"/>
    <numFmt numFmtId="172" formatCode="00.000"/>
    <numFmt numFmtId="173" formatCode="_(* #,##0.00_);_(* \(#,##0.00\);_(* &quot;-&quot;??_);_(@_)"/>
    <numFmt numFmtId="174" formatCode="0.0"/>
    <numFmt numFmtId="175" formatCode="hh:mm:ss.0"/>
  </numFmts>
  <fonts count="18" x14ac:knownFonts="1">
    <font>
      <sz val="9"/>
      <name val="Courier New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1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Calibri"/>
      <family val="2"/>
      <scheme val="minor"/>
    </font>
    <font>
      <sz val="11"/>
      <color rgb="FFFF0000"/>
      <name val="Arial"/>
      <family val="2"/>
    </font>
    <font>
      <b/>
      <sz val="12"/>
      <name val="Calibri"/>
      <family val="2"/>
      <scheme val="minor"/>
    </font>
    <font>
      <sz val="9"/>
      <name val="Courier New"/>
      <family val="3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7" fillId="0" borderId="0"/>
    <xf numFmtId="173" fontId="17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2" fillId="0" borderId="0"/>
  </cellStyleXfs>
  <cellXfs count="72">
    <xf numFmtId="0" fontId="0" fillId="0" borderId="0" xfId="0"/>
    <xf numFmtId="0" fontId="6" fillId="0" borderId="0" xfId="0" applyFont="1"/>
    <xf numFmtId="0" fontId="6" fillId="0" borderId="0" xfId="0" applyFont="1" applyAlignment="1">
      <alignment horizontal="right"/>
    </xf>
    <xf numFmtId="167" fontId="6" fillId="0" borderId="0" xfId="0" applyNumberFormat="1" applyFont="1"/>
    <xf numFmtId="166" fontId="6" fillId="0" borderId="0" xfId="0" applyNumberFormat="1" applyFont="1"/>
    <xf numFmtId="166" fontId="6" fillId="0" borderId="0" xfId="0" applyNumberFormat="1" applyFont="1" applyAlignment="1">
      <alignment horizontal="right"/>
    </xf>
    <xf numFmtId="166" fontId="6" fillId="0" borderId="0" xfId="0" quotePrefix="1" applyNumberFormat="1" applyFont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7" fillId="0" borderId="7" xfId="0" quotePrefix="1" applyFont="1" applyBorder="1" applyAlignment="1">
      <alignment horizontal="center"/>
    </xf>
    <xf numFmtId="4" fontId="6" fillId="0" borderId="13" xfId="0" applyNumberFormat="1" applyFont="1" applyBorder="1"/>
    <xf numFmtId="165" fontId="6" fillId="0" borderId="5" xfId="0" applyNumberFormat="1" applyFont="1" applyBorder="1"/>
    <xf numFmtId="0" fontId="11" fillId="0" borderId="0" xfId="0" applyFont="1" applyAlignment="1">
      <alignment horizontal="right"/>
    </xf>
    <xf numFmtId="3" fontId="6" fillId="0" borderId="13" xfId="0" applyNumberFormat="1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4" fontId="6" fillId="0" borderId="13" xfId="0" applyNumberFormat="1" applyFont="1" applyBorder="1" applyAlignment="1">
      <alignment horizontal="center"/>
    </xf>
    <xf numFmtId="3" fontId="6" fillId="0" borderId="5" xfId="0" applyNumberFormat="1" applyFont="1" applyBorder="1"/>
    <xf numFmtId="0" fontId="14" fillId="0" borderId="0" xfId="0" applyFont="1" applyAlignment="1">
      <alignment horizontal="right"/>
    </xf>
    <xf numFmtId="169" fontId="14" fillId="0" borderId="0" xfId="0" applyNumberFormat="1" applyFont="1" applyAlignment="1">
      <alignment horizontal="left"/>
    </xf>
    <xf numFmtId="0" fontId="14" fillId="0" borderId="0" xfId="0" applyFont="1"/>
    <xf numFmtId="4" fontId="6" fillId="0" borderId="5" xfId="0" applyNumberFormat="1" applyFont="1" applyBorder="1"/>
    <xf numFmtId="2" fontId="6" fillId="0" borderId="0" xfId="0" applyNumberFormat="1" applyFont="1"/>
    <xf numFmtId="1" fontId="15" fillId="0" borderId="0" xfId="0" applyNumberFormat="1" applyFont="1" applyBorder="1"/>
    <xf numFmtId="164" fontId="6" fillId="0" borderId="0" xfId="0" applyNumberFormat="1" applyFont="1"/>
    <xf numFmtId="168" fontId="6" fillId="0" borderId="5" xfId="0" applyNumberFormat="1" applyFont="1" applyBorder="1" applyAlignment="1">
      <alignment horizontal="center"/>
    </xf>
    <xf numFmtId="170" fontId="6" fillId="0" borderId="0" xfId="0" applyNumberFormat="1" applyFont="1"/>
    <xf numFmtId="171" fontId="6" fillId="0" borderId="0" xfId="0" applyNumberFormat="1" applyFont="1"/>
    <xf numFmtId="172" fontId="6" fillId="0" borderId="14" xfId="0" applyNumberFormat="1" applyFont="1" applyBorder="1" applyAlignment="1">
      <alignment horizontal="center"/>
    </xf>
    <xf numFmtId="175" fontId="6" fillId="0" borderId="11" xfId="0" applyNumberFormat="1" applyFont="1" applyBorder="1" applyAlignment="1">
      <alignment horizontal="center"/>
    </xf>
    <xf numFmtId="166" fontId="7" fillId="0" borderId="0" xfId="0" applyNumberFormat="1" applyFont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4" fontId="6" fillId="0" borderId="5" xfId="0" applyNumberFormat="1" applyFont="1" applyBorder="1"/>
    <xf numFmtId="164" fontId="6" fillId="0" borderId="13" xfId="0" applyNumberFormat="1" applyFont="1" applyBorder="1"/>
    <xf numFmtId="174" fontId="6" fillId="0" borderId="0" xfId="0" applyNumberFormat="1" applyFont="1"/>
    <xf numFmtId="0" fontId="6" fillId="0" borderId="0" xfId="1" applyFont="1"/>
    <xf numFmtId="167" fontId="6" fillId="0" borderId="0" xfId="1" applyNumberFormat="1" applyFont="1"/>
    <xf numFmtId="1" fontId="6" fillId="0" borderId="0" xfId="1" applyNumberFormat="1" applyFont="1"/>
    <xf numFmtId="175" fontId="6" fillId="0" borderId="0" xfId="0" applyNumberFormat="1" applyFont="1"/>
    <xf numFmtId="0" fontId="7" fillId="0" borderId="0" xfId="0" applyFont="1" applyAlignment="1">
      <alignment horizontal="center"/>
    </xf>
    <xf numFmtId="0" fontId="7" fillId="0" borderId="0" xfId="0" quotePrefix="1" applyFont="1" applyAlignment="1">
      <alignment horizontal="center"/>
    </xf>
    <xf numFmtId="0" fontId="6" fillId="0" borderId="0" xfId="0" quotePrefix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166" fontId="15" fillId="0" borderId="0" xfId="0" applyNumberFormat="1" applyFont="1" applyBorder="1"/>
    <xf numFmtId="0" fontId="15" fillId="0" borderId="0" xfId="0" applyFont="1" applyAlignment="1">
      <alignment horizontal="left"/>
    </xf>
    <xf numFmtId="167" fontId="7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8" fillId="0" borderId="0" xfId="0" quotePrefix="1" applyFont="1" applyAlignment="1">
      <alignment horizontal="center"/>
    </xf>
    <xf numFmtId="0" fontId="7" fillId="0" borderId="19" xfId="0" quotePrefix="1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166" fontId="7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</cellXfs>
  <cellStyles count="7">
    <cellStyle name="Comma 2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</cellStyles>
  <dxfs count="1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5" Type="http://schemas.openxmlformats.org/officeDocument/2006/relationships/chartsheet" Target="chartsheets/sheet2.xml"/><Relationship Id="rId15" Type="http://schemas.openxmlformats.org/officeDocument/2006/relationships/theme" Target="theme/theme1.xml"/><Relationship Id="rId10" Type="http://schemas.openxmlformats.org/officeDocument/2006/relationships/chartsheet" Target="chartsheets/sheet7.xml"/><Relationship Id="rId19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Altitude vs. Range</a:t>
            </a:r>
          </a:p>
        </c:rich>
      </c:tx>
      <c:layout>
        <c:manualLayout>
          <c:xMode val="edge"/>
          <c:yMode val="edge"/>
          <c:x val="0.38133998166653565"/>
          <c:y val="1.212471076518381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Ephemeris'!$AI$8:$AI$91</c:f>
              <c:numCache>
                <c:formatCode>0.0</c:formatCode>
                <c:ptCount val="84"/>
                <c:pt idx="0">
                  <c:v>134.11449758361934</c:v>
                </c:pt>
                <c:pt idx="1">
                  <c:v>208.11516582256689</c:v>
                </c:pt>
                <c:pt idx="2">
                  <c:v>280.38989839113691</c:v>
                </c:pt>
                <c:pt idx="3">
                  <c:v>351.12426099340638</c:v>
                </c:pt>
                <c:pt idx="4">
                  <c:v>421.13602216647894</c:v>
                </c:pt>
                <c:pt idx="5">
                  <c:v>490.92306852473058</c:v>
                </c:pt>
                <c:pt idx="6">
                  <c:v>560.60736567675872</c:v>
                </c:pt>
                <c:pt idx="7">
                  <c:v>630.19492009503051</c:v>
                </c:pt>
                <c:pt idx="8">
                  <c:v>699.69523060297547</c:v>
                </c:pt>
                <c:pt idx="9">
                  <c:v>769.1155231155908</c:v>
                </c:pt>
                <c:pt idx="10">
                  <c:v>838.46086048408586</c:v>
                </c:pt>
                <c:pt idx="11">
                  <c:v>907.73517499056459</c:v>
                </c:pt>
                <c:pt idx="12">
                  <c:v>976.94178588387911</c:v>
                </c:pt>
                <c:pt idx="13">
                  <c:v>1046.0837030917044</c:v>
                </c:pt>
                <c:pt idx="14">
                  <c:v>1115.1637199225986</c:v>
                </c:pt>
                <c:pt idx="15">
                  <c:v>1184.1845230675146</c:v>
                </c:pt>
                <c:pt idx="16">
                  <c:v>1253.1487879558099</c:v>
                </c:pt>
                <c:pt idx="17">
                  <c:v>1322.059129100699</c:v>
                </c:pt>
                <c:pt idx="18">
                  <c:v>1390.9180979065709</c:v>
                </c:pt>
                <c:pt idx="19">
                  <c:v>1459.7282646397787</c:v>
                </c:pt>
                <c:pt idx="20">
                  <c:v>1528.4922011855226</c:v>
                </c:pt>
                <c:pt idx="21">
                  <c:v>1597.2124812562565</c:v>
                </c:pt>
                <c:pt idx="22">
                  <c:v>1665.8916766380241</c:v>
                </c:pt>
                <c:pt idx="23">
                  <c:v>1734.5323512631862</c:v>
                </c:pt>
                <c:pt idx="24">
                  <c:v>1803.1370548778893</c:v>
                </c:pt>
                <c:pt idx="25">
                  <c:v>1871.7083180233742</c:v>
                </c:pt>
                <c:pt idx="26">
                  <c:v>1940.2486500216612</c:v>
                </c:pt>
                <c:pt idx="27">
                  <c:v>2008.7605415968012</c:v>
                </c:pt>
                <c:pt idx="28">
                  <c:v>2077.2464737118285</c:v>
                </c:pt>
                <c:pt idx="29">
                  <c:v>2145.7089341404912</c:v>
                </c:pt>
                <c:pt idx="30">
                  <c:v>2214.1504432236957</c:v>
                </c:pt>
                <c:pt idx="31">
                  <c:v>2282.573590181476</c:v>
                </c:pt>
                <c:pt idx="32">
                  <c:v>2350.9810812812602</c:v>
                </c:pt>
                <c:pt idx="33">
                  <c:v>2419.3758010650495</c:v>
                </c:pt>
                <c:pt idx="34">
                  <c:v>2487.7608877499215</c:v>
                </c:pt>
                <c:pt idx="35">
                  <c:v>2526.2450653689421</c:v>
                </c:pt>
                <c:pt idx="36">
                  <c:v>2556.1383732792988</c:v>
                </c:pt>
                <c:pt idx="37">
                  <c:v>2624.509241184131</c:v>
                </c:pt>
                <c:pt idx="38">
                  <c:v>2692.8772106808624</c:v>
                </c:pt>
                <c:pt idx="39">
                  <c:v>2761.2448265377657</c:v>
                </c:pt>
                <c:pt idx="40">
                  <c:v>2829.6146369382541</c:v>
                </c:pt>
                <c:pt idx="41">
                  <c:v>2897.9891935567912</c:v>
                </c:pt>
                <c:pt idx="42">
                  <c:v>2966.3710516375072</c:v>
                </c:pt>
                <c:pt idx="43">
                  <c:v>3034.7627700713206</c:v>
                </c:pt>
                <c:pt idx="44">
                  <c:v>3103.1669114778488</c:v>
                </c:pt>
                <c:pt idx="45">
                  <c:v>3171.5860422865253</c:v>
                </c:pt>
                <c:pt idx="46">
                  <c:v>3240.0227328199016</c:v>
                </c:pt>
                <c:pt idx="47">
                  <c:v>3308.4795573764482</c:v>
                </c:pt>
                <c:pt idx="48">
                  <c:v>3376.9590943174207</c:v>
                </c:pt>
                <c:pt idx="49">
                  <c:v>3445.463926150619</c:v>
                </c:pt>
                <c:pt idx="50">
                  <c:v>3513.996639617445</c:v>
                </c:pt>
                <c:pt idx="51">
                  <c:v>3582.5598257796491</c:v>
                </c:pt>
                <c:pt idx="52">
                  <c:v>3651.1560801068363</c:v>
                </c:pt>
                <c:pt idx="53">
                  <c:v>3719.7880025633513</c:v>
                </c:pt>
                <c:pt idx="54">
                  <c:v>3788.4577945426804</c:v>
                </c:pt>
                <c:pt idx="55">
                  <c:v>3857.1688801838536</c:v>
                </c:pt>
                <c:pt idx="56">
                  <c:v>3925.9234046663755</c:v>
                </c:pt>
                <c:pt idx="57">
                  <c:v>3994.7238394573046</c:v>
                </c:pt>
                <c:pt idx="58">
                  <c:v>4063.5727730996805</c:v>
                </c:pt>
                <c:pt idx="59">
                  <c:v>4132.4727773393352</c:v>
                </c:pt>
                <c:pt idx="60">
                  <c:v>4201.4263436803139</c:v>
                </c:pt>
                <c:pt idx="61">
                  <c:v>4270.4358428503911</c:v>
                </c:pt>
                <c:pt idx="62">
                  <c:v>4339.5034586323436</c:v>
                </c:pt>
                <c:pt idx="63">
                  <c:v>4408.6310466918812</c:v>
                </c:pt>
                <c:pt idx="64">
                  <c:v>4477.8198669722042</c:v>
                </c:pt>
                <c:pt idx="65">
                  <c:v>4547.0700958276184</c:v>
                </c:pt>
                <c:pt idx="66">
                  <c:v>4616.3799031749541</c:v>
                </c:pt>
                <c:pt idx="67">
                  <c:v>4685.7449857295205</c:v>
                </c:pt>
                <c:pt idx="68">
                  <c:v>4755.1652247567117</c:v>
                </c:pt>
                <c:pt idx="69">
                  <c:v>4824.6433764970488</c:v>
                </c:pt>
                <c:pt idx="70">
                  <c:v>4894.1822772433379</c:v>
                </c:pt>
                <c:pt idx="71">
                  <c:v>4963.7846306330275</c:v>
                </c:pt>
                <c:pt idx="72">
                  <c:v>5033.452963042474</c:v>
                </c:pt>
                <c:pt idx="73">
                  <c:v>5103.189692134185</c:v>
                </c:pt>
                <c:pt idx="74">
                  <c:v>5172.9972613150558</c:v>
                </c:pt>
                <c:pt idx="75">
                  <c:v>5242.8782925047835</c:v>
                </c:pt>
                <c:pt idx="76">
                  <c:v>5312.8357093701597</c:v>
                </c:pt>
                <c:pt idx="77">
                  <c:v>5382.8727832048799</c:v>
                </c:pt>
                <c:pt idx="78">
                  <c:v>5452.9930538081562</c:v>
                </c:pt>
                <c:pt idx="79">
                  <c:v>5523.2000780763565</c:v>
                </c:pt>
                <c:pt idx="80">
                  <c:v>5593.4969597475701</c:v>
                </c:pt>
                <c:pt idx="81">
                  <c:v>5663.8856141959859</c:v>
                </c:pt>
                <c:pt idx="82">
                  <c:v>5734.3657234534512</c:v>
                </c:pt>
                <c:pt idx="83">
                  <c:v>5755.5271245015392</c:v>
                </c:pt>
              </c:numCache>
            </c:numRef>
          </c:xVal>
          <c:yVal>
            <c:numRef>
              <c:f>'Compute Ephemeris'!$D$8:$D$91</c:f>
              <c:numCache>
                <c:formatCode>#,##0.00</c:formatCode>
                <c:ptCount val="84"/>
                <c:pt idx="0">
                  <c:v>68.405514425340698</c:v>
                </c:pt>
                <c:pt idx="1">
                  <c:v>72.25869371580302</c:v>
                </c:pt>
                <c:pt idx="2">
                  <c:v>76.090545935895534</c:v>
                </c:pt>
                <c:pt idx="3">
                  <c:v>79.845264858711744</c:v>
                </c:pt>
                <c:pt idx="4">
                  <c:v>83.493003825102278</c:v>
                </c:pt>
                <c:pt idx="5">
                  <c:v>87.030089759129623</c:v>
                </c:pt>
                <c:pt idx="6">
                  <c:v>90.457367687586157</c:v>
                </c:pt>
                <c:pt idx="7">
                  <c:v>93.774206595394389</c:v>
                </c:pt>
                <c:pt idx="8">
                  <c:v>96.98028378240906</c:v>
                </c:pt>
                <c:pt idx="9">
                  <c:v>100.07530455283631</c:v>
                </c:pt>
                <c:pt idx="10">
                  <c:v>103.05895692725062</c:v>
                </c:pt>
                <c:pt idx="11">
                  <c:v>105.93092852355858</c:v>
                </c:pt>
                <c:pt idx="12">
                  <c:v>108.69091241538172</c:v>
                </c:pt>
                <c:pt idx="13">
                  <c:v>111.33861465506925</c:v>
                </c:pt>
                <c:pt idx="14">
                  <c:v>113.87374729694329</c:v>
                </c:pt>
                <c:pt idx="15">
                  <c:v>116.29603252787911</c:v>
                </c:pt>
                <c:pt idx="16">
                  <c:v>118.6052121865423</c:v>
                </c:pt>
                <c:pt idx="17">
                  <c:v>120.80103625578067</c:v>
                </c:pt>
                <c:pt idx="18">
                  <c:v>122.88325786494534</c:v>
                </c:pt>
                <c:pt idx="19">
                  <c:v>124.85164662827538</c:v>
                </c:pt>
                <c:pt idx="20">
                  <c:v>126.7059853804567</c:v>
                </c:pt>
                <c:pt idx="21">
                  <c:v>128.44607005869966</c:v>
                </c:pt>
                <c:pt idx="22">
                  <c:v>130.07170873388804</c:v>
                </c:pt>
                <c:pt idx="23">
                  <c:v>131.58271988391516</c:v>
                </c:pt>
                <c:pt idx="24">
                  <c:v>132.97893016380112</c:v>
                </c:pt>
                <c:pt idx="25">
                  <c:v>134.26017208627218</c:v>
                </c:pt>
                <c:pt idx="26">
                  <c:v>135.4262821843804</c:v>
                </c:pt>
                <c:pt idx="27">
                  <c:v>136.4771003819842</c:v>
                </c:pt>
                <c:pt idx="28">
                  <c:v>137.41247145085981</c:v>
                </c:pt>
                <c:pt idx="29">
                  <c:v>138.23224958219998</c:v>
                </c:pt>
                <c:pt idx="30">
                  <c:v>138.9363072472479</c:v>
                </c:pt>
                <c:pt idx="31">
                  <c:v>139.52454966476307</c:v>
                </c:pt>
                <c:pt idx="32">
                  <c:v>139.99693633328025</c:v>
                </c:pt>
                <c:pt idx="33">
                  <c:v>140.35351122234624</c:v>
                </c:pt>
                <c:pt idx="34">
                  <c:v>140.5944433492823</c:v>
                </c:pt>
                <c:pt idx="35">
                  <c:v>140.67930466471262</c:v>
                </c:pt>
                <c:pt idx="36">
                  <c:v>140.71948358216923</c:v>
                </c:pt>
                <c:pt idx="37">
                  <c:v>140.72797003611049</c:v>
                </c:pt>
                <c:pt idx="38">
                  <c:v>140.62033748155682</c:v>
                </c:pt>
                <c:pt idx="39">
                  <c:v>140.3965467944472</c:v>
                </c:pt>
                <c:pt idx="40">
                  <c:v>140.05657120788874</c:v>
                </c:pt>
                <c:pt idx="41">
                  <c:v>139.60039629217499</c:v>
                </c:pt>
                <c:pt idx="42">
                  <c:v>139.02801993705089</c:v>
                </c:pt>
                <c:pt idx="43">
                  <c:v>138.33945233621034</c:v>
                </c:pt>
                <c:pt idx="44">
                  <c:v>137.53471597400767</c:v>
                </c:pt>
                <c:pt idx="45">
                  <c:v>136.61384561449358</c:v>
                </c:pt>
                <c:pt idx="46">
                  <c:v>135.57688829269409</c:v>
                </c:pt>
                <c:pt idx="47">
                  <c:v>134.4239033082049</c:v>
                </c:pt>
                <c:pt idx="48">
                  <c:v>133.15496222111597</c:v>
                </c:pt>
                <c:pt idx="49">
                  <c:v>131.77014885021981</c:v>
                </c:pt>
                <c:pt idx="50">
                  <c:v>130.26955927364452</c:v>
                </c:pt>
                <c:pt idx="51">
                  <c:v>128.6533018317532</c:v>
                </c:pt>
                <c:pt idx="52">
                  <c:v>126.92149713246454</c:v>
                </c:pt>
                <c:pt idx="53">
                  <c:v>125.07427805897714</c:v>
                </c:pt>
                <c:pt idx="54">
                  <c:v>123.11181270731231</c:v>
                </c:pt>
                <c:pt idx="55">
                  <c:v>121.03406714540506</c:v>
                </c:pt>
                <c:pt idx="56">
                  <c:v>118.84132069779571</c:v>
                </c:pt>
                <c:pt idx="57">
                  <c:v>116.53376677372944</c:v>
                </c:pt>
                <c:pt idx="58">
                  <c:v>114.1115766493067</c:v>
                </c:pt>
                <c:pt idx="59">
                  <c:v>111.57493076233732</c:v>
                </c:pt>
                <c:pt idx="60">
                  <c:v>108.92402673248125</c:v>
                </c:pt>
                <c:pt idx="61">
                  <c:v>106.15907742965555</c:v>
                </c:pt>
                <c:pt idx="62">
                  <c:v>103.2803079321684</c:v>
                </c:pt>
                <c:pt idx="63">
                  <c:v>100.28795569289741</c:v>
                </c:pt>
                <c:pt idx="64">
                  <c:v>97.182273875302599</c:v>
                </c:pt>
                <c:pt idx="65">
                  <c:v>93.963537634239401</c:v>
                </c:pt>
                <c:pt idx="66">
                  <c:v>90.632058143556606</c:v>
                </c:pt>
                <c:pt idx="67">
                  <c:v>87.188155322995954</c:v>
                </c:pt>
                <c:pt idx="68">
                  <c:v>83.631842578402029</c:v>
                </c:pt>
                <c:pt idx="69">
                  <c:v>79.962989050714896</c:v>
                </c:pt>
                <c:pt idx="70">
                  <c:v>76.181478581183001</c:v>
                </c:pt>
                <c:pt idx="71">
                  <c:v>72.287212033944343</c:v>
                </c:pt>
                <c:pt idx="72">
                  <c:v>68.280098007853667</c:v>
                </c:pt>
                <c:pt idx="73">
                  <c:v>64.160043866752858</c:v>
                </c:pt>
                <c:pt idx="74">
                  <c:v>59.92695435440055</c:v>
                </c:pt>
                <c:pt idx="75">
                  <c:v>55.580740438704197</c:v>
                </c:pt>
                <c:pt idx="76">
                  <c:v>51.121336908910962</c:v>
                </c:pt>
                <c:pt idx="77">
                  <c:v>46.548722600946348</c:v>
                </c:pt>
                <c:pt idx="78">
                  <c:v>41.862932761128832</c:v>
                </c:pt>
                <c:pt idx="79">
                  <c:v>37.064048935534629</c:v>
                </c:pt>
                <c:pt idx="80">
                  <c:v>32.152146090648785</c:v>
                </c:pt>
                <c:pt idx="81">
                  <c:v>27.127175095045459</c:v>
                </c:pt>
                <c:pt idx="82">
                  <c:v>21.988750099062599</c:v>
                </c:pt>
                <c:pt idx="83">
                  <c:v>20.424965879874435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A-47F6-B1E7-18BCDD8A0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96576"/>
        <c:axId val="487898496"/>
      </c:scatterChart>
      <c:valAx>
        <c:axId val="48789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7898496"/>
        <c:crosses val="autoZero"/>
        <c:crossBetween val="midCat"/>
      </c:valAx>
      <c:valAx>
        <c:axId val="487898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Altitude,</a:t>
                </a:r>
                <a:r>
                  <a:rPr lang="en-CA" baseline="0"/>
                  <a:t> km</a:t>
                </a:r>
                <a:endParaRPr lang="en-CA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7896576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1990-094</a:t>
            </a:r>
            <a:r>
              <a:rPr lang="en-US"/>
              <a:t>C Re-entry</a:t>
            </a:r>
          </a:p>
          <a:p>
            <a:pPr>
              <a:defRPr/>
            </a:pPr>
            <a:r>
              <a:rPr lang="en-US"/>
              <a:t>Altitude vs. Range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494146759347251E-2"/>
          <c:y val="0.12943637916039083"/>
          <c:w val="0.89252176767094493"/>
          <c:h val="0.77708878375148738"/>
        </c:manualLayout>
      </c:layout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'Compute Ephemeris'!$AI$8:$AI$91</c:f>
              <c:numCache>
                <c:formatCode>0.0</c:formatCode>
                <c:ptCount val="84"/>
                <c:pt idx="0">
                  <c:v>134.11449758361934</c:v>
                </c:pt>
                <c:pt idx="1">
                  <c:v>208.11516582256689</c:v>
                </c:pt>
                <c:pt idx="2">
                  <c:v>280.38989839113691</c:v>
                </c:pt>
                <c:pt idx="3">
                  <c:v>351.12426099340638</c:v>
                </c:pt>
                <c:pt idx="4">
                  <c:v>421.13602216647894</c:v>
                </c:pt>
                <c:pt idx="5">
                  <c:v>490.92306852473058</c:v>
                </c:pt>
                <c:pt idx="6">
                  <c:v>560.60736567675872</c:v>
                </c:pt>
                <c:pt idx="7">
                  <c:v>630.19492009503051</c:v>
                </c:pt>
                <c:pt idx="8">
                  <c:v>699.69523060297547</c:v>
                </c:pt>
                <c:pt idx="9">
                  <c:v>769.1155231155908</c:v>
                </c:pt>
                <c:pt idx="10">
                  <c:v>838.46086048408586</c:v>
                </c:pt>
                <c:pt idx="11">
                  <c:v>907.73517499056459</c:v>
                </c:pt>
                <c:pt idx="12">
                  <c:v>976.94178588387911</c:v>
                </c:pt>
                <c:pt idx="13">
                  <c:v>1046.0837030917044</c:v>
                </c:pt>
                <c:pt idx="14">
                  <c:v>1115.1637199225986</c:v>
                </c:pt>
                <c:pt idx="15">
                  <c:v>1184.1845230675146</c:v>
                </c:pt>
                <c:pt idx="16">
                  <c:v>1253.1487879558099</c:v>
                </c:pt>
                <c:pt idx="17">
                  <c:v>1322.059129100699</c:v>
                </c:pt>
                <c:pt idx="18">
                  <c:v>1390.9180979065709</c:v>
                </c:pt>
                <c:pt idx="19">
                  <c:v>1459.7282646397787</c:v>
                </c:pt>
                <c:pt idx="20">
                  <c:v>1528.4922011855226</c:v>
                </c:pt>
                <c:pt idx="21">
                  <c:v>1597.2124812562565</c:v>
                </c:pt>
                <c:pt idx="22">
                  <c:v>1665.8916766380241</c:v>
                </c:pt>
                <c:pt idx="23">
                  <c:v>1734.5323512631862</c:v>
                </c:pt>
                <c:pt idx="24">
                  <c:v>1803.1370548778893</c:v>
                </c:pt>
                <c:pt idx="25">
                  <c:v>1871.7083180233742</c:v>
                </c:pt>
                <c:pt idx="26">
                  <c:v>1940.2486500216612</c:v>
                </c:pt>
                <c:pt idx="27">
                  <c:v>2008.7605415968012</c:v>
                </c:pt>
                <c:pt idx="28">
                  <c:v>2077.2464737118285</c:v>
                </c:pt>
                <c:pt idx="29">
                  <c:v>2145.7089341404912</c:v>
                </c:pt>
                <c:pt idx="30">
                  <c:v>2214.1504432236957</c:v>
                </c:pt>
                <c:pt idx="31">
                  <c:v>2282.573590181476</c:v>
                </c:pt>
                <c:pt idx="32">
                  <c:v>2350.9810812812602</c:v>
                </c:pt>
                <c:pt idx="33">
                  <c:v>2419.3758010650495</c:v>
                </c:pt>
                <c:pt idx="34">
                  <c:v>2487.7608877499215</c:v>
                </c:pt>
                <c:pt idx="35">
                  <c:v>2526.2450653689421</c:v>
                </c:pt>
                <c:pt idx="36">
                  <c:v>2556.1383732792988</c:v>
                </c:pt>
                <c:pt idx="37">
                  <c:v>2624.509241184131</c:v>
                </c:pt>
                <c:pt idx="38">
                  <c:v>2692.8772106808624</c:v>
                </c:pt>
                <c:pt idx="39">
                  <c:v>2761.2448265377657</c:v>
                </c:pt>
                <c:pt idx="40">
                  <c:v>2829.6146369382541</c:v>
                </c:pt>
                <c:pt idx="41">
                  <c:v>2897.9891935567912</c:v>
                </c:pt>
                <c:pt idx="42">
                  <c:v>2966.3710516375072</c:v>
                </c:pt>
                <c:pt idx="43">
                  <c:v>3034.7627700713206</c:v>
                </c:pt>
                <c:pt idx="44">
                  <c:v>3103.1669114778488</c:v>
                </c:pt>
                <c:pt idx="45">
                  <c:v>3171.5860422865253</c:v>
                </c:pt>
                <c:pt idx="46">
                  <c:v>3240.0227328199016</c:v>
                </c:pt>
                <c:pt idx="47">
                  <c:v>3308.4795573764482</c:v>
                </c:pt>
                <c:pt idx="48">
                  <c:v>3376.9590943174207</c:v>
                </c:pt>
                <c:pt idx="49">
                  <c:v>3445.463926150619</c:v>
                </c:pt>
                <c:pt idx="50">
                  <c:v>3513.996639617445</c:v>
                </c:pt>
                <c:pt idx="51">
                  <c:v>3582.5598257796491</c:v>
                </c:pt>
                <c:pt idx="52">
                  <c:v>3651.1560801068363</c:v>
                </c:pt>
                <c:pt idx="53">
                  <c:v>3719.7880025633513</c:v>
                </c:pt>
                <c:pt idx="54">
                  <c:v>3788.4577945426804</c:v>
                </c:pt>
                <c:pt idx="55">
                  <c:v>3857.1688801838536</c:v>
                </c:pt>
                <c:pt idx="56">
                  <c:v>3925.9234046663755</c:v>
                </c:pt>
                <c:pt idx="57">
                  <c:v>3994.7238394573046</c:v>
                </c:pt>
                <c:pt idx="58">
                  <c:v>4063.5727730996805</c:v>
                </c:pt>
                <c:pt idx="59">
                  <c:v>4132.4727773393352</c:v>
                </c:pt>
                <c:pt idx="60">
                  <c:v>4201.4263436803139</c:v>
                </c:pt>
                <c:pt idx="61">
                  <c:v>4270.4358428503911</c:v>
                </c:pt>
                <c:pt idx="62">
                  <c:v>4339.5034586323436</c:v>
                </c:pt>
                <c:pt idx="63">
                  <c:v>4408.6310466918812</c:v>
                </c:pt>
                <c:pt idx="64">
                  <c:v>4477.8198669722042</c:v>
                </c:pt>
                <c:pt idx="65">
                  <c:v>4547.0700958276184</c:v>
                </c:pt>
                <c:pt idx="66">
                  <c:v>4616.3799031749541</c:v>
                </c:pt>
                <c:pt idx="67">
                  <c:v>4685.7449857295205</c:v>
                </c:pt>
                <c:pt idx="68">
                  <c:v>4755.1652247567117</c:v>
                </c:pt>
                <c:pt idx="69">
                  <c:v>4824.6433764970488</c:v>
                </c:pt>
                <c:pt idx="70">
                  <c:v>4894.1822772433379</c:v>
                </c:pt>
                <c:pt idx="71">
                  <c:v>4963.7846306330275</c:v>
                </c:pt>
                <c:pt idx="72">
                  <c:v>5033.452963042474</c:v>
                </c:pt>
                <c:pt idx="73">
                  <c:v>5103.189692134185</c:v>
                </c:pt>
                <c:pt idx="74">
                  <c:v>5172.9972613150558</c:v>
                </c:pt>
                <c:pt idx="75">
                  <c:v>5242.8782925047835</c:v>
                </c:pt>
                <c:pt idx="76">
                  <c:v>5312.8357093701597</c:v>
                </c:pt>
                <c:pt idx="77">
                  <c:v>5382.8727832048799</c:v>
                </c:pt>
                <c:pt idx="78">
                  <c:v>5452.9930538081562</c:v>
                </c:pt>
                <c:pt idx="79">
                  <c:v>5523.2000780763565</c:v>
                </c:pt>
                <c:pt idx="80">
                  <c:v>5593.4969597475701</c:v>
                </c:pt>
                <c:pt idx="81">
                  <c:v>5663.8856141959859</c:v>
                </c:pt>
                <c:pt idx="82">
                  <c:v>5734.3657234534512</c:v>
                </c:pt>
                <c:pt idx="83">
                  <c:v>5755.5271245015392</c:v>
                </c:pt>
              </c:numCache>
            </c:numRef>
          </c:xVal>
          <c:yVal>
            <c:numRef>
              <c:f>'Compute Ephemeris'!$D$8:$D$91</c:f>
              <c:numCache>
                <c:formatCode>#,##0.00</c:formatCode>
                <c:ptCount val="84"/>
                <c:pt idx="0">
                  <c:v>68.405514425340698</c:v>
                </c:pt>
                <c:pt idx="1">
                  <c:v>72.25869371580302</c:v>
                </c:pt>
                <c:pt idx="2">
                  <c:v>76.090545935895534</c:v>
                </c:pt>
                <c:pt idx="3">
                  <c:v>79.845264858711744</c:v>
                </c:pt>
                <c:pt idx="4">
                  <c:v>83.493003825102278</c:v>
                </c:pt>
                <c:pt idx="5">
                  <c:v>87.030089759129623</c:v>
                </c:pt>
                <c:pt idx="6">
                  <c:v>90.457367687586157</c:v>
                </c:pt>
                <c:pt idx="7">
                  <c:v>93.774206595394389</c:v>
                </c:pt>
                <c:pt idx="8">
                  <c:v>96.98028378240906</c:v>
                </c:pt>
                <c:pt idx="9">
                  <c:v>100.07530455283631</c:v>
                </c:pt>
                <c:pt idx="10">
                  <c:v>103.05895692725062</c:v>
                </c:pt>
                <c:pt idx="11">
                  <c:v>105.93092852355858</c:v>
                </c:pt>
                <c:pt idx="12">
                  <c:v>108.69091241538172</c:v>
                </c:pt>
                <c:pt idx="13">
                  <c:v>111.33861465506925</c:v>
                </c:pt>
                <c:pt idx="14">
                  <c:v>113.87374729694329</c:v>
                </c:pt>
                <c:pt idx="15">
                  <c:v>116.29603252787911</c:v>
                </c:pt>
                <c:pt idx="16">
                  <c:v>118.6052121865423</c:v>
                </c:pt>
                <c:pt idx="17">
                  <c:v>120.80103625578067</c:v>
                </c:pt>
                <c:pt idx="18">
                  <c:v>122.88325786494534</c:v>
                </c:pt>
                <c:pt idx="19">
                  <c:v>124.85164662827538</c:v>
                </c:pt>
                <c:pt idx="20">
                  <c:v>126.7059853804567</c:v>
                </c:pt>
                <c:pt idx="21">
                  <c:v>128.44607005869966</c:v>
                </c:pt>
                <c:pt idx="22">
                  <c:v>130.07170873388804</c:v>
                </c:pt>
                <c:pt idx="23">
                  <c:v>131.58271988391516</c:v>
                </c:pt>
                <c:pt idx="24">
                  <c:v>132.97893016380112</c:v>
                </c:pt>
                <c:pt idx="25">
                  <c:v>134.26017208627218</c:v>
                </c:pt>
                <c:pt idx="26">
                  <c:v>135.4262821843804</c:v>
                </c:pt>
                <c:pt idx="27">
                  <c:v>136.4771003819842</c:v>
                </c:pt>
                <c:pt idx="28">
                  <c:v>137.41247145085981</c:v>
                </c:pt>
                <c:pt idx="29">
                  <c:v>138.23224958219998</c:v>
                </c:pt>
                <c:pt idx="30">
                  <c:v>138.9363072472479</c:v>
                </c:pt>
                <c:pt idx="31">
                  <c:v>139.52454966476307</c:v>
                </c:pt>
                <c:pt idx="32">
                  <c:v>139.99693633328025</c:v>
                </c:pt>
                <c:pt idx="33">
                  <c:v>140.35351122234624</c:v>
                </c:pt>
                <c:pt idx="34">
                  <c:v>140.5944433492823</c:v>
                </c:pt>
                <c:pt idx="35">
                  <c:v>140.67930466471262</c:v>
                </c:pt>
                <c:pt idx="36">
                  <c:v>140.71948358216923</c:v>
                </c:pt>
                <c:pt idx="37">
                  <c:v>140.72797003611049</c:v>
                </c:pt>
                <c:pt idx="38">
                  <c:v>140.62033748155682</c:v>
                </c:pt>
                <c:pt idx="39">
                  <c:v>140.3965467944472</c:v>
                </c:pt>
                <c:pt idx="40">
                  <c:v>140.05657120788874</c:v>
                </c:pt>
                <c:pt idx="41">
                  <c:v>139.60039629217499</c:v>
                </c:pt>
                <c:pt idx="42">
                  <c:v>139.02801993705089</c:v>
                </c:pt>
                <c:pt idx="43">
                  <c:v>138.33945233621034</c:v>
                </c:pt>
                <c:pt idx="44">
                  <c:v>137.53471597400767</c:v>
                </c:pt>
                <c:pt idx="45">
                  <c:v>136.61384561449358</c:v>
                </c:pt>
                <c:pt idx="46">
                  <c:v>135.57688829269409</c:v>
                </c:pt>
                <c:pt idx="47">
                  <c:v>134.4239033082049</c:v>
                </c:pt>
                <c:pt idx="48">
                  <c:v>133.15496222111597</c:v>
                </c:pt>
                <c:pt idx="49">
                  <c:v>131.77014885021981</c:v>
                </c:pt>
                <c:pt idx="50">
                  <c:v>130.26955927364452</c:v>
                </c:pt>
                <c:pt idx="51">
                  <c:v>128.6533018317532</c:v>
                </c:pt>
                <c:pt idx="52">
                  <c:v>126.92149713246454</c:v>
                </c:pt>
                <c:pt idx="53">
                  <c:v>125.07427805897714</c:v>
                </c:pt>
                <c:pt idx="54">
                  <c:v>123.11181270731231</c:v>
                </c:pt>
                <c:pt idx="55">
                  <c:v>121.03406714540506</c:v>
                </c:pt>
                <c:pt idx="56">
                  <c:v>118.84132069779571</c:v>
                </c:pt>
                <c:pt idx="57">
                  <c:v>116.53376677372944</c:v>
                </c:pt>
                <c:pt idx="58">
                  <c:v>114.1115766493067</c:v>
                </c:pt>
                <c:pt idx="59">
                  <c:v>111.57493076233732</c:v>
                </c:pt>
                <c:pt idx="60">
                  <c:v>108.92402673248125</c:v>
                </c:pt>
                <c:pt idx="61">
                  <c:v>106.15907742965555</c:v>
                </c:pt>
                <c:pt idx="62">
                  <c:v>103.2803079321684</c:v>
                </c:pt>
                <c:pt idx="63">
                  <c:v>100.28795569289741</c:v>
                </c:pt>
                <c:pt idx="64">
                  <c:v>97.182273875302599</c:v>
                </c:pt>
                <c:pt idx="65">
                  <c:v>93.963537634239401</c:v>
                </c:pt>
                <c:pt idx="66">
                  <c:v>90.632058143556606</c:v>
                </c:pt>
                <c:pt idx="67">
                  <c:v>87.188155322995954</c:v>
                </c:pt>
                <c:pt idx="68">
                  <c:v>83.631842578402029</c:v>
                </c:pt>
                <c:pt idx="69">
                  <c:v>79.962989050714896</c:v>
                </c:pt>
                <c:pt idx="70">
                  <c:v>76.181478581183001</c:v>
                </c:pt>
                <c:pt idx="71">
                  <c:v>72.287212033944343</c:v>
                </c:pt>
                <c:pt idx="72">
                  <c:v>68.280098007853667</c:v>
                </c:pt>
                <c:pt idx="73">
                  <c:v>64.160043866752858</c:v>
                </c:pt>
                <c:pt idx="74">
                  <c:v>59.92695435440055</c:v>
                </c:pt>
                <c:pt idx="75">
                  <c:v>55.580740438704197</c:v>
                </c:pt>
                <c:pt idx="76">
                  <c:v>51.121336908910962</c:v>
                </c:pt>
                <c:pt idx="77">
                  <c:v>46.548722600946348</c:v>
                </c:pt>
                <c:pt idx="78">
                  <c:v>41.862932761128832</c:v>
                </c:pt>
                <c:pt idx="79">
                  <c:v>37.064048935534629</c:v>
                </c:pt>
                <c:pt idx="80">
                  <c:v>32.152146090648785</c:v>
                </c:pt>
                <c:pt idx="81">
                  <c:v>27.127175095045459</c:v>
                </c:pt>
                <c:pt idx="82">
                  <c:v>21.988750099062599</c:v>
                </c:pt>
                <c:pt idx="83">
                  <c:v>20.424965879874435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7-4C41-B01A-80DB199B3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79360"/>
        <c:axId val="488081664"/>
      </c:scatterChart>
      <c:valAx>
        <c:axId val="48807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aseline="0"/>
                </a:pPr>
                <a:r>
                  <a:rPr lang="en-CA" sz="1400" baseline="0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081664"/>
        <c:crosses val="autoZero"/>
        <c:crossBetween val="midCat"/>
      </c:valAx>
      <c:valAx>
        <c:axId val="48808166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aseline="0"/>
                </a:pPr>
                <a:r>
                  <a:rPr lang="en-CA" sz="1400" baseline="0"/>
                  <a:t>Altitude, km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079360"/>
        <c:crosses val="autoZero"/>
        <c:crossBetween val="midCat"/>
      </c:valAx>
      <c:spPr>
        <a:noFill/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Deceleration vs. Range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Ephemeris'!$AI$8:$AI$91</c:f>
              <c:numCache>
                <c:formatCode>0.0</c:formatCode>
                <c:ptCount val="84"/>
                <c:pt idx="0">
                  <c:v>134.11449758361934</c:v>
                </c:pt>
                <c:pt idx="1">
                  <c:v>208.11516582256689</c:v>
                </c:pt>
                <c:pt idx="2">
                  <c:v>280.38989839113691</c:v>
                </c:pt>
                <c:pt idx="3">
                  <c:v>351.12426099340638</c:v>
                </c:pt>
                <c:pt idx="4">
                  <c:v>421.13602216647894</c:v>
                </c:pt>
                <c:pt idx="5">
                  <c:v>490.92306852473058</c:v>
                </c:pt>
                <c:pt idx="6">
                  <c:v>560.60736567675872</c:v>
                </c:pt>
                <c:pt idx="7">
                  <c:v>630.19492009503051</c:v>
                </c:pt>
                <c:pt idx="8">
                  <c:v>699.69523060297547</c:v>
                </c:pt>
                <c:pt idx="9">
                  <c:v>769.1155231155908</c:v>
                </c:pt>
                <c:pt idx="10">
                  <c:v>838.46086048408586</c:v>
                </c:pt>
                <c:pt idx="11">
                  <c:v>907.73517499056459</c:v>
                </c:pt>
                <c:pt idx="12">
                  <c:v>976.94178588387911</c:v>
                </c:pt>
                <c:pt idx="13">
                  <c:v>1046.0837030917044</c:v>
                </c:pt>
                <c:pt idx="14">
                  <c:v>1115.1637199225986</c:v>
                </c:pt>
                <c:pt idx="15">
                  <c:v>1184.1845230675146</c:v>
                </c:pt>
                <c:pt idx="16">
                  <c:v>1253.1487879558099</c:v>
                </c:pt>
                <c:pt idx="17">
                  <c:v>1322.059129100699</c:v>
                </c:pt>
                <c:pt idx="18">
                  <c:v>1390.9180979065709</c:v>
                </c:pt>
                <c:pt idx="19">
                  <c:v>1459.7282646397787</c:v>
                </c:pt>
                <c:pt idx="20">
                  <c:v>1528.4922011855226</c:v>
                </c:pt>
                <c:pt idx="21">
                  <c:v>1597.2124812562565</c:v>
                </c:pt>
                <c:pt idx="22">
                  <c:v>1665.8916766380241</c:v>
                </c:pt>
                <c:pt idx="23">
                  <c:v>1734.5323512631862</c:v>
                </c:pt>
                <c:pt idx="24">
                  <c:v>1803.1370548778893</c:v>
                </c:pt>
                <c:pt idx="25">
                  <c:v>1871.7083180233742</c:v>
                </c:pt>
                <c:pt idx="26">
                  <c:v>1940.2486500216612</c:v>
                </c:pt>
                <c:pt idx="27">
                  <c:v>2008.7605415968012</c:v>
                </c:pt>
                <c:pt idx="28">
                  <c:v>2077.2464737118285</c:v>
                </c:pt>
                <c:pt idx="29">
                  <c:v>2145.7089341404912</c:v>
                </c:pt>
                <c:pt idx="30">
                  <c:v>2214.1504432236957</c:v>
                </c:pt>
                <c:pt idx="31">
                  <c:v>2282.573590181476</c:v>
                </c:pt>
                <c:pt idx="32">
                  <c:v>2350.9810812812602</c:v>
                </c:pt>
                <c:pt idx="33">
                  <c:v>2419.3758010650495</c:v>
                </c:pt>
                <c:pt idx="34">
                  <c:v>2487.7608877499215</c:v>
                </c:pt>
                <c:pt idx="35">
                  <c:v>2526.2450653689421</c:v>
                </c:pt>
                <c:pt idx="36">
                  <c:v>2556.1383732792988</c:v>
                </c:pt>
                <c:pt idx="37">
                  <c:v>2624.509241184131</c:v>
                </c:pt>
                <c:pt idx="38">
                  <c:v>2692.8772106808624</c:v>
                </c:pt>
                <c:pt idx="39">
                  <c:v>2761.2448265377657</c:v>
                </c:pt>
                <c:pt idx="40">
                  <c:v>2829.6146369382541</c:v>
                </c:pt>
                <c:pt idx="41">
                  <c:v>2897.9891935567912</c:v>
                </c:pt>
                <c:pt idx="42">
                  <c:v>2966.3710516375072</c:v>
                </c:pt>
                <c:pt idx="43">
                  <c:v>3034.7627700713206</c:v>
                </c:pt>
                <c:pt idx="44">
                  <c:v>3103.1669114778488</c:v>
                </c:pt>
                <c:pt idx="45">
                  <c:v>3171.5860422865253</c:v>
                </c:pt>
                <c:pt idx="46">
                  <c:v>3240.0227328199016</c:v>
                </c:pt>
                <c:pt idx="47">
                  <c:v>3308.4795573764482</c:v>
                </c:pt>
                <c:pt idx="48">
                  <c:v>3376.9590943174207</c:v>
                </c:pt>
                <c:pt idx="49">
                  <c:v>3445.463926150619</c:v>
                </c:pt>
                <c:pt idx="50">
                  <c:v>3513.996639617445</c:v>
                </c:pt>
                <c:pt idx="51">
                  <c:v>3582.5598257796491</c:v>
                </c:pt>
                <c:pt idx="52">
                  <c:v>3651.1560801068363</c:v>
                </c:pt>
                <c:pt idx="53">
                  <c:v>3719.7880025633513</c:v>
                </c:pt>
                <c:pt idx="54">
                  <c:v>3788.4577945426804</c:v>
                </c:pt>
                <c:pt idx="55">
                  <c:v>3857.1688801838536</c:v>
                </c:pt>
                <c:pt idx="56">
                  <c:v>3925.9234046663755</c:v>
                </c:pt>
                <c:pt idx="57">
                  <c:v>3994.7238394573046</c:v>
                </c:pt>
                <c:pt idx="58">
                  <c:v>4063.5727730996805</c:v>
                </c:pt>
                <c:pt idx="59">
                  <c:v>4132.4727773393352</c:v>
                </c:pt>
                <c:pt idx="60">
                  <c:v>4201.4263436803139</c:v>
                </c:pt>
                <c:pt idx="61">
                  <c:v>4270.4358428503911</c:v>
                </c:pt>
                <c:pt idx="62">
                  <c:v>4339.5034586323436</c:v>
                </c:pt>
                <c:pt idx="63">
                  <c:v>4408.6310466918812</c:v>
                </c:pt>
                <c:pt idx="64">
                  <c:v>4477.8198669722042</c:v>
                </c:pt>
                <c:pt idx="65">
                  <c:v>4547.0700958276184</c:v>
                </c:pt>
                <c:pt idx="66">
                  <c:v>4616.3799031749541</c:v>
                </c:pt>
                <c:pt idx="67">
                  <c:v>4685.7449857295205</c:v>
                </c:pt>
                <c:pt idx="68">
                  <c:v>4755.1652247567117</c:v>
                </c:pt>
                <c:pt idx="69">
                  <c:v>4824.6433764970488</c:v>
                </c:pt>
                <c:pt idx="70">
                  <c:v>4894.1822772433379</c:v>
                </c:pt>
                <c:pt idx="71">
                  <c:v>4963.7846306330275</c:v>
                </c:pt>
                <c:pt idx="72">
                  <c:v>5033.452963042474</c:v>
                </c:pt>
                <c:pt idx="73">
                  <c:v>5103.189692134185</c:v>
                </c:pt>
                <c:pt idx="74">
                  <c:v>5172.9972613150558</c:v>
                </c:pt>
                <c:pt idx="75">
                  <c:v>5242.8782925047835</c:v>
                </c:pt>
                <c:pt idx="76">
                  <c:v>5312.8357093701597</c:v>
                </c:pt>
                <c:pt idx="77">
                  <c:v>5382.8727832048799</c:v>
                </c:pt>
                <c:pt idx="78">
                  <c:v>5452.9930538081562</c:v>
                </c:pt>
                <c:pt idx="79">
                  <c:v>5523.2000780763565</c:v>
                </c:pt>
                <c:pt idx="80">
                  <c:v>5593.4969597475701</c:v>
                </c:pt>
                <c:pt idx="81">
                  <c:v>5663.8856141959859</c:v>
                </c:pt>
                <c:pt idx="82">
                  <c:v>5734.3657234534512</c:v>
                </c:pt>
                <c:pt idx="83">
                  <c:v>5755.5271245015392</c:v>
                </c:pt>
              </c:numCache>
            </c:numRef>
          </c:xVal>
          <c:yVal>
            <c:numRef>
              <c:f>'Compute Ephemeris'!$AB$8:$AB$91</c:f>
              <c:numCache>
                <c:formatCode>0.000</c:formatCode>
                <c:ptCount val="84"/>
                <c:pt idx="0">
                  <c:v>21.675650729926243</c:v>
                </c:pt>
                <c:pt idx="1">
                  <c:v>33.715915668645927</c:v>
                </c:pt>
                <c:pt idx="2">
                  <c:v>19.786668215721061</c:v>
                </c:pt>
                <c:pt idx="3">
                  <c:v>6.9861700717506858</c:v>
                </c:pt>
                <c:pt idx="4">
                  <c:v>1.2693696540037698</c:v>
                </c:pt>
                <c:pt idx="5">
                  <c:v>7.3335563653218638E-2</c:v>
                </c:pt>
                <c:pt idx="6">
                  <c:v>6.312017090555512E-2</c:v>
                </c:pt>
                <c:pt idx="7">
                  <c:v>5.9945828075669047E-2</c:v>
                </c:pt>
                <c:pt idx="8">
                  <c:v>5.1930290632477179E-2</c:v>
                </c:pt>
                <c:pt idx="9">
                  <c:v>4.6928726208629826E-2</c:v>
                </c:pt>
                <c:pt idx="10">
                  <c:v>4.3505977633751095E-2</c:v>
                </c:pt>
                <c:pt idx="11">
                  <c:v>4.091469953745365E-2</c:v>
                </c:pt>
                <c:pt idx="12">
                  <c:v>3.877040339297725E-2</c:v>
                </c:pt>
                <c:pt idx="13">
                  <c:v>3.6882453084559542E-2</c:v>
                </c:pt>
                <c:pt idx="14">
                  <c:v>3.5120171725459476E-2</c:v>
                </c:pt>
                <c:pt idx="15">
                  <c:v>3.3422398437989234E-2</c:v>
                </c:pt>
                <c:pt idx="16">
                  <c:v>3.1788637918148469E-2</c:v>
                </c:pt>
                <c:pt idx="17">
                  <c:v>3.0184293225400501E-2</c:v>
                </c:pt>
                <c:pt idx="18">
                  <c:v>2.8572048650702855E-2</c:v>
                </c:pt>
                <c:pt idx="19">
                  <c:v>2.6967612401207836E-2</c:v>
                </c:pt>
                <c:pt idx="20">
                  <c:v>2.5374562825062556E-2</c:v>
                </c:pt>
                <c:pt idx="21">
                  <c:v>2.3796008680057212E-2</c:v>
                </c:pt>
                <c:pt idx="22">
                  <c:v>2.2232115033869029E-2</c:v>
                </c:pt>
                <c:pt idx="23">
                  <c:v>2.0678784824333763E-2</c:v>
                </c:pt>
                <c:pt idx="24">
                  <c:v>1.9127480602533543E-2</c:v>
                </c:pt>
                <c:pt idx="25">
                  <c:v>1.7566164275029033E-2</c:v>
                </c:pt>
                <c:pt idx="26">
                  <c:v>1.598132599845202E-2</c:v>
                </c:pt>
                <c:pt idx="27">
                  <c:v>1.4361066800266414E-2</c:v>
                </c:pt>
                <c:pt idx="28">
                  <c:v>1.2699192983877571E-2</c:v>
                </c:pt>
                <c:pt idx="29">
                  <c:v>1.1000273960710747E-2</c:v>
                </c:pt>
                <c:pt idx="30">
                  <c:v>9.2856088554798977E-3</c:v>
                </c:pt>
                <c:pt idx="31">
                  <c:v>7.6000410430384401E-3</c:v>
                </c:pt>
                <c:pt idx="32">
                  <c:v>6.0195536664221809E-3</c:v>
                </c:pt>
                <c:pt idx="33">
                  <c:v>4.659572985492591E-3</c:v>
                </c:pt>
                <c:pt idx="34">
                  <c:v>3.6838997924106059E-3</c:v>
                </c:pt>
                <c:pt idx="35">
                  <c:v>3.3064302728721944E-3</c:v>
                </c:pt>
                <c:pt idx="36">
                  <c:v>1.196980676971019E-3</c:v>
                </c:pt>
                <c:pt idx="37">
                  <c:v>5.5779216376158496E-5</c:v>
                </c:pt>
                <c:pt idx="38">
                  <c:v>-1.5324383208856175E-3</c:v>
                </c:pt>
                <c:pt idx="39">
                  <c:v>-3.1207226798967052E-3</c:v>
                </c:pt>
                <c:pt idx="40">
                  <c:v>-4.7089689022691136E-3</c:v>
                </c:pt>
                <c:pt idx="41">
                  <c:v>-6.2970721176175727E-3</c:v>
                </c:pt>
                <c:pt idx="42">
                  <c:v>-7.8849275043857935E-3</c:v>
                </c:pt>
                <c:pt idx="43">
                  <c:v>-9.4724302497851218E-3</c:v>
                </c:pt>
                <c:pt idx="44">
                  <c:v>-1.105947551170788E-2</c:v>
                </c:pt>
                <c:pt idx="45">
                  <c:v>-1.2645958378203852E-2</c:v>
                </c:pt>
                <c:pt idx="46">
                  <c:v>-1.4231773829366589E-2</c:v>
                </c:pt>
                <c:pt idx="47">
                  <c:v>-1.5816816697561797E-2</c:v>
                </c:pt>
                <c:pt idx="48">
                  <c:v>-1.7400981629322462E-2</c:v>
                </c:pt>
                <c:pt idx="49">
                  <c:v>-1.8984163045649729E-2</c:v>
                </c:pt>
                <c:pt idx="50">
                  <c:v>-2.0566255103111424E-2</c:v>
                </c:pt>
                <c:pt idx="51">
                  <c:v>-2.2147151654911958E-2</c:v>
                </c:pt>
                <c:pt idx="52">
                  <c:v>-2.3726746211692431E-2</c:v>
                </c:pt>
                <c:pt idx="53">
                  <c:v>-2.5304931902428933E-2</c:v>
                </c:pt>
                <c:pt idx="54">
                  <c:v>-2.6692432371270967E-2</c:v>
                </c:pt>
                <c:pt idx="55">
                  <c:v>-2.8494048335913527E-2</c:v>
                </c:pt>
                <c:pt idx="56">
                  <c:v>-3.0052289738228481E-2</c:v>
                </c:pt>
                <c:pt idx="57">
                  <c:v>-3.1536970914271246E-2</c:v>
                </c:pt>
                <c:pt idx="58">
                  <c:v>-3.3005651716237816E-2</c:v>
                </c:pt>
                <c:pt idx="59">
                  <c:v>-3.4445260418225113E-2</c:v>
                </c:pt>
                <c:pt idx="60">
                  <c:v>-3.5808613779149352E-2</c:v>
                </c:pt>
                <c:pt idx="61">
                  <c:v>-3.7024208110578577E-2</c:v>
                </c:pt>
                <c:pt idx="62">
                  <c:v>-3.7978722492224296E-2</c:v>
                </c:pt>
                <c:pt idx="63">
                  <c:v>-3.8471836906909744E-2</c:v>
                </c:pt>
                <c:pt idx="64">
                  <c:v>-3.8141109025487827E-2</c:v>
                </c:pt>
                <c:pt idx="65">
                  <c:v>-3.6301527929618223E-2</c:v>
                </c:pt>
                <c:pt idx="66">
                  <c:v>-3.1684463257351407E-2</c:v>
                </c:pt>
                <c:pt idx="67">
                  <c:v>-2.6845400366755767E-2</c:v>
                </c:pt>
                <c:pt idx="68">
                  <c:v>-3.0083266151577113E-2</c:v>
                </c:pt>
                <c:pt idx="69">
                  <c:v>-2.9533594308320928E-2</c:v>
                </c:pt>
                <c:pt idx="70">
                  <c:v>-2.2957603031255058E-2</c:v>
                </c:pt>
                <c:pt idx="71">
                  <c:v>-1.6040590623440532E-2</c:v>
                </c:pt>
                <c:pt idx="72">
                  <c:v>-1.615097076752809E-2</c:v>
                </c:pt>
                <c:pt idx="73">
                  <c:v>-2.7989567742597463E-2</c:v>
                </c:pt>
                <c:pt idx="74">
                  <c:v>-5.1086577150167664E-2</c:v>
                </c:pt>
                <c:pt idx="75">
                  <c:v>-7.9146343423688301E-2</c:v>
                </c:pt>
                <c:pt idx="76">
                  <c:v>-0.10122833936915962</c:v>
                </c:pt>
                <c:pt idx="77">
                  <c:v>-0.10474117218336088</c:v>
                </c:pt>
                <c:pt idx="78">
                  <c:v>-8.0216580850653904E-2</c:v>
                </c:pt>
                <c:pt idx="79">
                  <c:v>-2.7821435250319066E-2</c:v>
                </c:pt>
                <c:pt idx="80">
                  <c:v>3.4447319622429376E-2</c:v>
                </c:pt>
                <c:pt idx="81">
                  <c:v>6.0961380016172483E-2</c:v>
                </c:pt>
                <c:pt idx="82">
                  <c:v>-3.2856065029610242E-2</c:v>
                </c:pt>
                <c:pt idx="83">
                  <c:v>-0.20629724359022958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5C-40A0-9918-B10CCF069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10976"/>
        <c:axId val="488512896"/>
      </c:scatterChart>
      <c:valAx>
        <c:axId val="48851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512896"/>
        <c:crosses val="autoZero"/>
        <c:crossBetween val="midCat"/>
      </c:valAx>
      <c:valAx>
        <c:axId val="488512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Deceleration, g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510976"/>
        <c:crosses val="autoZero"/>
        <c:crossBetween val="midCat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Altitude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Ephemeris'!$A$8:$A$91</c:f>
              <c:numCache>
                <c:formatCode>hh:mm:ss.0</c:formatCode>
                <c:ptCount val="84"/>
                <c:pt idx="0">
                  <c:v>0.72175925925925921</c:v>
                </c:pt>
                <c:pt idx="1">
                  <c:v>0.72187500000000004</c:v>
                </c:pt>
                <c:pt idx="2">
                  <c:v>0.72199074074074077</c:v>
                </c:pt>
                <c:pt idx="3">
                  <c:v>0.72210648148148149</c:v>
                </c:pt>
                <c:pt idx="4">
                  <c:v>0.72222222222222221</c:v>
                </c:pt>
                <c:pt idx="5">
                  <c:v>0.72233796296296293</c:v>
                </c:pt>
                <c:pt idx="6">
                  <c:v>0.72245370370370365</c:v>
                </c:pt>
                <c:pt idx="7">
                  <c:v>0.72256944444444449</c:v>
                </c:pt>
                <c:pt idx="8">
                  <c:v>0.72268518518518521</c:v>
                </c:pt>
                <c:pt idx="9">
                  <c:v>0.72280092592592593</c:v>
                </c:pt>
                <c:pt idx="10">
                  <c:v>0.72291666666666665</c:v>
                </c:pt>
                <c:pt idx="11">
                  <c:v>0.72303240740740737</c:v>
                </c:pt>
                <c:pt idx="12">
                  <c:v>0.7231481481481481</c:v>
                </c:pt>
                <c:pt idx="13">
                  <c:v>0.72326388888888893</c:v>
                </c:pt>
                <c:pt idx="14">
                  <c:v>0.72337962962962965</c:v>
                </c:pt>
                <c:pt idx="15">
                  <c:v>0.72349537037037037</c:v>
                </c:pt>
                <c:pt idx="16">
                  <c:v>0.72361111111111109</c:v>
                </c:pt>
                <c:pt idx="17">
                  <c:v>0.72372685185185182</c:v>
                </c:pt>
                <c:pt idx="18">
                  <c:v>0.72384259259259254</c:v>
                </c:pt>
                <c:pt idx="19">
                  <c:v>0.72395833333333337</c:v>
                </c:pt>
                <c:pt idx="20">
                  <c:v>0.72407407407407409</c:v>
                </c:pt>
                <c:pt idx="21">
                  <c:v>0.72418981481481481</c:v>
                </c:pt>
                <c:pt idx="22">
                  <c:v>0.72430555555555554</c:v>
                </c:pt>
                <c:pt idx="23">
                  <c:v>0.72442129629629626</c:v>
                </c:pt>
                <c:pt idx="24">
                  <c:v>0.72453703703703709</c:v>
                </c:pt>
                <c:pt idx="25">
                  <c:v>0.72465277777777781</c:v>
                </c:pt>
                <c:pt idx="26">
                  <c:v>0.72476851851851853</c:v>
                </c:pt>
                <c:pt idx="27">
                  <c:v>0.72488425925925926</c:v>
                </c:pt>
                <c:pt idx="28">
                  <c:v>0.72499999999999998</c:v>
                </c:pt>
                <c:pt idx="29">
                  <c:v>0.7251157407407407</c:v>
                </c:pt>
                <c:pt idx="30">
                  <c:v>0.72523148148148153</c:v>
                </c:pt>
                <c:pt idx="31">
                  <c:v>0.72534722222222225</c:v>
                </c:pt>
                <c:pt idx="32">
                  <c:v>0.72546296296296298</c:v>
                </c:pt>
                <c:pt idx="33">
                  <c:v>0.7255787037037037</c:v>
                </c:pt>
                <c:pt idx="34">
                  <c:v>0.72569444444444442</c:v>
                </c:pt>
                <c:pt idx="35">
                  <c:v>0.72575958332525237</c:v>
                </c:pt>
                <c:pt idx="36">
                  <c:v>0.72581018518518514</c:v>
                </c:pt>
                <c:pt idx="37">
                  <c:v>0.72592592592592597</c:v>
                </c:pt>
                <c:pt idx="38">
                  <c:v>0.7260416666666667</c:v>
                </c:pt>
                <c:pt idx="39">
                  <c:v>0.72615740740740742</c:v>
                </c:pt>
                <c:pt idx="40">
                  <c:v>0.72627314814814814</c:v>
                </c:pt>
                <c:pt idx="41">
                  <c:v>0.72638888888888886</c:v>
                </c:pt>
                <c:pt idx="42">
                  <c:v>0.72650462962962958</c:v>
                </c:pt>
                <c:pt idx="43">
                  <c:v>0.72662037037037042</c:v>
                </c:pt>
                <c:pt idx="44">
                  <c:v>0.72673611111111114</c:v>
                </c:pt>
                <c:pt idx="45">
                  <c:v>0.72685185185185186</c:v>
                </c:pt>
                <c:pt idx="46">
                  <c:v>0.72696759259259258</c:v>
                </c:pt>
                <c:pt idx="47">
                  <c:v>0.7270833333333333</c:v>
                </c:pt>
                <c:pt idx="48">
                  <c:v>0.72719907407407403</c:v>
                </c:pt>
                <c:pt idx="49">
                  <c:v>0.72731481481481486</c:v>
                </c:pt>
                <c:pt idx="50">
                  <c:v>0.72743055555555558</c:v>
                </c:pt>
                <c:pt idx="51">
                  <c:v>0.7275462962962963</c:v>
                </c:pt>
                <c:pt idx="52">
                  <c:v>0.72766203703703702</c:v>
                </c:pt>
                <c:pt idx="53">
                  <c:v>0.72777777777777775</c:v>
                </c:pt>
                <c:pt idx="54">
                  <c:v>0.72789351851851847</c:v>
                </c:pt>
                <c:pt idx="55">
                  <c:v>0.7280092592592593</c:v>
                </c:pt>
                <c:pt idx="56">
                  <c:v>0.72812500000000002</c:v>
                </c:pt>
                <c:pt idx="57">
                  <c:v>0.72824074074074074</c:v>
                </c:pt>
                <c:pt idx="58">
                  <c:v>0.72835648148148147</c:v>
                </c:pt>
                <c:pt idx="59">
                  <c:v>0.72847222222222219</c:v>
                </c:pt>
                <c:pt idx="60">
                  <c:v>0.72858796296296291</c:v>
                </c:pt>
                <c:pt idx="61">
                  <c:v>0.72870370370370374</c:v>
                </c:pt>
                <c:pt idx="62">
                  <c:v>0.72881944444444446</c:v>
                </c:pt>
                <c:pt idx="63">
                  <c:v>0.72893518518518519</c:v>
                </c:pt>
                <c:pt idx="64">
                  <c:v>0.72905092592592591</c:v>
                </c:pt>
                <c:pt idx="65">
                  <c:v>0.72916666666666663</c:v>
                </c:pt>
                <c:pt idx="66">
                  <c:v>0.72928240740740746</c:v>
                </c:pt>
                <c:pt idx="67">
                  <c:v>0.72939814814814818</c:v>
                </c:pt>
                <c:pt idx="68">
                  <c:v>0.72951388888888891</c:v>
                </c:pt>
                <c:pt idx="69">
                  <c:v>0.72962962962962963</c:v>
                </c:pt>
                <c:pt idx="70">
                  <c:v>0.72974537037037035</c:v>
                </c:pt>
                <c:pt idx="71">
                  <c:v>0.72986111111111107</c:v>
                </c:pt>
                <c:pt idx="72">
                  <c:v>0.7299768518518519</c:v>
                </c:pt>
                <c:pt idx="73">
                  <c:v>0.73009259259259263</c:v>
                </c:pt>
                <c:pt idx="74">
                  <c:v>0.73020833333333335</c:v>
                </c:pt>
                <c:pt idx="75">
                  <c:v>0.73032407407407407</c:v>
                </c:pt>
                <c:pt idx="76">
                  <c:v>0.73043981481481479</c:v>
                </c:pt>
                <c:pt idx="77">
                  <c:v>0.73055555555555551</c:v>
                </c:pt>
                <c:pt idx="78">
                  <c:v>0.73067129629629635</c:v>
                </c:pt>
                <c:pt idx="79">
                  <c:v>0.73078703703703707</c:v>
                </c:pt>
                <c:pt idx="80">
                  <c:v>0.73090277777777779</c:v>
                </c:pt>
                <c:pt idx="81">
                  <c:v>0.73101851851851851</c:v>
                </c:pt>
                <c:pt idx="82">
                  <c:v>0.73113425925925923</c:v>
                </c:pt>
                <c:pt idx="83">
                  <c:v>0.73116898148148146</c:v>
                </c:pt>
              </c:numCache>
            </c:numRef>
          </c:xVal>
          <c:yVal>
            <c:numRef>
              <c:f>'Compute Ephemeris'!$D$8:$D$91</c:f>
              <c:numCache>
                <c:formatCode>#,##0.00</c:formatCode>
                <c:ptCount val="84"/>
                <c:pt idx="0">
                  <c:v>68.405514425340698</c:v>
                </c:pt>
                <c:pt idx="1">
                  <c:v>72.25869371580302</c:v>
                </c:pt>
                <c:pt idx="2">
                  <c:v>76.090545935895534</c:v>
                </c:pt>
                <c:pt idx="3">
                  <c:v>79.845264858711744</c:v>
                </c:pt>
                <c:pt idx="4">
                  <c:v>83.493003825102278</c:v>
                </c:pt>
                <c:pt idx="5">
                  <c:v>87.030089759129623</c:v>
                </c:pt>
                <c:pt idx="6">
                  <c:v>90.457367687586157</c:v>
                </c:pt>
                <c:pt idx="7">
                  <c:v>93.774206595394389</c:v>
                </c:pt>
                <c:pt idx="8">
                  <c:v>96.98028378240906</c:v>
                </c:pt>
                <c:pt idx="9">
                  <c:v>100.07530455283631</c:v>
                </c:pt>
                <c:pt idx="10">
                  <c:v>103.05895692725062</c:v>
                </c:pt>
                <c:pt idx="11">
                  <c:v>105.93092852355858</c:v>
                </c:pt>
                <c:pt idx="12">
                  <c:v>108.69091241538172</c:v>
                </c:pt>
                <c:pt idx="13">
                  <c:v>111.33861465506925</c:v>
                </c:pt>
                <c:pt idx="14">
                  <c:v>113.87374729694329</c:v>
                </c:pt>
                <c:pt idx="15">
                  <c:v>116.29603252787911</c:v>
                </c:pt>
                <c:pt idx="16">
                  <c:v>118.6052121865423</c:v>
                </c:pt>
                <c:pt idx="17">
                  <c:v>120.80103625578067</c:v>
                </c:pt>
                <c:pt idx="18">
                  <c:v>122.88325786494534</c:v>
                </c:pt>
                <c:pt idx="19">
                  <c:v>124.85164662827538</c:v>
                </c:pt>
                <c:pt idx="20">
                  <c:v>126.7059853804567</c:v>
                </c:pt>
                <c:pt idx="21">
                  <c:v>128.44607005869966</c:v>
                </c:pt>
                <c:pt idx="22">
                  <c:v>130.07170873388804</c:v>
                </c:pt>
                <c:pt idx="23">
                  <c:v>131.58271988391516</c:v>
                </c:pt>
                <c:pt idx="24">
                  <c:v>132.97893016380112</c:v>
                </c:pt>
                <c:pt idx="25">
                  <c:v>134.26017208627218</c:v>
                </c:pt>
                <c:pt idx="26">
                  <c:v>135.4262821843804</c:v>
                </c:pt>
                <c:pt idx="27">
                  <c:v>136.4771003819842</c:v>
                </c:pt>
                <c:pt idx="28">
                  <c:v>137.41247145085981</c:v>
                </c:pt>
                <c:pt idx="29">
                  <c:v>138.23224958219998</c:v>
                </c:pt>
                <c:pt idx="30">
                  <c:v>138.9363072472479</c:v>
                </c:pt>
                <c:pt idx="31">
                  <c:v>139.52454966476307</c:v>
                </c:pt>
                <c:pt idx="32">
                  <c:v>139.99693633328025</c:v>
                </c:pt>
                <c:pt idx="33">
                  <c:v>140.35351122234624</c:v>
                </c:pt>
                <c:pt idx="34">
                  <c:v>140.5944433492823</c:v>
                </c:pt>
                <c:pt idx="35">
                  <c:v>140.67930466471262</c:v>
                </c:pt>
                <c:pt idx="36">
                  <c:v>140.71948358216923</c:v>
                </c:pt>
                <c:pt idx="37">
                  <c:v>140.72797003611049</c:v>
                </c:pt>
                <c:pt idx="38">
                  <c:v>140.62033748155682</c:v>
                </c:pt>
                <c:pt idx="39">
                  <c:v>140.3965467944472</c:v>
                </c:pt>
                <c:pt idx="40">
                  <c:v>140.05657120788874</c:v>
                </c:pt>
                <c:pt idx="41">
                  <c:v>139.60039629217499</c:v>
                </c:pt>
                <c:pt idx="42">
                  <c:v>139.02801993705089</c:v>
                </c:pt>
                <c:pt idx="43">
                  <c:v>138.33945233621034</c:v>
                </c:pt>
                <c:pt idx="44">
                  <c:v>137.53471597400767</c:v>
                </c:pt>
                <c:pt idx="45">
                  <c:v>136.61384561449358</c:v>
                </c:pt>
                <c:pt idx="46">
                  <c:v>135.57688829269409</c:v>
                </c:pt>
                <c:pt idx="47">
                  <c:v>134.4239033082049</c:v>
                </c:pt>
                <c:pt idx="48">
                  <c:v>133.15496222111597</c:v>
                </c:pt>
                <c:pt idx="49">
                  <c:v>131.77014885021981</c:v>
                </c:pt>
                <c:pt idx="50">
                  <c:v>130.26955927364452</c:v>
                </c:pt>
                <c:pt idx="51">
                  <c:v>128.6533018317532</c:v>
                </c:pt>
                <c:pt idx="52">
                  <c:v>126.92149713246454</c:v>
                </c:pt>
                <c:pt idx="53">
                  <c:v>125.07427805897714</c:v>
                </c:pt>
                <c:pt idx="54">
                  <c:v>123.11181270731231</c:v>
                </c:pt>
                <c:pt idx="55">
                  <c:v>121.03406714540506</c:v>
                </c:pt>
                <c:pt idx="56">
                  <c:v>118.84132069779571</c:v>
                </c:pt>
                <c:pt idx="57">
                  <c:v>116.53376677372944</c:v>
                </c:pt>
                <c:pt idx="58">
                  <c:v>114.1115766493067</c:v>
                </c:pt>
                <c:pt idx="59">
                  <c:v>111.57493076233732</c:v>
                </c:pt>
                <c:pt idx="60">
                  <c:v>108.92402673248125</c:v>
                </c:pt>
                <c:pt idx="61">
                  <c:v>106.15907742965555</c:v>
                </c:pt>
                <c:pt idx="62">
                  <c:v>103.2803079321684</c:v>
                </c:pt>
                <c:pt idx="63">
                  <c:v>100.28795569289741</c:v>
                </c:pt>
                <c:pt idx="64">
                  <c:v>97.182273875302599</c:v>
                </c:pt>
                <c:pt idx="65">
                  <c:v>93.963537634239401</c:v>
                </c:pt>
                <c:pt idx="66">
                  <c:v>90.632058143556606</c:v>
                </c:pt>
                <c:pt idx="67">
                  <c:v>87.188155322995954</c:v>
                </c:pt>
                <c:pt idx="68">
                  <c:v>83.631842578402029</c:v>
                </c:pt>
                <c:pt idx="69">
                  <c:v>79.962989050714896</c:v>
                </c:pt>
                <c:pt idx="70">
                  <c:v>76.181478581183001</c:v>
                </c:pt>
                <c:pt idx="71">
                  <c:v>72.287212033944343</c:v>
                </c:pt>
                <c:pt idx="72">
                  <c:v>68.280098007853667</c:v>
                </c:pt>
                <c:pt idx="73">
                  <c:v>64.160043866752858</c:v>
                </c:pt>
                <c:pt idx="74">
                  <c:v>59.92695435440055</c:v>
                </c:pt>
                <c:pt idx="75">
                  <c:v>55.580740438704197</c:v>
                </c:pt>
                <c:pt idx="76">
                  <c:v>51.121336908910962</c:v>
                </c:pt>
                <c:pt idx="77">
                  <c:v>46.548722600946348</c:v>
                </c:pt>
                <c:pt idx="78">
                  <c:v>41.862932761128832</c:v>
                </c:pt>
                <c:pt idx="79">
                  <c:v>37.064048935534629</c:v>
                </c:pt>
                <c:pt idx="80">
                  <c:v>32.152146090648785</c:v>
                </c:pt>
                <c:pt idx="81">
                  <c:v>27.127175095045459</c:v>
                </c:pt>
                <c:pt idx="82">
                  <c:v>21.988750099062599</c:v>
                </c:pt>
                <c:pt idx="83">
                  <c:v>20.424965879874435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1-403E-9F95-CF1542F2D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42592"/>
        <c:axId val="488544512"/>
      </c:scatterChart>
      <c:valAx>
        <c:axId val="48854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88544512"/>
        <c:crosses val="autoZero"/>
        <c:crossBetween val="midCat"/>
        <c:majorUnit val="2.0833330000000006E-3"/>
      </c:valAx>
      <c:valAx>
        <c:axId val="488544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Altitude,</a:t>
                </a:r>
                <a:r>
                  <a:rPr lang="en-CA" baseline="0"/>
                  <a:t> km</a:t>
                </a:r>
                <a:endParaRPr lang="en-CA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542592"/>
        <c:crosses val="autoZero"/>
        <c:crossBetween val="midCat"/>
      </c:valAx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Range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Ephemeris'!$A$8:$A$91</c:f>
              <c:numCache>
                <c:formatCode>hh:mm:ss.0</c:formatCode>
                <c:ptCount val="84"/>
                <c:pt idx="0">
                  <c:v>0.72175925925925921</c:v>
                </c:pt>
                <c:pt idx="1">
                  <c:v>0.72187500000000004</c:v>
                </c:pt>
                <c:pt idx="2">
                  <c:v>0.72199074074074077</c:v>
                </c:pt>
                <c:pt idx="3">
                  <c:v>0.72210648148148149</c:v>
                </c:pt>
                <c:pt idx="4">
                  <c:v>0.72222222222222221</c:v>
                </c:pt>
                <c:pt idx="5">
                  <c:v>0.72233796296296293</c:v>
                </c:pt>
                <c:pt idx="6">
                  <c:v>0.72245370370370365</c:v>
                </c:pt>
                <c:pt idx="7">
                  <c:v>0.72256944444444449</c:v>
                </c:pt>
                <c:pt idx="8">
                  <c:v>0.72268518518518521</c:v>
                </c:pt>
                <c:pt idx="9">
                  <c:v>0.72280092592592593</c:v>
                </c:pt>
                <c:pt idx="10">
                  <c:v>0.72291666666666665</c:v>
                </c:pt>
                <c:pt idx="11">
                  <c:v>0.72303240740740737</c:v>
                </c:pt>
                <c:pt idx="12">
                  <c:v>0.7231481481481481</c:v>
                </c:pt>
                <c:pt idx="13">
                  <c:v>0.72326388888888893</c:v>
                </c:pt>
                <c:pt idx="14">
                  <c:v>0.72337962962962965</c:v>
                </c:pt>
                <c:pt idx="15">
                  <c:v>0.72349537037037037</c:v>
                </c:pt>
                <c:pt idx="16">
                  <c:v>0.72361111111111109</c:v>
                </c:pt>
                <c:pt idx="17">
                  <c:v>0.72372685185185182</c:v>
                </c:pt>
                <c:pt idx="18">
                  <c:v>0.72384259259259254</c:v>
                </c:pt>
                <c:pt idx="19">
                  <c:v>0.72395833333333337</c:v>
                </c:pt>
                <c:pt idx="20">
                  <c:v>0.72407407407407409</c:v>
                </c:pt>
                <c:pt idx="21">
                  <c:v>0.72418981481481481</c:v>
                </c:pt>
                <c:pt idx="22">
                  <c:v>0.72430555555555554</c:v>
                </c:pt>
                <c:pt idx="23">
                  <c:v>0.72442129629629626</c:v>
                </c:pt>
                <c:pt idx="24">
                  <c:v>0.72453703703703709</c:v>
                </c:pt>
                <c:pt idx="25">
                  <c:v>0.72465277777777781</c:v>
                </c:pt>
                <c:pt idx="26">
                  <c:v>0.72476851851851853</c:v>
                </c:pt>
                <c:pt idx="27">
                  <c:v>0.72488425925925926</c:v>
                </c:pt>
                <c:pt idx="28">
                  <c:v>0.72499999999999998</c:v>
                </c:pt>
                <c:pt idx="29">
                  <c:v>0.7251157407407407</c:v>
                </c:pt>
                <c:pt idx="30">
                  <c:v>0.72523148148148153</c:v>
                </c:pt>
                <c:pt idx="31">
                  <c:v>0.72534722222222225</c:v>
                </c:pt>
                <c:pt idx="32">
                  <c:v>0.72546296296296298</c:v>
                </c:pt>
                <c:pt idx="33">
                  <c:v>0.7255787037037037</c:v>
                </c:pt>
                <c:pt idx="34">
                  <c:v>0.72569444444444442</c:v>
                </c:pt>
                <c:pt idx="35">
                  <c:v>0.72575958332525237</c:v>
                </c:pt>
                <c:pt idx="36">
                  <c:v>0.72581018518518514</c:v>
                </c:pt>
                <c:pt idx="37">
                  <c:v>0.72592592592592597</c:v>
                </c:pt>
                <c:pt idx="38">
                  <c:v>0.7260416666666667</c:v>
                </c:pt>
                <c:pt idx="39">
                  <c:v>0.72615740740740742</c:v>
                </c:pt>
                <c:pt idx="40">
                  <c:v>0.72627314814814814</c:v>
                </c:pt>
                <c:pt idx="41">
                  <c:v>0.72638888888888886</c:v>
                </c:pt>
                <c:pt idx="42">
                  <c:v>0.72650462962962958</c:v>
                </c:pt>
                <c:pt idx="43">
                  <c:v>0.72662037037037042</c:v>
                </c:pt>
                <c:pt idx="44">
                  <c:v>0.72673611111111114</c:v>
                </c:pt>
                <c:pt idx="45">
                  <c:v>0.72685185185185186</c:v>
                </c:pt>
                <c:pt idx="46">
                  <c:v>0.72696759259259258</c:v>
                </c:pt>
                <c:pt idx="47">
                  <c:v>0.7270833333333333</c:v>
                </c:pt>
                <c:pt idx="48">
                  <c:v>0.72719907407407403</c:v>
                </c:pt>
                <c:pt idx="49">
                  <c:v>0.72731481481481486</c:v>
                </c:pt>
                <c:pt idx="50">
                  <c:v>0.72743055555555558</c:v>
                </c:pt>
                <c:pt idx="51">
                  <c:v>0.7275462962962963</c:v>
                </c:pt>
                <c:pt idx="52">
                  <c:v>0.72766203703703702</c:v>
                </c:pt>
                <c:pt idx="53">
                  <c:v>0.72777777777777775</c:v>
                </c:pt>
                <c:pt idx="54">
                  <c:v>0.72789351851851847</c:v>
                </c:pt>
                <c:pt idx="55">
                  <c:v>0.7280092592592593</c:v>
                </c:pt>
                <c:pt idx="56">
                  <c:v>0.72812500000000002</c:v>
                </c:pt>
                <c:pt idx="57">
                  <c:v>0.72824074074074074</c:v>
                </c:pt>
                <c:pt idx="58">
                  <c:v>0.72835648148148147</c:v>
                </c:pt>
                <c:pt idx="59">
                  <c:v>0.72847222222222219</c:v>
                </c:pt>
                <c:pt idx="60">
                  <c:v>0.72858796296296291</c:v>
                </c:pt>
                <c:pt idx="61">
                  <c:v>0.72870370370370374</c:v>
                </c:pt>
                <c:pt idx="62">
                  <c:v>0.72881944444444446</c:v>
                </c:pt>
                <c:pt idx="63">
                  <c:v>0.72893518518518519</c:v>
                </c:pt>
                <c:pt idx="64">
                  <c:v>0.72905092592592591</c:v>
                </c:pt>
                <c:pt idx="65">
                  <c:v>0.72916666666666663</c:v>
                </c:pt>
                <c:pt idx="66">
                  <c:v>0.72928240740740746</c:v>
                </c:pt>
                <c:pt idx="67">
                  <c:v>0.72939814814814818</c:v>
                </c:pt>
                <c:pt idx="68">
                  <c:v>0.72951388888888891</c:v>
                </c:pt>
                <c:pt idx="69">
                  <c:v>0.72962962962962963</c:v>
                </c:pt>
                <c:pt idx="70">
                  <c:v>0.72974537037037035</c:v>
                </c:pt>
                <c:pt idx="71">
                  <c:v>0.72986111111111107</c:v>
                </c:pt>
                <c:pt idx="72">
                  <c:v>0.7299768518518519</c:v>
                </c:pt>
                <c:pt idx="73">
                  <c:v>0.73009259259259263</c:v>
                </c:pt>
                <c:pt idx="74">
                  <c:v>0.73020833333333335</c:v>
                </c:pt>
                <c:pt idx="75">
                  <c:v>0.73032407407407407</c:v>
                </c:pt>
                <c:pt idx="76">
                  <c:v>0.73043981481481479</c:v>
                </c:pt>
                <c:pt idx="77">
                  <c:v>0.73055555555555551</c:v>
                </c:pt>
                <c:pt idx="78">
                  <c:v>0.73067129629629635</c:v>
                </c:pt>
                <c:pt idx="79">
                  <c:v>0.73078703703703707</c:v>
                </c:pt>
                <c:pt idx="80">
                  <c:v>0.73090277777777779</c:v>
                </c:pt>
                <c:pt idx="81">
                  <c:v>0.73101851851851851</c:v>
                </c:pt>
                <c:pt idx="82">
                  <c:v>0.73113425925925923</c:v>
                </c:pt>
                <c:pt idx="83">
                  <c:v>0.73116898148148146</c:v>
                </c:pt>
              </c:numCache>
            </c:numRef>
          </c:xVal>
          <c:yVal>
            <c:numRef>
              <c:f>'Compute Ephemeris'!$AI$8:$AI$91</c:f>
              <c:numCache>
                <c:formatCode>0.0</c:formatCode>
                <c:ptCount val="84"/>
                <c:pt idx="0">
                  <c:v>134.11449758361934</c:v>
                </c:pt>
                <c:pt idx="1">
                  <c:v>208.11516582256689</c:v>
                </c:pt>
                <c:pt idx="2">
                  <c:v>280.38989839113691</c:v>
                </c:pt>
                <c:pt idx="3">
                  <c:v>351.12426099340638</c:v>
                </c:pt>
                <c:pt idx="4">
                  <c:v>421.13602216647894</c:v>
                </c:pt>
                <c:pt idx="5">
                  <c:v>490.92306852473058</c:v>
                </c:pt>
                <c:pt idx="6">
                  <c:v>560.60736567675872</c:v>
                </c:pt>
                <c:pt idx="7">
                  <c:v>630.19492009503051</c:v>
                </c:pt>
                <c:pt idx="8">
                  <c:v>699.69523060297547</c:v>
                </c:pt>
                <c:pt idx="9">
                  <c:v>769.1155231155908</c:v>
                </c:pt>
                <c:pt idx="10">
                  <c:v>838.46086048408586</c:v>
                </c:pt>
                <c:pt idx="11">
                  <c:v>907.73517499056459</c:v>
                </c:pt>
                <c:pt idx="12">
                  <c:v>976.94178588387911</c:v>
                </c:pt>
                <c:pt idx="13">
                  <c:v>1046.0837030917044</c:v>
                </c:pt>
                <c:pt idx="14">
                  <c:v>1115.1637199225986</c:v>
                </c:pt>
                <c:pt idx="15">
                  <c:v>1184.1845230675146</c:v>
                </c:pt>
                <c:pt idx="16">
                  <c:v>1253.1487879558099</c:v>
                </c:pt>
                <c:pt idx="17">
                  <c:v>1322.059129100699</c:v>
                </c:pt>
                <c:pt idx="18">
                  <c:v>1390.9180979065709</c:v>
                </c:pt>
                <c:pt idx="19">
                  <c:v>1459.7282646397787</c:v>
                </c:pt>
                <c:pt idx="20">
                  <c:v>1528.4922011855226</c:v>
                </c:pt>
                <c:pt idx="21">
                  <c:v>1597.2124812562565</c:v>
                </c:pt>
                <c:pt idx="22">
                  <c:v>1665.8916766380241</c:v>
                </c:pt>
                <c:pt idx="23">
                  <c:v>1734.5323512631862</c:v>
                </c:pt>
                <c:pt idx="24">
                  <c:v>1803.1370548778893</c:v>
                </c:pt>
                <c:pt idx="25">
                  <c:v>1871.7083180233742</c:v>
                </c:pt>
                <c:pt idx="26">
                  <c:v>1940.2486500216612</c:v>
                </c:pt>
                <c:pt idx="27">
                  <c:v>2008.7605415968012</c:v>
                </c:pt>
                <c:pt idx="28">
                  <c:v>2077.2464737118285</c:v>
                </c:pt>
                <c:pt idx="29">
                  <c:v>2145.7089341404912</c:v>
                </c:pt>
                <c:pt idx="30">
                  <c:v>2214.1504432236957</c:v>
                </c:pt>
                <c:pt idx="31">
                  <c:v>2282.573590181476</c:v>
                </c:pt>
                <c:pt idx="32">
                  <c:v>2350.9810812812602</c:v>
                </c:pt>
                <c:pt idx="33">
                  <c:v>2419.3758010650495</c:v>
                </c:pt>
                <c:pt idx="34">
                  <c:v>2487.7608877499215</c:v>
                </c:pt>
                <c:pt idx="35">
                  <c:v>2526.2450653689421</c:v>
                </c:pt>
                <c:pt idx="36">
                  <c:v>2556.1383732792988</c:v>
                </c:pt>
                <c:pt idx="37">
                  <c:v>2624.509241184131</c:v>
                </c:pt>
                <c:pt idx="38">
                  <c:v>2692.8772106808624</c:v>
                </c:pt>
                <c:pt idx="39">
                  <c:v>2761.2448265377657</c:v>
                </c:pt>
                <c:pt idx="40">
                  <c:v>2829.6146369382541</c:v>
                </c:pt>
                <c:pt idx="41">
                  <c:v>2897.9891935567912</c:v>
                </c:pt>
                <c:pt idx="42">
                  <c:v>2966.3710516375072</c:v>
                </c:pt>
                <c:pt idx="43">
                  <c:v>3034.7627700713206</c:v>
                </c:pt>
                <c:pt idx="44">
                  <c:v>3103.1669114778488</c:v>
                </c:pt>
                <c:pt idx="45">
                  <c:v>3171.5860422865253</c:v>
                </c:pt>
                <c:pt idx="46">
                  <c:v>3240.0227328199016</c:v>
                </c:pt>
                <c:pt idx="47">
                  <c:v>3308.4795573764482</c:v>
                </c:pt>
                <c:pt idx="48">
                  <c:v>3376.9590943174207</c:v>
                </c:pt>
                <c:pt idx="49">
                  <c:v>3445.463926150619</c:v>
                </c:pt>
                <c:pt idx="50">
                  <c:v>3513.996639617445</c:v>
                </c:pt>
                <c:pt idx="51">
                  <c:v>3582.5598257796491</c:v>
                </c:pt>
                <c:pt idx="52">
                  <c:v>3651.1560801068363</c:v>
                </c:pt>
                <c:pt idx="53">
                  <c:v>3719.7880025633513</c:v>
                </c:pt>
                <c:pt idx="54">
                  <c:v>3788.4577945426804</c:v>
                </c:pt>
                <c:pt idx="55">
                  <c:v>3857.1688801838536</c:v>
                </c:pt>
                <c:pt idx="56">
                  <c:v>3925.9234046663755</c:v>
                </c:pt>
                <c:pt idx="57">
                  <c:v>3994.7238394573046</c:v>
                </c:pt>
                <c:pt idx="58">
                  <c:v>4063.5727730996805</c:v>
                </c:pt>
                <c:pt idx="59">
                  <c:v>4132.4727773393352</c:v>
                </c:pt>
                <c:pt idx="60">
                  <c:v>4201.4263436803139</c:v>
                </c:pt>
                <c:pt idx="61">
                  <c:v>4270.4358428503911</c:v>
                </c:pt>
                <c:pt idx="62">
                  <c:v>4339.5034586323436</c:v>
                </c:pt>
                <c:pt idx="63">
                  <c:v>4408.6310466918812</c:v>
                </c:pt>
                <c:pt idx="64">
                  <c:v>4477.8198669722042</c:v>
                </c:pt>
                <c:pt idx="65">
                  <c:v>4547.0700958276184</c:v>
                </c:pt>
                <c:pt idx="66">
                  <c:v>4616.3799031749541</c:v>
                </c:pt>
                <c:pt idx="67">
                  <c:v>4685.7449857295205</c:v>
                </c:pt>
                <c:pt idx="68">
                  <c:v>4755.1652247567117</c:v>
                </c:pt>
                <c:pt idx="69">
                  <c:v>4824.6433764970488</c:v>
                </c:pt>
                <c:pt idx="70">
                  <c:v>4894.1822772433379</c:v>
                </c:pt>
                <c:pt idx="71">
                  <c:v>4963.7846306330275</c:v>
                </c:pt>
                <c:pt idx="72">
                  <c:v>5033.452963042474</c:v>
                </c:pt>
                <c:pt idx="73">
                  <c:v>5103.189692134185</c:v>
                </c:pt>
                <c:pt idx="74">
                  <c:v>5172.9972613150558</c:v>
                </c:pt>
                <c:pt idx="75">
                  <c:v>5242.8782925047835</c:v>
                </c:pt>
                <c:pt idx="76">
                  <c:v>5312.8357093701597</c:v>
                </c:pt>
                <c:pt idx="77">
                  <c:v>5382.8727832048799</c:v>
                </c:pt>
                <c:pt idx="78">
                  <c:v>5452.9930538081562</c:v>
                </c:pt>
                <c:pt idx="79">
                  <c:v>5523.2000780763565</c:v>
                </c:pt>
                <c:pt idx="80">
                  <c:v>5593.4969597475701</c:v>
                </c:pt>
                <c:pt idx="81">
                  <c:v>5663.8856141959859</c:v>
                </c:pt>
                <c:pt idx="82">
                  <c:v>5734.3657234534512</c:v>
                </c:pt>
                <c:pt idx="83">
                  <c:v>5755.5271245015392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85-4BCB-9743-56CC1F89C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57568"/>
        <c:axId val="488793216"/>
      </c:scatterChart>
      <c:valAx>
        <c:axId val="488557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88793216"/>
        <c:crosses val="autoZero"/>
        <c:crossBetween val="midCat"/>
        <c:majorUnit val="2.0833330000000006E-3"/>
      </c:valAx>
      <c:valAx>
        <c:axId val="48879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Range,</a:t>
                </a:r>
                <a:r>
                  <a:rPr lang="en-CA" baseline="0"/>
                  <a:t> km</a:t>
                </a:r>
                <a:endParaRPr lang="en-CA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557568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Deceleration</a:t>
            </a:r>
            <a:r>
              <a:rPr lang="en-US" baseline="0"/>
              <a:t> </a:t>
            </a:r>
            <a:r>
              <a:rPr lang="en-US"/>
              <a:t>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Ephemeris'!$A$8:$A$91</c:f>
              <c:numCache>
                <c:formatCode>hh:mm:ss.0</c:formatCode>
                <c:ptCount val="84"/>
                <c:pt idx="0">
                  <c:v>0.72175925925925921</c:v>
                </c:pt>
                <c:pt idx="1">
                  <c:v>0.72187500000000004</c:v>
                </c:pt>
                <c:pt idx="2">
                  <c:v>0.72199074074074077</c:v>
                </c:pt>
                <c:pt idx="3">
                  <c:v>0.72210648148148149</c:v>
                </c:pt>
                <c:pt idx="4">
                  <c:v>0.72222222222222221</c:v>
                </c:pt>
                <c:pt idx="5">
                  <c:v>0.72233796296296293</c:v>
                </c:pt>
                <c:pt idx="6">
                  <c:v>0.72245370370370365</c:v>
                </c:pt>
                <c:pt idx="7">
                  <c:v>0.72256944444444449</c:v>
                </c:pt>
                <c:pt idx="8">
                  <c:v>0.72268518518518521</c:v>
                </c:pt>
                <c:pt idx="9">
                  <c:v>0.72280092592592593</c:v>
                </c:pt>
                <c:pt idx="10">
                  <c:v>0.72291666666666665</c:v>
                </c:pt>
                <c:pt idx="11">
                  <c:v>0.72303240740740737</c:v>
                </c:pt>
                <c:pt idx="12">
                  <c:v>0.7231481481481481</c:v>
                </c:pt>
                <c:pt idx="13">
                  <c:v>0.72326388888888893</c:v>
                </c:pt>
                <c:pt idx="14">
                  <c:v>0.72337962962962965</c:v>
                </c:pt>
                <c:pt idx="15">
                  <c:v>0.72349537037037037</c:v>
                </c:pt>
                <c:pt idx="16">
                  <c:v>0.72361111111111109</c:v>
                </c:pt>
                <c:pt idx="17">
                  <c:v>0.72372685185185182</c:v>
                </c:pt>
                <c:pt idx="18">
                  <c:v>0.72384259259259254</c:v>
                </c:pt>
                <c:pt idx="19">
                  <c:v>0.72395833333333337</c:v>
                </c:pt>
                <c:pt idx="20">
                  <c:v>0.72407407407407409</c:v>
                </c:pt>
                <c:pt idx="21">
                  <c:v>0.72418981481481481</c:v>
                </c:pt>
                <c:pt idx="22">
                  <c:v>0.72430555555555554</c:v>
                </c:pt>
                <c:pt idx="23">
                  <c:v>0.72442129629629626</c:v>
                </c:pt>
                <c:pt idx="24">
                  <c:v>0.72453703703703709</c:v>
                </c:pt>
                <c:pt idx="25">
                  <c:v>0.72465277777777781</c:v>
                </c:pt>
                <c:pt idx="26">
                  <c:v>0.72476851851851853</c:v>
                </c:pt>
                <c:pt idx="27">
                  <c:v>0.72488425925925926</c:v>
                </c:pt>
                <c:pt idx="28">
                  <c:v>0.72499999999999998</c:v>
                </c:pt>
                <c:pt idx="29">
                  <c:v>0.7251157407407407</c:v>
                </c:pt>
                <c:pt idx="30">
                  <c:v>0.72523148148148153</c:v>
                </c:pt>
                <c:pt idx="31">
                  <c:v>0.72534722222222225</c:v>
                </c:pt>
                <c:pt idx="32">
                  <c:v>0.72546296296296298</c:v>
                </c:pt>
                <c:pt idx="33">
                  <c:v>0.7255787037037037</c:v>
                </c:pt>
                <c:pt idx="34">
                  <c:v>0.72569444444444442</c:v>
                </c:pt>
                <c:pt idx="35">
                  <c:v>0.72575958332525237</c:v>
                </c:pt>
                <c:pt idx="36">
                  <c:v>0.72581018518518514</c:v>
                </c:pt>
                <c:pt idx="37">
                  <c:v>0.72592592592592597</c:v>
                </c:pt>
                <c:pt idx="38">
                  <c:v>0.7260416666666667</c:v>
                </c:pt>
                <c:pt idx="39">
                  <c:v>0.72615740740740742</c:v>
                </c:pt>
                <c:pt idx="40">
                  <c:v>0.72627314814814814</c:v>
                </c:pt>
                <c:pt idx="41">
                  <c:v>0.72638888888888886</c:v>
                </c:pt>
                <c:pt idx="42">
                  <c:v>0.72650462962962958</c:v>
                </c:pt>
                <c:pt idx="43">
                  <c:v>0.72662037037037042</c:v>
                </c:pt>
                <c:pt idx="44">
                  <c:v>0.72673611111111114</c:v>
                </c:pt>
                <c:pt idx="45">
                  <c:v>0.72685185185185186</c:v>
                </c:pt>
                <c:pt idx="46">
                  <c:v>0.72696759259259258</c:v>
                </c:pt>
                <c:pt idx="47">
                  <c:v>0.7270833333333333</c:v>
                </c:pt>
                <c:pt idx="48">
                  <c:v>0.72719907407407403</c:v>
                </c:pt>
                <c:pt idx="49">
                  <c:v>0.72731481481481486</c:v>
                </c:pt>
                <c:pt idx="50">
                  <c:v>0.72743055555555558</c:v>
                </c:pt>
                <c:pt idx="51">
                  <c:v>0.7275462962962963</c:v>
                </c:pt>
                <c:pt idx="52">
                  <c:v>0.72766203703703702</c:v>
                </c:pt>
                <c:pt idx="53">
                  <c:v>0.72777777777777775</c:v>
                </c:pt>
                <c:pt idx="54">
                  <c:v>0.72789351851851847</c:v>
                </c:pt>
                <c:pt idx="55">
                  <c:v>0.7280092592592593</c:v>
                </c:pt>
                <c:pt idx="56">
                  <c:v>0.72812500000000002</c:v>
                </c:pt>
                <c:pt idx="57">
                  <c:v>0.72824074074074074</c:v>
                </c:pt>
                <c:pt idx="58">
                  <c:v>0.72835648148148147</c:v>
                </c:pt>
                <c:pt idx="59">
                  <c:v>0.72847222222222219</c:v>
                </c:pt>
                <c:pt idx="60">
                  <c:v>0.72858796296296291</c:v>
                </c:pt>
                <c:pt idx="61">
                  <c:v>0.72870370370370374</c:v>
                </c:pt>
                <c:pt idx="62">
                  <c:v>0.72881944444444446</c:v>
                </c:pt>
                <c:pt idx="63">
                  <c:v>0.72893518518518519</c:v>
                </c:pt>
                <c:pt idx="64">
                  <c:v>0.72905092592592591</c:v>
                </c:pt>
                <c:pt idx="65">
                  <c:v>0.72916666666666663</c:v>
                </c:pt>
                <c:pt idx="66">
                  <c:v>0.72928240740740746</c:v>
                </c:pt>
                <c:pt idx="67">
                  <c:v>0.72939814814814818</c:v>
                </c:pt>
                <c:pt idx="68">
                  <c:v>0.72951388888888891</c:v>
                </c:pt>
                <c:pt idx="69">
                  <c:v>0.72962962962962963</c:v>
                </c:pt>
                <c:pt idx="70">
                  <c:v>0.72974537037037035</c:v>
                </c:pt>
                <c:pt idx="71">
                  <c:v>0.72986111111111107</c:v>
                </c:pt>
                <c:pt idx="72">
                  <c:v>0.7299768518518519</c:v>
                </c:pt>
                <c:pt idx="73">
                  <c:v>0.73009259259259263</c:v>
                </c:pt>
                <c:pt idx="74">
                  <c:v>0.73020833333333335</c:v>
                </c:pt>
                <c:pt idx="75">
                  <c:v>0.73032407407407407</c:v>
                </c:pt>
                <c:pt idx="76">
                  <c:v>0.73043981481481479</c:v>
                </c:pt>
                <c:pt idx="77">
                  <c:v>0.73055555555555551</c:v>
                </c:pt>
                <c:pt idx="78">
                  <c:v>0.73067129629629635</c:v>
                </c:pt>
                <c:pt idx="79">
                  <c:v>0.73078703703703707</c:v>
                </c:pt>
                <c:pt idx="80">
                  <c:v>0.73090277777777779</c:v>
                </c:pt>
                <c:pt idx="81">
                  <c:v>0.73101851851851851</c:v>
                </c:pt>
                <c:pt idx="82">
                  <c:v>0.73113425925925923</c:v>
                </c:pt>
                <c:pt idx="83">
                  <c:v>0.73116898148148146</c:v>
                </c:pt>
              </c:numCache>
            </c:numRef>
          </c:xVal>
          <c:yVal>
            <c:numRef>
              <c:f>'Compute Ephemeris'!$AB$8:$AB$91</c:f>
              <c:numCache>
                <c:formatCode>0.000</c:formatCode>
                <c:ptCount val="84"/>
                <c:pt idx="0">
                  <c:v>21.675650729926243</c:v>
                </c:pt>
                <c:pt idx="1">
                  <c:v>33.715915668645927</c:v>
                </c:pt>
                <c:pt idx="2">
                  <c:v>19.786668215721061</c:v>
                </c:pt>
                <c:pt idx="3">
                  <c:v>6.9861700717506858</c:v>
                </c:pt>
                <c:pt idx="4">
                  <c:v>1.2693696540037698</c:v>
                </c:pt>
                <c:pt idx="5">
                  <c:v>7.3335563653218638E-2</c:v>
                </c:pt>
                <c:pt idx="6">
                  <c:v>6.312017090555512E-2</c:v>
                </c:pt>
                <c:pt idx="7">
                  <c:v>5.9945828075669047E-2</c:v>
                </c:pt>
                <c:pt idx="8">
                  <c:v>5.1930290632477179E-2</c:v>
                </c:pt>
                <c:pt idx="9">
                  <c:v>4.6928726208629826E-2</c:v>
                </c:pt>
                <c:pt idx="10">
                  <c:v>4.3505977633751095E-2</c:v>
                </c:pt>
                <c:pt idx="11">
                  <c:v>4.091469953745365E-2</c:v>
                </c:pt>
                <c:pt idx="12">
                  <c:v>3.877040339297725E-2</c:v>
                </c:pt>
                <c:pt idx="13">
                  <c:v>3.6882453084559542E-2</c:v>
                </c:pt>
                <c:pt idx="14">
                  <c:v>3.5120171725459476E-2</c:v>
                </c:pt>
                <c:pt idx="15">
                  <c:v>3.3422398437989234E-2</c:v>
                </c:pt>
                <c:pt idx="16">
                  <c:v>3.1788637918148469E-2</c:v>
                </c:pt>
                <c:pt idx="17">
                  <c:v>3.0184293225400501E-2</c:v>
                </c:pt>
                <c:pt idx="18">
                  <c:v>2.8572048650702855E-2</c:v>
                </c:pt>
                <c:pt idx="19">
                  <c:v>2.6967612401207836E-2</c:v>
                </c:pt>
                <c:pt idx="20">
                  <c:v>2.5374562825062556E-2</c:v>
                </c:pt>
                <c:pt idx="21">
                  <c:v>2.3796008680057212E-2</c:v>
                </c:pt>
                <c:pt idx="22">
                  <c:v>2.2232115033869029E-2</c:v>
                </c:pt>
                <c:pt idx="23">
                  <c:v>2.0678784824333763E-2</c:v>
                </c:pt>
                <c:pt idx="24">
                  <c:v>1.9127480602533543E-2</c:v>
                </c:pt>
                <c:pt idx="25">
                  <c:v>1.7566164275029033E-2</c:v>
                </c:pt>
                <c:pt idx="26">
                  <c:v>1.598132599845202E-2</c:v>
                </c:pt>
                <c:pt idx="27">
                  <c:v>1.4361066800266414E-2</c:v>
                </c:pt>
                <c:pt idx="28">
                  <c:v>1.2699192983877571E-2</c:v>
                </c:pt>
                <c:pt idx="29">
                  <c:v>1.1000273960710747E-2</c:v>
                </c:pt>
                <c:pt idx="30">
                  <c:v>9.2856088554798977E-3</c:v>
                </c:pt>
                <c:pt idx="31">
                  <c:v>7.6000410430384401E-3</c:v>
                </c:pt>
                <c:pt idx="32">
                  <c:v>6.0195536664221809E-3</c:v>
                </c:pt>
                <c:pt idx="33">
                  <c:v>4.659572985492591E-3</c:v>
                </c:pt>
                <c:pt idx="34">
                  <c:v>3.6838997924106059E-3</c:v>
                </c:pt>
                <c:pt idx="35">
                  <c:v>3.3064302728721944E-3</c:v>
                </c:pt>
                <c:pt idx="36">
                  <c:v>1.196980676971019E-3</c:v>
                </c:pt>
                <c:pt idx="37">
                  <c:v>5.5779216376158496E-5</c:v>
                </c:pt>
                <c:pt idx="38">
                  <c:v>-1.5324383208856175E-3</c:v>
                </c:pt>
                <c:pt idx="39">
                  <c:v>-3.1207226798967052E-3</c:v>
                </c:pt>
                <c:pt idx="40">
                  <c:v>-4.7089689022691136E-3</c:v>
                </c:pt>
                <c:pt idx="41">
                  <c:v>-6.2970721176175727E-3</c:v>
                </c:pt>
                <c:pt idx="42">
                  <c:v>-7.8849275043857935E-3</c:v>
                </c:pt>
                <c:pt idx="43">
                  <c:v>-9.4724302497851218E-3</c:v>
                </c:pt>
                <c:pt idx="44">
                  <c:v>-1.105947551170788E-2</c:v>
                </c:pt>
                <c:pt idx="45">
                  <c:v>-1.2645958378203852E-2</c:v>
                </c:pt>
                <c:pt idx="46">
                  <c:v>-1.4231773829366589E-2</c:v>
                </c:pt>
                <c:pt idx="47">
                  <c:v>-1.5816816697561797E-2</c:v>
                </c:pt>
                <c:pt idx="48">
                  <c:v>-1.7400981629322462E-2</c:v>
                </c:pt>
                <c:pt idx="49">
                  <c:v>-1.8984163045649729E-2</c:v>
                </c:pt>
                <c:pt idx="50">
                  <c:v>-2.0566255103111424E-2</c:v>
                </c:pt>
                <c:pt idx="51">
                  <c:v>-2.2147151654911958E-2</c:v>
                </c:pt>
                <c:pt idx="52">
                  <c:v>-2.3726746211692431E-2</c:v>
                </c:pt>
                <c:pt idx="53">
                  <c:v>-2.5304931902428933E-2</c:v>
                </c:pt>
                <c:pt idx="54">
                  <c:v>-2.6692432371270967E-2</c:v>
                </c:pt>
                <c:pt idx="55">
                  <c:v>-2.8494048335913527E-2</c:v>
                </c:pt>
                <c:pt idx="56">
                  <c:v>-3.0052289738228481E-2</c:v>
                </c:pt>
                <c:pt idx="57">
                  <c:v>-3.1536970914271246E-2</c:v>
                </c:pt>
                <c:pt idx="58">
                  <c:v>-3.3005651716237816E-2</c:v>
                </c:pt>
                <c:pt idx="59">
                  <c:v>-3.4445260418225113E-2</c:v>
                </c:pt>
                <c:pt idx="60">
                  <c:v>-3.5808613779149352E-2</c:v>
                </c:pt>
                <c:pt idx="61">
                  <c:v>-3.7024208110578577E-2</c:v>
                </c:pt>
                <c:pt idx="62">
                  <c:v>-3.7978722492224296E-2</c:v>
                </c:pt>
                <c:pt idx="63">
                  <c:v>-3.8471836906909744E-2</c:v>
                </c:pt>
                <c:pt idx="64">
                  <c:v>-3.8141109025487827E-2</c:v>
                </c:pt>
                <c:pt idx="65">
                  <c:v>-3.6301527929618223E-2</c:v>
                </c:pt>
                <c:pt idx="66">
                  <c:v>-3.1684463257351407E-2</c:v>
                </c:pt>
                <c:pt idx="67">
                  <c:v>-2.6845400366755767E-2</c:v>
                </c:pt>
                <c:pt idx="68">
                  <c:v>-3.0083266151577113E-2</c:v>
                </c:pt>
                <c:pt idx="69">
                  <c:v>-2.9533594308320928E-2</c:v>
                </c:pt>
                <c:pt idx="70">
                  <c:v>-2.2957603031255058E-2</c:v>
                </c:pt>
                <c:pt idx="71">
                  <c:v>-1.6040590623440532E-2</c:v>
                </c:pt>
                <c:pt idx="72">
                  <c:v>-1.615097076752809E-2</c:v>
                </c:pt>
                <c:pt idx="73">
                  <c:v>-2.7989567742597463E-2</c:v>
                </c:pt>
                <c:pt idx="74">
                  <c:v>-5.1086577150167664E-2</c:v>
                </c:pt>
                <c:pt idx="75">
                  <c:v>-7.9146343423688301E-2</c:v>
                </c:pt>
                <c:pt idx="76">
                  <c:v>-0.10122833936915962</c:v>
                </c:pt>
                <c:pt idx="77">
                  <c:v>-0.10474117218336088</c:v>
                </c:pt>
                <c:pt idx="78">
                  <c:v>-8.0216580850653904E-2</c:v>
                </c:pt>
                <c:pt idx="79">
                  <c:v>-2.7821435250319066E-2</c:v>
                </c:pt>
                <c:pt idx="80">
                  <c:v>3.4447319622429376E-2</c:v>
                </c:pt>
                <c:pt idx="81">
                  <c:v>6.0961380016172483E-2</c:v>
                </c:pt>
                <c:pt idx="82">
                  <c:v>-3.2856065029610242E-2</c:v>
                </c:pt>
                <c:pt idx="83">
                  <c:v>-0.20629724359022958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8-4EA0-9118-81C88119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51328"/>
        <c:axId val="488857600"/>
      </c:scatterChart>
      <c:valAx>
        <c:axId val="48885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88857600"/>
        <c:crosses val="autoZero"/>
        <c:crossBetween val="midCat"/>
        <c:majorUnit val="2.0833330000000006E-3"/>
      </c:valAx>
      <c:valAx>
        <c:axId val="48885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Deceleration, g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851328"/>
        <c:crosses val="autoZero"/>
        <c:crossBetween val="midCat"/>
      </c:valAx>
    </c:plotArea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Deceleration vs. Altitude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Ephemeris'!$D$8:$D$91</c:f>
              <c:numCache>
                <c:formatCode>#,##0.00</c:formatCode>
                <c:ptCount val="84"/>
                <c:pt idx="0">
                  <c:v>68.405514425340698</c:v>
                </c:pt>
                <c:pt idx="1">
                  <c:v>72.25869371580302</c:v>
                </c:pt>
                <c:pt idx="2">
                  <c:v>76.090545935895534</c:v>
                </c:pt>
                <c:pt idx="3">
                  <c:v>79.845264858711744</c:v>
                </c:pt>
                <c:pt idx="4">
                  <c:v>83.493003825102278</c:v>
                </c:pt>
                <c:pt idx="5">
                  <c:v>87.030089759129623</c:v>
                </c:pt>
                <c:pt idx="6">
                  <c:v>90.457367687586157</c:v>
                </c:pt>
                <c:pt idx="7">
                  <c:v>93.774206595394389</c:v>
                </c:pt>
                <c:pt idx="8">
                  <c:v>96.98028378240906</c:v>
                </c:pt>
                <c:pt idx="9">
                  <c:v>100.07530455283631</c:v>
                </c:pt>
                <c:pt idx="10">
                  <c:v>103.05895692725062</c:v>
                </c:pt>
                <c:pt idx="11">
                  <c:v>105.93092852355858</c:v>
                </c:pt>
                <c:pt idx="12">
                  <c:v>108.69091241538172</c:v>
                </c:pt>
                <c:pt idx="13">
                  <c:v>111.33861465506925</c:v>
                </c:pt>
                <c:pt idx="14">
                  <c:v>113.87374729694329</c:v>
                </c:pt>
                <c:pt idx="15">
                  <c:v>116.29603252787911</c:v>
                </c:pt>
                <c:pt idx="16">
                  <c:v>118.6052121865423</c:v>
                </c:pt>
                <c:pt idx="17">
                  <c:v>120.80103625578067</c:v>
                </c:pt>
                <c:pt idx="18">
                  <c:v>122.88325786494534</c:v>
                </c:pt>
                <c:pt idx="19">
                  <c:v>124.85164662827538</c:v>
                </c:pt>
                <c:pt idx="20">
                  <c:v>126.7059853804567</c:v>
                </c:pt>
                <c:pt idx="21">
                  <c:v>128.44607005869966</c:v>
                </c:pt>
                <c:pt idx="22">
                  <c:v>130.07170873388804</c:v>
                </c:pt>
                <c:pt idx="23">
                  <c:v>131.58271988391516</c:v>
                </c:pt>
                <c:pt idx="24">
                  <c:v>132.97893016380112</c:v>
                </c:pt>
                <c:pt idx="25">
                  <c:v>134.26017208627218</c:v>
                </c:pt>
                <c:pt idx="26">
                  <c:v>135.4262821843804</c:v>
                </c:pt>
                <c:pt idx="27">
                  <c:v>136.4771003819842</c:v>
                </c:pt>
                <c:pt idx="28">
                  <c:v>137.41247145085981</c:v>
                </c:pt>
                <c:pt idx="29">
                  <c:v>138.23224958219998</c:v>
                </c:pt>
                <c:pt idx="30">
                  <c:v>138.9363072472479</c:v>
                </c:pt>
                <c:pt idx="31">
                  <c:v>139.52454966476307</c:v>
                </c:pt>
                <c:pt idx="32">
                  <c:v>139.99693633328025</c:v>
                </c:pt>
                <c:pt idx="33">
                  <c:v>140.35351122234624</c:v>
                </c:pt>
                <c:pt idx="34">
                  <c:v>140.5944433492823</c:v>
                </c:pt>
                <c:pt idx="35">
                  <c:v>140.67930466471262</c:v>
                </c:pt>
                <c:pt idx="36">
                  <c:v>140.71948358216923</c:v>
                </c:pt>
                <c:pt idx="37">
                  <c:v>140.72797003611049</c:v>
                </c:pt>
                <c:pt idx="38">
                  <c:v>140.62033748155682</c:v>
                </c:pt>
                <c:pt idx="39">
                  <c:v>140.3965467944472</c:v>
                </c:pt>
                <c:pt idx="40">
                  <c:v>140.05657120788874</c:v>
                </c:pt>
                <c:pt idx="41">
                  <c:v>139.60039629217499</c:v>
                </c:pt>
                <c:pt idx="42">
                  <c:v>139.02801993705089</c:v>
                </c:pt>
                <c:pt idx="43">
                  <c:v>138.33945233621034</c:v>
                </c:pt>
                <c:pt idx="44">
                  <c:v>137.53471597400767</c:v>
                </c:pt>
                <c:pt idx="45">
                  <c:v>136.61384561449358</c:v>
                </c:pt>
                <c:pt idx="46">
                  <c:v>135.57688829269409</c:v>
                </c:pt>
                <c:pt idx="47">
                  <c:v>134.4239033082049</c:v>
                </c:pt>
                <c:pt idx="48">
                  <c:v>133.15496222111597</c:v>
                </c:pt>
                <c:pt idx="49">
                  <c:v>131.77014885021981</c:v>
                </c:pt>
                <c:pt idx="50">
                  <c:v>130.26955927364452</c:v>
                </c:pt>
                <c:pt idx="51">
                  <c:v>128.6533018317532</c:v>
                </c:pt>
                <c:pt idx="52">
                  <c:v>126.92149713246454</c:v>
                </c:pt>
                <c:pt idx="53">
                  <c:v>125.07427805897714</c:v>
                </c:pt>
                <c:pt idx="54">
                  <c:v>123.11181270731231</c:v>
                </c:pt>
                <c:pt idx="55">
                  <c:v>121.03406714540506</c:v>
                </c:pt>
                <c:pt idx="56">
                  <c:v>118.84132069779571</c:v>
                </c:pt>
                <c:pt idx="57">
                  <c:v>116.53376677372944</c:v>
                </c:pt>
                <c:pt idx="58">
                  <c:v>114.1115766493067</c:v>
                </c:pt>
                <c:pt idx="59">
                  <c:v>111.57493076233732</c:v>
                </c:pt>
                <c:pt idx="60">
                  <c:v>108.92402673248125</c:v>
                </c:pt>
                <c:pt idx="61">
                  <c:v>106.15907742965555</c:v>
                </c:pt>
                <c:pt idx="62">
                  <c:v>103.2803079321684</c:v>
                </c:pt>
                <c:pt idx="63">
                  <c:v>100.28795569289741</c:v>
                </c:pt>
                <c:pt idx="64">
                  <c:v>97.182273875302599</c:v>
                </c:pt>
                <c:pt idx="65">
                  <c:v>93.963537634239401</c:v>
                </c:pt>
                <c:pt idx="66">
                  <c:v>90.632058143556606</c:v>
                </c:pt>
                <c:pt idx="67">
                  <c:v>87.188155322995954</c:v>
                </c:pt>
                <c:pt idx="68">
                  <c:v>83.631842578402029</c:v>
                </c:pt>
                <c:pt idx="69">
                  <c:v>79.962989050714896</c:v>
                </c:pt>
                <c:pt idx="70">
                  <c:v>76.181478581183001</c:v>
                </c:pt>
                <c:pt idx="71">
                  <c:v>72.287212033944343</c:v>
                </c:pt>
                <c:pt idx="72">
                  <c:v>68.280098007853667</c:v>
                </c:pt>
                <c:pt idx="73">
                  <c:v>64.160043866752858</c:v>
                </c:pt>
                <c:pt idx="74">
                  <c:v>59.92695435440055</c:v>
                </c:pt>
                <c:pt idx="75">
                  <c:v>55.580740438704197</c:v>
                </c:pt>
                <c:pt idx="76">
                  <c:v>51.121336908910962</c:v>
                </c:pt>
                <c:pt idx="77">
                  <c:v>46.548722600946348</c:v>
                </c:pt>
                <c:pt idx="78">
                  <c:v>41.862932761128832</c:v>
                </c:pt>
                <c:pt idx="79">
                  <c:v>37.064048935534629</c:v>
                </c:pt>
                <c:pt idx="80">
                  <c:v>32.152146090648785</c:v>
                </c:pt>
                <c:pt idx="81">
                  <c:v>27.127175095045459</c:v>
                </c:pt>
                <c:pt idx="82">
                  <c:v>21.988750099062599</c:v>
                </c:pt>
                <c:pt idx="83">
                  <c:v>20.424965879874435</c:v>
                </c:pt>
              </c:numCache>
            </c:numRef>
          </c:xVal>
          <c:yVal>
            <c:numRef>
              <c:f>'Compute Ephemeris'!$AB$8:$AB$91</c:f>
              <c:numCache>
                <c:formatCode>0.000</c:formatCode>
                <c:ptCount val="84"/>
                <c:pt idx="0">
                  <c:v>21.675650729926243</c:v>
                </c:pt>
                <c:pt idx="1">
                  <c:v>33.715915668645927</c:v>
                </c:pt>
                <c:pt idx="2">
                  <c:v>19.786668215721061</c:v>
                </c:pt>
                <c:pt idx="3">
                  <c:v>6.9861700717506858</c:v>
                </c:pt>
                <c:pt idx="4">
                  <c:v>1.2693696540037698</c:v>
                </c:pt>
                <c:pt idx="5">
                  <c:v>7.3335563653218638E-2</c:v>
                </c:pt>
                <c:pt idx="6">
                  <c:v>6.312017090555512E-2</c:v>
                </c:pt>
                <c:pt idx="7">
                  <c:v>5.9945828075669047E-2</c:v>
                </c:pt>
                <c:pt idx="8">
                  <c:v>5.1930290632477179E-2</c:v>
                </c:pt>
                <c:pt idx="9">
                  <c:v>4.6928726208629826E-2</c:v>
                </c:pt>
                <c:pt idx="10">
                  <c:v>4.3505977633751095E-2</c:v>
                </c:pt>
                <c:pt idx="11">
                  <c:v>4.091469953745365E-2</c:v>
                </c:pt>
                <c:pt idx="12">
                  <c:v>3.877040339297725E-2</c:v>
                </c:pt>
                <c:pt idx="13">
                  <c:v>3.6882453084559542E-2</c:v>
                </c:pt>
                <c:pt idx="14">
                  <c:v>3.5120171725459476E-2</c:v>
                </c:pt>
                <c:pt idx="15">
                  <c:v>3.3422398437989234E-2</c:v>
                </c:pt>
                <c:pt idx="16">
                  <c:v>3.1788637918148469E-2</c:v>
                </c:pt>
                <c:pt idx="17">
                  <c:v>3.0184293225400501E-2</c:v>
                </c:pt>
                <c:pt idx="18">
                  <c:v>2.8572048650702855E-2</c:v>
                </c:pt>
                <c:pt idx="19">
                  <c:v>2.6967612401207836E-2</c:v>
                </c:pt>
                <c:pt idx="20">
                  <c:v>2.5374562825062556E-2</c:v>
                </c:pt>
                <c:pt idx="21">
                  <c:v>2.3796008680057212E-2</c:v>
                </c:pt>
                <c:pt idx="22">
                  <c:v>2.2232115033869029E-2</c:v>
                </c:pt>
                <c:pt idx="23">
                  <c:v>2.0678784824333763E-2</c:v>
                </c:pt>
                <c:pt idx="24">
                  <c:v>1.9127480602533543E-2</c:v>
                </c:pt>
                <c:pt idx="25">
                  <c:v>1.7566164275029033E-2</c:v>
                </c:pt>
                <c:pt idx="26">
                  <c:v>1.598132599845202E-2</c:v>
                </c:pt>
                <c:pt idx="27">
                  <c:v>1.4361066800266414E-2</c:v>
                </c:pt>
                <c:pt idx="28">
                  <c:v>1.2699192983877571E-2</c:v>
                </c:pt>
                <c:pt idx="29">
                  <c:v>1.1000273960710747E-2</c:v>
                </c:pt>
                <c:pt idx="30">
                  <c:v>9.2856088554798977E-3</c:v>
                </c:pt>
                <c:pt idx="31">
                  <c:v>7.6000410430384401E-3</c:v>
                </c:pt>
                <c:pt idx="32">
                  <c:v>6.0195536664221809E-3</c:v>
                </c:pt>
                <c:pt idx="33">
                  <c:v>4.659572985492591E-3</c:v>
                </c:pt>
                <c:pt idx="34">
                  <c:v>3.6838997924106059E-3</c:v>
                </c:pt>
                <c:pt idx="35">
                  <c:v>3.3064302728721944E-3</c:v>
                </c:pt>
                <c:pt idx="36">
                  <c:v>1.196980676971019E-3</c:v>
                </c:pt>
                <c:pt idx="37">
                  <c:v>5.5779216376158496E-5</c:v>
                </c:pt>
                <c:pt idx="38">
                  <c:v>-1.5324383208856175E-3</c:v>
                </c:pt>
                <c:pt idx="39">
                  <c:v>-3.1207226798967052E-3</c:v>
                </c:pt>
                <c:pt idx="40">
                  <c:v>-4.7089689022691136E-3</c:v>
                </c:pt>
                <c:pt idx="41">
                  <c:v>-6.2970721176175727E-3</c:v>
                </c:pt>
                <c:pt idx="42">
                  <c:v>-7.8849275043857935E-3</c:v>
                </c:pt>
                <c:pt idx="43">
                  <c:v>-9.4724302497851218E-3</c:v>
                </c:pt>
                <c:pt idx="44">
                  <c:v>-1.105947551170788E-2</c:v>
                </c:pt>
                <c:pt idx="45">
                  <c:v>-1.2645958378203852E-2</c:v>
                </c:pt>
                <c:pt idx="46">
                  <c:v>-1.4231773829366589E-2</c:v>
                </c:pt>
                <c:pt idx="47">
                  <c:v>-1.5816816697561797E-2</c:v>
                </c:pt>
                <c:pt idx="48">
                  <c:v>-1.7400981629322462E-2</c:v>
                </c:pt>
                <c:pt idx="49">
                  <c:v>-1.8984163045649729E-2</c:v>
                </c:pt>
                <c:pt idx="50">
                  <c:v>-2.0566255103111424E-2</c:v>
                </c:pt>
                <c:pt idx="51">
                  <c:v>-2.2147151654911958E-2</c:v>
                </c:pt>
                <c:pt idx="52">
                  <c:v>-2.3726746211692431E-2</c:v>
                </c:pt>
                <c:pt idx="53">
                  <c:v>-2.5304931902428933E-2</c:v>
                </c:pt>
                <c:pt idx="54">
                  <c:v>-2.6692432371270967E-2</c:v>
                </c:pt>
                <c:pt idx="55">
                  <c:v>-2.8494048335913527E-2</c:v>
                </c:pt>
                <c:pt idx="56">
                  <c:v>-3.0052289738228481E-2</c:v>
                </c:pt>
                <c:pt idx="57">
                  <c:v>-3.1536970914271246E-2</c:v>
                </c:pt>
                <c:pt idx="58">
                  <c:v>-3.3005651716237816E-2</c:v>
                </c:pt>
                <c:pt idx="59">
                  <c:v>-3.4445260418225113E-2</c:v>
                </c:pt>
                <c:pt idx="60">
                  <c:v>-3.5808613779149352E-2</c:v>
                </c:pt>
                <c:pt idx="61">
                  <c:v>-3.7024208110578577E-2</c:v>
                </c:pt>
                <c:pt idx="62">
                  <c:v>-3.7978722492224296E-2</c:v>
                </c:pt>
                <c:pt idx="63">
                  <c:v>-3.8471836906909744E-2</c:v>
                </c:pt>
                <c:pt idx="64">
                  <c:v>-3.8141109025487827E-2</c:v>
                </c:pt>
                <c:pt idx="65">
                  <c:v>-3.6301527929618223E-2</c:v>
                </c:pt>
                <c:pt idx="66">
                  <c:v>-3.1684463257351407E-2</c:v>
                </c:pt>
                <c:pt idx="67">
                  <c:v>-2.6845400366755767E-2</c:v>
                </c:pt>
                <c:pt idx="68">
                  <c:v>-3.0083266151577113E-2</c:v>
                </c:pt>
                <c:pt idx="69">
                  <c:v>-2.9533594308320928E-2</c:v>
                </c:pt>
                <c:pt idx="70">
                  <c:v>-2.2957603031255058E-2</c:v>
                </c:pt>
                <c:pt idx="71">
                  <c:v>-1.6040590623440532E-2</c:v>
                </c:pt>
                <c:pt idx="72">
                  <c:v>-1.615097076752809E-2</c:v>
                </c:pt>
                <c:pt idx="73">
                  <c:v>-2.7989567742597463E-2</c:v>
                </c:pt>
                <c:pt idx="74">
                  <c:v>-5.1086577150167664E-2</c:v>
                </c:pt>
                <c:pt idx="75">
                  <c:v>-7.9146343423688301E-2</c:v>
                </c:pt>
                <c:pt idx="76">
                  <c:v>-0.10122833936915962</c:v>
                </c:pt>
                <c:pt idx="77">
                  <c:v>-0.10474117218336088</c:v>
                </c:pt>
                <c:pt idx="78">
                  <c:v>-8.0216580850653904E-2</c:v>
                </c:pt>
                <c:pt idx="79">
                  <c:v>-2.7821435250319066E-2</c:v>
                </c:pt>
                <c:pt idx="80">
                  <c:v>3.4447319622429376E-2</c:v>
                </c:pt>
                <c:pt idx="81">
                  <c:v>6.0961380016172483E-2</c:v>
                </c:pt>
                <c:pt idx="82">
                  <c:v>-3.2856065029610242E-2</c:v>
                </c:pt>
                <c:pt idx="83">
                  <c:v>-0.20629724359022958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A-4A80-B225-EFF0CD094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15712"/>
        <c:axId val="488917632"/>
      </c:scatterChart>
      <c:valAx>
        <c:axId val="488915712"/>
        <c:scaling>
          <c:orientation val="maxMin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Altitude,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917632"/>
        <c:crosses val="autoZero"/>
        <c:crossBetween val="midCat"/>
      </c:valAx>
      <c:valAx>
        <c:axId val="48891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Deceleration, g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915712"/>
        <c:crosses val="max"/>
        <c:crossBetween val="midCat"/>
      </c:valAx>
    </c:plotArea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 Velocity vs. Range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Ephemeris'!$AI$8:$AI$91</c:f>
              <c:numCache>
                <c:formatCode>0.0</c:formatCode>
                <c:ptCount val="84"/>
                <c:pt idx="0">
                  <c:v>134.11449758361934</c:v>
                </c:pt>
                <c:pt idx="1">
                  <c:v>208.11516582256689</c:v>
                </c:pt>
                <c:pt idx="2">
                  <c:v>280.38989839113691</c:v>
                </c:pt>
                <c:pt idx="3">
                  <c:v>351.12426099340638</c:v>
                </c:pt>
                <c:pt idx="4">
                  <c:v>421.13602216647894</c:v>
                </c:pt>
                <c:pt idx="5">
                  <c:v>490.92306852473058</c:v>
                </c:pt>
                <c:pt idx="6">
                  <c:v>560.60736567675872</c:v>
                </c:pt>
                <c:pt idx="7">
                  <c:v>630.19492009503051</c:v>
                </c:pt>
                <c:pt idx="8">
                  <c:v>699.69523060297547</c:v>
                </c:pt>
                <c:pt idx="9">
                  <c:v>769.1155231155908</c:v>
                </c:pt>
                <c:pt idx="10">
                  <c:v>838.46086048408586</c:v>
                </c:pt>
                <c:pt idx="11">
                  <c:v>907.73517499056459</c:v>
                </c:pt>
                <c:pt idx="12">
                  <c:v>976.94178588387911</c:v>
                </c:pt>
                <c:pt idx="13">
                  <c:v>1046.0837030917044</c:v>
                </c:pt>
                <c:pt idx="14">
                  <c:v>1115.1637199225986</c:v>
                </c:pt>
                <c:pt idx="15">
                  <c:v>1184.1845230675146</c:v>
                </c:pt>
                <c:pt idx="16">
                  <c:v>1253.1487879558099</c:v>
                </c:pt>
                <c:pt idx="17">
                  <c:v>1322.059129100699</c:v>
                </c:pt>
                <c:pt idx="18">
                  <c:v>1390.9180979065709</c:v>
                </c:pt>
                <c:pt idx="19">
                  <c:v>1459.7282646397787</c:v>
                </c:pt>
                <c:pt idx="20">
                  <c:v>1528.4922011855226</c:v>
                </c:pt>
                <c:pt idx="21">
                  <c:v>1597.2124812562565</c:v>
                </c:pt>
                <c:pt idx="22">
                  <c:v>1665.8916766380241</c:v>
                </c:pt>
                <c:pt idx="23">
                  <c:v>1734.5323512631862</c:v>
                </c:pt>
                <c:pt idx="24">
                  <c:v>1803.1370548778893</c:v>
                </c:pt>
                <c:pt idx="25">
                  <c:v>1871.7083180233742</c:v>
                </c:pt>
                <c:pt idx="26">
                  <c:v>1940.2486500216612</c:v>
                </c:pt>
                <c:pt idx="27">
                  <c:v>2008.7605415968012</c:v>
                </c:pt>
                <c:pt idx="28">
                  <c:v>2077.2464737118285</c:v>
                </c:pt>
                <c:pt idx="29">
                  <c:v>2145.7089341404912</c:v>
                </c:pt>
                <c:pt idx="30">
                  <c:v>2214.1504432236957</c:v>
                </c:pt>
                <c:pt idx="31">
                  <c:v>2282.573590181476</c:v>
                </c:pt>
                <c:pt idx="32">
                  <c:v>2350.9810812812602</c:v>
                </c:pt>
                <c:pt idx="33">
                  <c:v>2419.3758010650495</c:v>
                </c:pt>
                <c:pt idx="34">
                  <c:v>2487.7608877499215</c:v>
                </c:pt>
                <c:pt idx="35">
                  <c:v>2526.2450653689421</c:v>
                </c:pt>
                <c:pt idx="36">
                  <c:v>2556.1383732792988</c:v>
                </c:pt>
                <c:pt idx="37">
                  <c:v>2624.509241184131</c:v>
                </c:pt>
                <c:pt idx="38">
                  <c:v>2692.8772106808624</c:v>
                </c:pt>
                <c:pt idx="39">
                  <c:v>2761.2448265377657</c:v>
                </c:pt>
                <c:pt idx="40">
                  <c:v>2829.6146369382541</c:v>
                </c:pt>
                <c:pt idx="41">
                  <c:v>2897.9891935567912</c:v>
                </c:pt>
                <c:pt idx="42">
                  <c:v>2966.3710516375072</c:v>
                </c:pt>
                <c:pt idx="43">
                  <c:v>3034.7627700713206</c:v>
                </c:pt>
                <c:pt idx="44">
                  <c:v>3103.1669114778488</c:v>
                </c:pt>
                <c:pt idx="45">
                  <c:v>3171.5860422865253</c:v>
                </c:pt>
                <c:pt idx="46">
                  <c:v>3240.0227328199016</c:v>
                </c:pt>
                <c:pt idx="47">
                  <c:v>3308.4795573764482</c:v>
                </c:pt>
                <c:pt idx="48">
                  <c:v>3376.9590943174207</c:v>
                </c:pt>
                <c:pt idx="49">
                  <c:v>3445.463926150619</c:v>
                </c:pt>
                <c:pt idx="50">
                  <c:v>3513.996639617445</c:v>
                </c:pt>
                <c:pt idx="51">
                  <c:v>3582.5598257796491</c:v>
                </c:pt>
                <c:pt idx="52">
                  <c:v>3651.1560801068363</c:v>
                </c:pt>
                <c:pt idx="53">
                  <c:v>3719.7880025633513</c:v>
                </c:pt>
                <c:pt idx="54">
                  <c:v>3788.4577945426804</c:v>
                </c:pt>
                <c:pt idx="55">
                  <c:v>3857.1688801838536</c:v>
                </c:pt>
                <c:pt idx="56">
                  <c:v>3925.9234046663755</c:v>
                </c:pt>
                <c:pt idx="57">
                  <c:v>3994.7238394573046</c:v>
                </c:pt>
                <c:pt idx="58">
                  <c:v>4063.5727730996805</c:v>
                </c:pt>
                <c:pt idx="59">
                  <c:v>4132.4727773393352</c:v>
                </c:pt>
                <c:pt idx="60">
                  <c:v>4201.4263436803139</c:v>
                </c:pt>
                <c:pt idx="61">
                  <c:v>4270.4358428503911</c:v>
                </c:pt>
                <c:pt idx="62">
                  <c:v>4339.5034586323436</c:v>
                </c:pt>
                <c:pt idx="63">
                  <c:v>4408.6310466918812</c:v>
                </c:pt>
                <c:pt idx="64">
                  <c:v>4477.8198669722042</c:v>
                </c:pt>
                <c:pt idx="65">
                  <c:v>4547.0700958276184</c:v>
                </c:pt>
                <c:pt idx="66">
                  <c:v>4616.3799031749541</c:v>
                </c:pt>
                <c:pt idx="67">
                  <c:v>4685.7449857295205</c:v>
                </c:pt>
                <c:pt idx="68">
                  <c:v>4755.1652247567117</c:v>
                </c:pt>
                <c:pt idx="69">
                  <c:v>4824.6433764970488</c:v>
                </c:pt>
                <c:pt idx="70">
                  <c:v>4894.1822772433379</c:v>
                </c:pt>
                <c:pt idx="71">
                  <c:v>4963.7846306330275</c:v>
                </c:pt>
                <c:pt idx="72">
                  <c:v>5033.452963042474</c:v>
                </c:pt>
                <c:pt idx="73">
                  <c:v>5103.189692134185</c:v>
                </c:pt>
                <c:pt idx="74">
                  <c:v>5172.9972613150558</c:v>
                </c:pt>
                <c:pt idx="75">
                  <c:v>5242.8782925047835</c:v>
                </c:pt>
                <c:pt idx="76">
                  <c:v>5312.8357093701597</c:v>
                </c:pt>
                <c:pt idx="77">
                  <c:v>5382.8727832048799</c:v>
                </c:pt>
                <c:pt idx="78">
                  <c:v>5452.9930538081562</c:v>
                </c:pt>
                <c:pt idx="79">
                  <c:v>5523.2000780763565</c:v>
                </c:pt>
                <c:pt idx="80">
                  <c:v>5593.4969597475701</c:v>
                </c:pt>
                <c:pt idx="81">
                  <c:v>5663.8856141959859</c:v>
                </c:pt>
                <c:pt idx="82">
                  <c:v>5734.3657234534512</c:v>
                </c:pt>
                <c:pt idx="83">
                  <c:v>5755.5271245015392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13.129307807019492</c:v>
                </c:pt>
                <c:pt idx="1">
                  <c:v>9.8231251165494413</c:v>
                </c:pt>
                <c:pt idx="2">
                  <c:v>7.8828444313161512</c:v>
                </c:pt>
                <c:pt idx="3">
                  <c:v>7.1977805940803909</c:v>
                </c:pt>
                <c:pt idx="4">
                  <c:v>7.0733062058088016</c:v>
                </c:pt>
                <c:pt idx="5">
                  <c:v>7.0661149204369682</c:v>
                </c:pt>
                <c:pt idx="6">
                  <c:v>7.0599253564779705</c:v>
                </c:pt>
                <c:pt idx="7">
                  <c:v>7.0540470685768657</c:v>
                </c:pt>
                <c:pt idx="8">
                  <c:v>7.0489547842774458</c:v>
                </c:pt>
                <c:pt idx="9">
                  <c:v>7.0443529533854283</c:v>
                </c:pt>
                <c:pt idx="10">
                  <c:v>7.0400867572186634</c:v>
                </c:pt>
                <c:pt idx="11">
                  <c:v>7.0360746617820213</c:v>
                </c:pt>
                <c:pt idx="12">
                  <c:v>7.0322728360253066</c:v>
                </c:pt>
                <c:pt idx="13">
                  <c:v>7.0286561426758318</c:v>
                </c:pt>
                <c:pt idx="14">
                  <c:v>7.0252122586364338</c:v>
                </c:pt>
                <c:pt idx="15">
                  <c:v>7.0219348582456051</c:v>
                </c:pt>
                <c:pt idx="16">
                  <c:v>7.018817664411352</c:v>
                </c:pt>
                <c:pt idx="17">
                  <c:v>7.0158577926176697</c:v>
                </c:pt>
                <c:pt idx="18">
                  <c:v>7.0130560175269823</c:v>
                </c:pt>
                <c:pt idx="19">
                  <c:v>7.0104115734549177</c:v>
                </c:pt>
                <c:pt idx="20">
                  <c:v>7.0079233438242925</c:v>
                </c:pt>
                <c:pt idx="21">
                  <c:v>7.0055899072131265</c:v>
                </c:pt>
                <c:pt idx="22">
                  <c:v>7.0034098260129056</c:v>
                </c:pt>
                <c:pt idx="23">
                  <c:v>7.0013820643730318</c:v>
                </c:pt>
                <c:pt idx="24">
                  <c:v>6.9995064236251459</c:v>
                </c:pt>
                <c:pt idx="25">
                  <c:v>6.9977838855563368</c:v>
                </c:pt>
                <c:pt idx="26">
                  <c:v>6.9962167567289288</c:v>
                </c:pt>
                <c:pt idx="27">
                  <c:v>6.9948085105184949</c:v>
                </c:pt>
                <c:pt idx="28">
                  <c:v>6.9935632276544961</c:v>
                </c:pt>
                <c:pt idx="29">
                  <c:v>6.992484540789909</c:v>
                </c:pt>
                <c:pt idx="30">
                  <c:v>6.9915739939855399</c:v>
                </c:pt>
                <c:pt idx="31">
                  <c:v>6.9908287339608597</c:v>
                </c:pt>
                <c:pt idx="32">
                  <c:v>6.9902384565283304</c:v>
                </c:pt>
                <c:pt idx="33">
                  <c:v>6.9897815388013731</c:v>
                </c:pt>
                <c:pt idx="34">
                  <c:v>6.9894202955877294</c:v>
                </c:pt>
                <c:pt idx="35">
                  <c:v>6.9892378197809872</c:v>
                </c:pt>
                <c:pt idx="36">
                  <c:v>6.9891865030183018</c:v>
                </c:pt>
                <c:pt idx="37">
                  <c:v>6.9891810333083439</c:v>
                </c:pt>
                <c:pt idx="38">
                  <c:v>6.98933130421009</c:v>
                </c:pt>
                <c:pt idx="39">
                  <c:v>6.9896373222760806</c:v>
                </c:pt>
                <c:pt idx="40">
                  <c:v>6.990099083766637</c:v>
                </c:pt>
                <c:pt idx="41">
                  <c:v>6.9907165746584905</c:v>
                </c:pt>
                <c:pt idx="42">
                  <c:v>6.9914897706495704</c:v>
                </c:pt>
                <c:pt idx="43">
                  <c:v>6.9924186371598651</c:v>
                </c:pt>
                <c:pt idx="44">
                  <c:v>6.993503129328543</c:v>
                </c:pt>
                <c:pt idx="45">
                  <c:v>6.9947431920071095</c:v>
                </c:pt>
                <c:pt idx="46">
                  <c:v>6.9961387597488169</c:v>
                </c:pt>
                <c:pt idx="47">
                  <c:v>6.9976897567941796</c:v>
                </c:pt>
                <c:pt idx="48">
                  <c:v>6.9993960970527507</c:v>
                </c:pt>
                <c:pt idx="49">
                  <c:v>7.0012576840810086</c:v>
                </c:pt>
                <c:pt idx="50">
                  <c:v>7.0032744110564193</c:v>
                </c:pt>
                <c:pt idx="51">
                  <c:v>7.0054461607476997</c:v>
                </c:pt>
                <c:pt idx="52">
                  <c:v>7.0077728054812178</c:v>
                </c:pt>
                <c:pt idx="53">
                  <c:v>7.0102542071035696</c:v>
                </c:pt>
                <c:pt idx="54">
                  <c:v>7.012871667021896</c:v>
                </c:pt>
                <c:pt idx="55">
                  <c:v>7.0156657934017179</c:v>
                </c:pt>
                <c:pt idx="56">
                  <c:v>7.0186127209334481</c:v>
                </c:pt>
                <c:pt idx="57">
                  <c:v>7.0217052363013011</c:v>
                </c:pt>
                <c:pt idx="58">
                  <c:v>7.0249417705085948</c:v>
                </c:pt>
                <c:pt idx="59">
                  <c:v>7.0283194727452054</c:v>
                </c:pt>
                <c:pt idx="60">
                  <c:v>7.0318308654123882</c:v>
                </c:pt>
                <c:pt idx="61">
                  <c:v>7.0354614592597144</c:v>
                </c:pt>
                <c:pt idx="62">
                  <c:v>7.0391856527873014</c:v>
                </c:pt>
                <c:pt idx="63">
                  <c:v>7.0429582011143923</c:v>
                </c:pt>
                <c:pt idx="64">
                  <c:v>7.046698318265431</c:v>
                </c:pt>
                <c:pt idx="65">
                  <c:v>7.0502580460942088</c:v>
                </c:pt>
                <c:pt idx="66">
                  <c:v>7.0533650245612272</c:v>
                </c:pt>
                <c:pt idx="67">
                  <c:v>7.0559974845211908</c:v>
                </c:pt>
                <c:pt idx="68">
                  <c:v>7.058947449600014</c:v>
                </c:pt>
                <c:pt idx="69">
                  <c:v>7.0618435138578874</c:v>
                </c:pt>
                <c:pt idx="70">
                  <c:v>7.0640947364111319</c:v>
                </c:pt>
                <c:pt idx="71">
                  <c:v>7.0656676767276663</c:v>
                </c:pt>
                <c:pt idx="72">
                  <c:v>7.0672514409211313</c:v>
                </c:pt>
                <c:pt idx="73">
                  <c:v>7.06999609793397</c:v>
                </c:pt>
                <c:pt idx="74">
                  <c:v>7.0750056476893146</c:v>
                </c:pt>
                <c:pt idx="75">
                  <c:v>7.0827667381254402</c:v>
                </c:pt>
                <c:pt idx="76">
                  <c:v>7.0926931890839784</c:v>
                </c:pt>
                <c:pt idx="77">
                  <c:v>7.1029641084282771</c:v>
                </c:pt>
                <c:pt idx="78">
                  <c:v>7.1108301463464985</c:v>
                </c:pt>
                <c:pt idx="79">
                  <c:v>7.1135583162871443</c:v>
                </c:pt>
                <c:pt idx="80">
                  <c:v>7.1101804121249694</c:v>
                </c:pt>
                <c:pt idx="81">
                  <c:v>7.1042025392005845</c:v>
                </c:pt>
                <c:pt idx="82">
                  <c:v>7.1074244049373876</c:v>
                </c:pt>
                <c:pt idx="83">
                  <c:v>7.1134932572493259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7-4CD1-A48F-AF81958F4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47072"/>
        <c:axId val="488953344"/>
      </c:scatterChart>
      <c:valAx>
        <c:axId val="488947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953344"/>
        <c:crosses val="autoZero"/>
        <c:crossBetween val="midCat"/>
      </c:valAx>
      <c:valAx>
        <c:axId val="488953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Relative Velocity, km/s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947072"/>
        <c:crosses val="autoZero"/>
        <c:crossBetween val="midCat"/>
      </c:valAx>
    </c:plotArea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</a:t>
            </a:r>
            <a:r>
              <a:rPr lang="en-US" baseline="0"/>
              <a:t> </a:t>
            </a:r>
            <a:r>
              <a:rPr lang="en-US"/>
              <a:t>Velocity vs. Altitude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Ephemeris'!$D$8:$D$91</c:f>
              <c:numCache>
                <c:formatCode>#,##0.00</c:formatCode>
                <c:ptCount val="84"/>
                <c:pt idx="0">
                  <c:v>68.405514425340698</c:v>
                </c:pt>
                <c:pt idx="1">
                  <c:v>72.25869371580302</c:v>
                </c:pt>
                <c:pt idx="2">
                  <c:v>76.090545935895534</c:v>
                </c:pt>
                <c:pt idx="3">
                  <c:v>79.845264858711744</c:v>
                </c:pt>
                <c:pt idx="4">
                  <c:v>83.493003825102278</c:v>
                </c:pt>
                <c:pt idx="5">
                  <c:v>87.030089759129623</c:v>
                </c:pt>
                <c:pt idx="6">
                  <c:v>90.457367687586157</c:v>
                </c:pt>
                <c:pt idx="7">
                  <c:v>93.774206595394389</c:v>
                </c:pt>
                <c:pt idx="8">
                  <c:v>96.98028378240906</c:v>
                </c:pt>
                <c:pt idx="9">
                  <c:v>100.07530455283631</c:v>
                </c:pt>
                <c:pt idx="10">
                  <c:v>103.05895692725062</c:v>
                </c:pt>
                <c:pt idx="11">
                  <c:v>105.93092852355858</c:v>
                </c:pt>
                <c:pt idx="12">
                  <c:v>108.69091241538172</c:v>
                </c:pt>
                <c:pt idx="13">
                  <c:v>111.33861465506925</c:v>
                </c:pt>
                <c:pt idx="14">
                  <c:v>113.87374729694329</c:v>
                </c:pt>
                <c:pt idx="15">
                  <c:v>116.29603252787911</c:v>
                </c:pt>
                <c:pt idx="16">
                  <c:v>118.6052121865423</c:v>
                </c:pt>
                <c:pt idx="17">
                  <c:v>120.80103625578067</c:v>
                </c:pt>
                <c:pt idx="18">
                  <c:v>122.88325786494534</c:v>
                </c:pt>
                <c:pt idx="19">
                  <c:v>124.85164662827538</c:v>
                </c:pt>
                <c:pt idx="20">
                  <c:v>126.7059853804567</c:v>
                </c:pt>
                <c:pt idx="21">
                  <c:v>128.44607005869966</c:v>
                </c:pt>
                <c:pt idx="22">
                  <c:v>130.07170873388804</c:v>
                </c:pt>
                <c:pt idx="23">
                  <c:v>131.58271988391516</c:v>
                </c:pt>
                <c:pt idx="24">
                  <c:v>132.97893016380112</c:v>
                </c:pt>
                <c:pt idx="25">
                  <c:v>134.26017208627218</c:v>
                </c:pt>
                <c:pt idx="26">
                  <c:v>135.4262821843804</c:v>
                </c:pt>
                <c:pt idx="27">
                  <c:v>136.4771003819842</c:v>
                </c:pt>
                <c:pt idx="28">
                  <c:v>137.41247145085981</c:v>
                </c:pt>
                <c:pt idx="29">
                  <c:v>138.23224958219998</c:v>
                </c:pt>
                <c:pt idx="30">
                  <c:v>138.9363072472479</c:v>
                </c:pt>
                <c:pt idx="31">
                  <c:v>139.52454966476307</c:v>
                </c:pt>
                <c:pt idx="32">
                  <c:v>139.99693633328025</c:v>
                </c:pt>
                <c:pt idx="33">
                  <c:v>140.35351122234624</c:v>
                </c:pt>
                <c:pt idx="34">
                  <c:v>140.5944433492823</c:v>
                </c:pt>
                <c:pt idx="35">
                  <c:v>140.67930466471262</c:v>
                </c:pt>
                <c:pt idx="36">
                  <c:v>140.71948358216923</c:v>
                </c:pt>
                <c:pt idx="37">
                  <c:v>140.72797003611049</c:v>
                </c:pt>
                <c:pt idx="38">
                  <c:v>140.62033748155682</c:v>
                </c:pt>
                <c:pt idx="39">
                  <c:v>140.3965467944472</c:v>
                </c:pt>
                <c:pt idx="40">
                  <c:v>140.05657120788874</c:v>
                </c:pt>
                <c:pt idx="41">
                  <c:v>139.60039629217499</c:v>
                </c:pt>
                <c:pt idx="42">
                  <c:v>139.02801993705089</c:v>
                </c:pt>
                <c:pt idx="43">
                  <c:v>138.33945233621034</c:v>
                </c:pt>
                <c:pt idx="44">
                  <c:v>137.53471597400767</c:v>
                </c:pt>
                <c:pt idx="45">
                  <c:v>136.61384561449358</c:v>
                </c:pt>
                <c:pt idx="46">
                  <c:v>135.57688829269409</c:v>
                </c:pt>
                <c:pt idx="47">
                  <c:v>134.4239033082049</c:v>
                </c:pt>
                <c:pt idx="48">
                  <c:v>133.15496222111597</c:v>
                </c:pt>
                <c:pt idx="49">
                  <c:v>131.77014885021981</c:v>
                </c:pt>
                <c:pt idx="50">
                  <c:v>130.26955927364452</c:v>
                </c:pt>
                <c:pt idx="51">
                  <c:v>128.6533018317532</c:v>
                </c:pt>
                <c:pt idx="52">
                  <c:v>126.92149713246454</c:v>
                </c:pt>
                <c:pt idx="53">
                  <c:v>125.07427805897714</c:v>
                </c:pt>
                <c:pt idx="54">
                  <c:v>123.11181270731231</c:v>
                </c:pt>
                <c:pt idx="55">
                  <c:v>121.03406714540506</c:v>
                </c:pt>
                <c:pt idx="56">
                  <c:v>118.84132069779571</c:v>
                </c:pt>
                <c:pt idx="57">
                  <c:v>116.53376677372944</c:v>
                </c:pt>
                <c:pt idx="58">
                  <c:v>114.1115766493067</c:v>
                </c:pt>
                <c:pt idx="59">
                  <c:v>111.57493076233732</c:v>
                </c:pt>
                <c:pt idx="60">
                  <c:v>108.92402673248125</c:v>
                </c:pt>
                <c:pt idx="61">
                  <c:v>106.15907742965555</c:v>
                </c:pt>
                <c:pt idx="62">
                  <c:v>103.2803079321684</c:v>
                </c:pt>
                <c:pt idx="63">
                  <c:v>100.28795569289741</c:v>
                </c:pt>
                <c:pt idx="64">
                  <c:v>97.182273875302599</c:v>
                </c:pt>
                <c:pt idx="65">
                  <c:v>93.963537634239401</c:v>
                </c:pt>
                <c:pt idx="66">
                  <c:v>90.632058143556606</c:v>
                </c:pt>
                <c:pt idx="67">
                  <c:v>87.188155322995954</c:v>
                </c:pt>
                <c:pt idx="68">
                  <c:v>83.631842578402029</c:v>
                </c:pt>
                <c:pt idx="69">
                  <c:v>79.962989050714896</c:v>
                </c:pt>
                <c:pt idx="70">
                  <c:v>76.181478581183001</c:v>
                </c:pt>
                <c:pt idx="71">
                  <c:v>72.287212033944343</c:v>
                </c:pt>
                <c:pt idx="72">
                  <c:v>68.280098007853667</c:v>
                </c:pt>
                <c:pt idx="73">
                  <c:v>64.160043866752858</c:v>
                </c:pt>
                <c:pt idx="74">
                  <c:v>59.92695435440055</c:v>
                </c:pt>
                <c:pt idx="75">
                  <c:v>55.580740438704197</c:v>
                </c:pt>
                <c:pt idx="76">
                  <c:v>51.121336908910962</c:v>
                </c:pt>
                <c:pt idx="77">
                  <c:v>46.548722600946348</c:v>
                </c:pt>
                <c:pt idx="78">
                  <c:v>41.862932761128832</c:v>
                </c:pt>
                <c:pt idx="79">
                  <c:v>37.064048935534629</c:v>
                </c:pt>
                <c:pt idx="80">
                  <c:v>32.152146090648785</c:v>
                </c:pt>
                <c:pt idx="81">
                  <c:v>27.127175095045459</c:v>
                </c:pt>
                <c:pt idx="82">
                  <c:v>21.988750099062599</c:v>
                </c:pt>
                <c:pt idx="83">
                  <c:v>20.424965879874435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13.129307807019492</c:v>
                </c:pt>
                <c:pt idx="1">
                  <c:v>9.8231251165494413</c:v>
                </c:pt>
                <c:pt idx="2">
                  <c:v>7.8828444313161512</c:v>
                </c:pt>
                <c:pt idx="3">
                  <c:v>7.1977805940803909</c:v>
                </c:pt>
                <c:pt idx="4">
                  <c:v>7.0733062058088016</c:v>
                </c:pt>
                <c:pt idx="5">
                  <c:v>7.0661149204369682</c:v>
                </c:pt>
                <c:pt idx="6">
                  <c:v>7.0599253564779705</c:v>
                </c:pt>
                <c:pt idx="7">
                  <c:v>7.0540470685768657</c:v>
                </c:pt>
                <c:pt idx="8">
                  <c:v>7.0489547842774458</c:v>
                </c:pt>
                <c:pt idx="9">
                  <c:v>7.0443529533854283</c:v>
                </c:pt>
                <c:pt idx="10">
                  <c:v>7.0400867572186634</c:v>
                </c:pt>
                <c:pt idx="11">
                  <c:v>7.0360746617820213</c:v>
                </c:pt>
                <c:pt idx="12">
                  <c:v>7.0322728360253066</c:v>
                </c:pt>
                <c:pt idx="13">
                  <c:v>7.0286561426758318</c:v>
                </c:pt>
                <c:pt idx="14">
                  <c:v>7.0252122586364338</c:v>
                </c:pt>
                <c:pt idx="15">
                  <c:v>7.0219348582456051</c:v>
                </c:pt>
                <c:pt idx="16">
                  <c:v>7.018817664411352</c:v>
                </c:pt>
                <c:pt idx="17">
                  <c:v>7.0158577926176697</c:v>
                </c:pt>
                <c:pt idx="18">
                  <c:v>7.0130560175269823</c:v>
                </c:pt>
                <c:pt idx="19">
                  <c:v>7.0104115734549177</c:v>
                </c:pt>
                <c:pt idx="20">
                  <c:v>7.0079233438242925</c:v>
                </c:pt>
                <c:pt idx="21">
                  <c:v>7.0055899072131265</c:v>
                </c:pt>
                <c:pt idx="22">
                  <c:v>7.0034098260129056</c:v>
                </c:pt>
                <c:pt idx="23">
                  <c:v>7.0013820643730318</c:v>
                </c:pt>
                <c:pt idx="24">
                  <c:v>6.9995064236251459</c:v>
                </c:pt>
                <c:pt idx="25">
                  <c:v>6.9977838855563368</c:v>
                </c:pt>
                <c:pt idx="26">
                  <c:v>6.9962167567289288</c:v>
                </c:pt>
                <c:pt idx="27">
                  <c:v>6.9948085105184949</c:v>
                </c:pt>
                <c:pt idx="28">
                  <c:v>6.9935632276544961</c:v>
                </c:pt>
                <c:pt idx="29">
                  <c:v>6.992484540789909</c:v>
                </c:pt>
                <c:pt idx="30">
                  <c:v>6.9915739939855399</c:v>
                </c:pt>
                <c:pt idx="31">
                  <c:v>6.9908287339608597</c:v>
                </c:pt>
                <c:pt idx="32">
                  <c:v>6.9902384565283304</c:v>
                </c:pt>
                <c:pt idx="33">
                  <c:v>6.9897815388013731</c:v>
                </c:pt>
                <c:pt idx="34">
                  <c:v>6.9894202955877294</c:v>
                </c:pt>
                <c:pt idx="35">
                  <c:v>6.9892378197809872</c:v>
                </c:pt>
                <c:pt idx="36">
                  <c:v>6.9891865030183018</c:v>
                </c:pt>
                <c:pt idx="37">
                  <c:v>6.9891810333083439</c:v>
                </c:pt>
                <c:pt idx="38">
                  <c:v>6.98933130421009</c:v>
                </c:pt>
                <c:pt idx="39">
                  <c:v>6.9896373222760806</c:v>
                </c:pt>
                <c:pt idx="40">
                  <c:v>6.990099083766637</c:v>
                </c:pt>
                <c:pt idx="41">
                  <c:v>6.9907165746584905</c:v>
                </c:pt>
                <c:pt idx="42">
                  <c:v>6.9914897706495704</c:v>
                </c:pt>
                <c:pt idx="43">
                  <c:v>6.9924186371598651</c:v>
                </c:pt>
                <c:pt idx="44">
                  <c:v>6.993503129328543</c:v>
                </c:pt>
                <c:pt idx="45">
                  <c:v>6.9947431920071095</c:v>
                </c:pt>
                <c:pt idx="46">
                  <c:v>6.9961387597488169</c:v>
                </c:pt>
                <c:pt idx="47">
                  <c:v>6.9976897567941796</c:v>
                </c:pt>
                <c:pt idx="48">
                  <c:v>6.9993960970527507</c:v>
                </c:pt>
                <c:pt idx="49">
                  <c:v>7.0012576840810086</c:v>
                </c:pt>
                <c:pt idx="50">
                  <c:v>7.0032744110564193</c:v>
                </c:pt>
                <c:pt idx="51">
                  <c:v>7.0054461607476997</c:v>
                </c:pt>
                <c:pt idx="52">
                  <c:v>7.0077728054812178</c:v>
                </c:pt>
                <c:pt idx="53">
                  <c:v>7.0102542071035696</c:v>
                </c:pt>
                <c:pt idx="54">
                  <c:v>7.012871667021896</c:v>
                </c:pt>
                <c:pt idx="55">
                  <c:v>7.0156657934017179</c:v>
                </c:pt>
                <c:pt idx="56">
                  <c:v>7.0186127209334481</c:v>
                </c:pt>
                <c:pt idx="57">
                  <c:v>7.0217052363013011</c:v>
                </c:pt>
                <c:pt idx="58">
                  <c:v>7.0249417705085948</c:v>
                </c:pt>
                <c:pt idx="59">
                  <c:v>7.0283194727452054</c:v>
                </c:pt>
                <c:pt idx="60">
                  <c:v>7.0318308654123882</c:v>
                </c:pt>
                <c:pt idx="61">
                  <c:v>7.0354614592597144</c:v>
                </c:pt>
                <c:pt idx="62">
                  <c:v>7.0391856527873014</c:v>
                </c:pt>
                <c:pt idx="63">
                  <c:v>7.0429582011143923</c:v>
                </c:pt>
                <c:pt idx="64">
                  <c:v>7.046698318265431</c:v>
                </c:pt>
                <c:pt idx="65">
                  <c:v>7.0502580460942088</c:v>
                </c:pt>
                <c:pt idx="66">
                  <c:v>7.0533650245612272</c:v>
                </c:pt>
                <c:pt idx="67">
                  <c:v>7.0559974845211908</c:v>
                </c:pt>
                <c:pt idx="68">
                  <c:v>7.058947449600014</c:v>
                </c:pt>
                <c:pt idx="69">
                  <c:v>7.0618435138578874</c:v>
                </c:pt>
                <c:pt idx="70">
                  <c:v>7.0640947364111319</c:v>
                </c:pt>
                <c:pt idx="71">
                  <c:v>7.0656676767276663</c:v>
                </c:pt>
                <c:pt idx="72">
                  <c:v>7.0672514409211313</c:v>
                </c:pt>
                <c:pt idx="73">
                  <c:v>7.06999609793397</c:v>
                </c:pt>
                <c:pt idx="74">
                  <c:v>7.0750056476893146</c:v>
                </c:pt>
                <c:pt idx="75">
                  <c:v>7.0827667381254402</c:v>
                </c:pt>
                <c:pt idx="76">
                  <c:v>7.0926931890839784</c:v>
                </c:pt>
                <c:pt idx="77">
                  <c:v>7.1029641084282771</c:v>
                </c:pt>
                <c:pt idx="78">
                  <c:v>7.1108301463464985</c:v>
                </c:pt>
                <c:pt idx="79">
                  <c:v>7.1135583162871443</c:v>
                </c:pt>
                <c:pt idx="80">
                  <c:v>7.1101804121249694</c:v>
                </c:pt>
                <c:pt idx="81">
                  <c:v>7.1042025392005845</c:v>
                </c:pt>
                <c:pt idx="82">
                  <c:v>7.1074244049373876</c:v>
                </c:pt>
                <c:pt idx="83">
                  <c:v>7.1134932572493259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3F-4F2C-A722-74919AEF5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88704"/>
        <c:axId val="490099072"/>
      </c:scatterChart>
      <c:valAx>
        <c:axId val="490088704"/>
        <c:scaling>
          <c:orientation val="maxMin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Altitude,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90099072"/>
        <c:crosses val="autoZero"/>
        <c:crossBetween val="midCat"/>
      </c:valAx>
      <c:valAx>
        <c:axId val="49009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Relative Velocity, km/s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088704"/>
        <c:crosses val="max"/>
        <c:crossBetween val="midCat"/>
      </c:valAx>
    </c:plotArea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 Velocity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'Compute Ephemeris'!$A$8:$A$91</c:f>
              <c:numCache>
                <c:formatCode>hh:mm:ss.0</c:formatCode>
                <c:ptCount val="84"/>
                <c:pt idx="0">
                  <c:v>0.72175925925925921</c:v>
                </c:pt>
                <c:pt idx="1">
                  <c:v>0.72187500000000004</c:v>
                </c:pt>
                <c:pt idx="2">
                  <c:v>0.72199074074074077</c:v>
                </c:pt>
                <c:pt idx="3">
                  <c:v>0.72210648148148149</c:v>
                </c:pt>
                <c:pt idx="4">
                  <c:v>0.72222222222222221</c:v>
                </c:pt>
                <c:pt idx="5">
                  <c:v>0.72233796296296293</c:v>
                </c:pt>
                <c:pt idx="6">
                  <c:v>0.72245370370370365</c:v>
                </c:pt>
                <c:pt idx="7">
                  <c:v>0.72256944444444449</c:v>
                </c:pt>
                <c:pt idx="8">
                  <c:v>0.72268518518518521</c:v>
                </c:pt>
                <c:pt idx="9">
                  <c:v>0.72280092592592593</c:v>
                </c:pt>
                <c:pt idx="10">
                  <c:v>0.72291666666666665</c:v>
                </c:pt>
                <c:pt idx="11">
                  <c:v>0.72303240740740737</c:v>
                </c:pt>
                <c:pt idx="12">
                  <c:v>0.7231481481481481</c:v>
                </c:pt>
                <c:pt idx="13">
                  <c:v>0.72326388888888893</c:v>
                </c:pt>
                <c:pt idx="14">
                  <c:v>0.72337962962962965</c:v>
                </c:pt>
                <c:pt idx="15">
                  <c:v>0.72349537037037037</c:v>
                </c:pt>
                <c:pt idx="16">
                  <c:v>0.72361111111111109</c:v>
                </c:pt>
                <c:pt idx="17">
                  <c:v>0.72372685185185182</c:v>
                </c:pt>
                <c:pt idx="18">
                  <c:v>0.72384259259259254</c:v>
                </c:pt>
                <c:pt idx="19">
                  <c:v>0.72395833333333337</c:v>
                </c:pt>
                <c:pt idx="20">
                  <c:v>0.72407407407407409</c:v>
                </c:pt>
                <c:pt idx="21">
                  <c:v>0.72418981481481481</c:v>
                </c:pt>
                <c:pt idx="22">
                  <c:v>0.72430555555555554</c:v>
                </c:pt>
                <c:pt idx="23">
                  <c:v>0.72442129629629626</c:v>
                </c:pt>
                <c:pt idx="24">
                  <c:v>0.72453703703703709</c:v>
                </c:pt>
                <c:pt idx="25">
                  <c:v>0.72465277777777781</c:v>
                </c:pt>
                <c:pt idx="26">
                  <c:v>0.72476851851851853</c:v>
                </c:pt>
                <c:pt idx="27">
                  <c:v>0.72488425925925926</c:v>
                </c:pt>
                <c:pt idx="28">
                  <c:v>0.72499999999999998</c:v>
                </c:pt>
                <c:pt idx="29">
                  <c:v>0.7251157407407407</c:v>
                </c:pt>
                <c:pt idx="30">
                  <c:v>0.72523148148148153</c:v>
                </c:pt>
                <c:pt idx="31">
                  <c:v>0.72534722222222225</c:v>
                </c:pt>
                <c:pt idx="32">
                  <c:v>0.72546296296296298</c:v>
                </c:pt>
                <c:pt idx="33">
                  <c:v>0.7255787037037037</c:v>
                </c:pt>
                <c:pt idx="34">
                  <c:v>0.72569444444444442</c:v>
                </c:pt>
                <c:pt idx="35">
                  <c:v>0.72575958332525237</c:v>
                </c:pt>
                <c:pt idx="36">
                  <c:v>0.72581018518518514</c:v>
                </c:pt>
                <c:pt idx="37">
                  <c:v>0.72592592592592597</c:v>
                </c:pt>
                <c:pt idx="38">
                  <c:v>0.7260416666666667</c:v>
                </c:pt>
                <c:pt idx="39">
                  <c:v>0.72615740740740742</c:v>
                </c:pt>
                <c:pt idx="40">
                  <c:v>0.72627314814814814</c:v>
                </c:pt>
                <c:pt idx="41">
                  <c:v>0.72638888888888886</c:v>
                </c:pt>
                <c:pt idx="42">
                  <c:v>0.72650462962962958</c:v>
                </c:pt>
                <c:pt idx="43">
                  <c:v>0.72662037037037042</c:v>
                </c:pt>
                <c:pt idx="44">
                  <c:v>0.72673611111111114</c:v>
                </c:pt>
                <c:pt idx="45">
                  <c:v>0.72685185185185186</c:v>
                </c:pt>
                <c:pt idx="46">
                  <c:v>0.72696759259259258</c:v>
                </c:pt>
                <c:pt idx="47">
                  <c:v>0.7270833333333333</c:v>
                </c:pt>
                <c:pt idx="48">
                  <c:v>0.72719907407407403</c:v>
                </c:pt>
                <c:pt idx="49">
                  <c:v>0.72731481481481486</c:v>
                </c:pt>
                <c:pt idx="50">
                  <c:v>0.72743055555555558</c:v>
                </c:pt>
                <c:pt idx="51">
                  <c:v>0.7275462962962963</c:v>
                </c:pt>
                <c:pt idx="52">
                  <c:v>0.72766203703703702</c:v>
                </c:pt>
                <c:pt idx="53">
                  <c:v>0.72777777777777775</c:v>
                </c:pt>
                <c:pt idx="54">
                  <c:v>0.72789351851851847</c:v>
                </c:pt>
                <c:pt idx="55">
                  <c:v>0.7280092592592593</c:v>
                </c:pt>
                <c:pt idx="56">
                  <c:v>0.72812500000000002</c:v>
                </c:pt>
                <c:pt idx="57">
                  <c:v>0.72824074074074074</c:v>
                </c:pt>
                <c:pt idx="58">
                  <c:v>0.72835648148148147</c:v>
                </c:pt>
                <c:pt idx="59">
                  <c:v>0.72847222222222219</c:v>
                </c:pt>
                <c:pt idx="60">
                  <c:v>0.72858796296296291</c:v>
                </c:pt>
                <c:pt idx="61">
                  <c:v>0.72870370370370374</c:v>
                </c:pt>
                <c:pt idx="62">
                  <c:v>0.72881944444444446</c:v>
                </c:pt>
                <c:pt idx="63">
                  <c:v>0.72893518518518519</c:v>
                </c:pt>
                <c:pt idx="64">
                  <c:v>0.72905092592592591</c:v>
                </c:pt>
                <c:pt idx="65">
                  <c:v>0.72916666666666663</c:v>
                </c:pt>
                <c:pt idx="66">
                  <c:v>0.72928240740740746</c:v>
                </c:pt>
                <c:pt idx="67">
                  <c:v>0.72939814814814818</c:v>
                </c:pt>
                <c:pt idx="68">
                  <c:v>0.72951388888888891</c:v>
                </c:pt>
                <c:pt idx="69">
                  <c:v>0.72962962962962963</c:v>
                </c:pt>
                <c:pt idx="70">
                  <c:v>0.72974537037037035</c:v>
                </c:pt>
                <c:pt idx="71">
                  <c:v>0.72986111111111107</c:v>
                </c:pt>
                <c:pt idx="72">
                  <c:v>0.7299768518518519</c:v>
                </c:pt>
                <c:pt idx="73">
                  <c:v>0.73009259259259263</c:v>
                </c:pt>
                <c:pt idx="74">
                  <c:v>0.73020833333333335</c:v>
                </c:pt>
                <c:pt idx="75">
                  <c:v>0.73032407407407407</c:v>
                </c:pt>
                <c:pt idx="76">
                  <c:v>0.73043981481481479</c:v>
                </c:pt>
                <c:pt idx="77">
                  <c:v>0.73055555555555551</c:v>
                </c:pt>
                <c:pt idx="78">
                  <c:v>0.73067129629629635</c:v>
                </c:pt>
                <c:pt idx="79">
                  <c:v>0.73078703703703707</c:v>
                </c:pt>
                <c:pt idx="80">
                  <c:v>0.73090277777777779</c:v>
                </c:pt>
                <c:pt idx="81">
                  <c:v>0.73101851851851851</c:v>
                </c:pt>
                <c:pt idx="82">
                  <c:v>0.73113425925925923</c:v>
                </c:pt>
                <c:pt idx="83">
                  <c:v>0.73116898148148146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13.129307807019492</c:v>
                </c:pt>
                <c:pt idx="1">
                  <c:v>9.8231251165494413</c:v>
                </c:pt>
                <c:pt idx="2">
                  <c:v>7.8828444313161512</c:v>
                </c:pt>
                <c:pt idx="3">
                  <c:v>7.1977805940803909</c:v>
                </c:pt>
                <c:pt idx="4">
                  <c:v>7.0733062058088016</c:v>
                </c:pt>
                <c:pt idx="5">
                  <c:v>7.0661149204369682</c:v>
                </c:pt>
                <c:pt idx="6">
                  <c:v>7.0599253564779705</c:v>
                </c:pt>
                <c:pt idx="7">
                  <c:v>7.0540470685768657</c:v>
                </c:pt>
                <c:pt idx="8">
                  <c:v>7.0489547842774458</c:v>
                </c:pt>
                <c:pt idx="9">
                  <c:v>7.0443529533854283</c:v>
                </c:pt>
                <c:pt idx="10">
                  <c:v>7.0400867572186634</c:v>
                </c:pt>
                <c:pt idx="11">
                  <c:v>7.0360746617820213</c:v>
                </c:pt>
                <c:pt idx="12">
                  <c:v>7.0322728360253066</c:v>
                </c:pt>
                <c:pt idx="13">
                  <c:v>7.0286561426758318</c:v>
                </c:pt>
                <c:pt idx="14">
                  <c:v>7.0252122586364338</c:v>
                </c:pt>
                <c:pt idx="15">
                  <c:v>7.0219348582456051</c:v>
                </c:pt>
                <c:pt idx="16">
                  <c:v>7.018817664411352</c:v>
                </c:pt>
                <c:pt idx="17">
                  <c:v>7.0158577926176697</c:v>
                </c:pt>
                <c:pt idx="18">
                  <c:v>7.0130560175269823</c:v>
                </c:pt>
                <c:pt idx="19">
                  <c:v>7.0104115734549177</c:v>
                </c:pt>
                <c:pt idx="20">
                  <c:v>7.0079233438242925</c:v>
                </c:pt>
                <c:pt idx="21">
                  <c:v>7.0055899072131265</c:v>
                </c:pt>
                <c:pt idx="22">
                  <c:v>7.0034098260129056</c:v>
                </c:pt>
                <c:pt idx="23">
                  <c:v>7.0013820643730318</c:v>
                </c:pt>
                <c:pt idx="24">
                  <c:v>6.9995064236251459</c:v>
                </c:pt>
                <c:pt idx="25">
                  <c:v>6.9977838855563368</c:v>
                </c:pt>
                <c:pt idx="26">
                  <c:v>6.9962167567289288</c:v>
                </c:pt>
                <c:pt idx="27">
                  <c:v>6.9948085105184949</c:v>
                </c:pt>
                <c:pt idx="28">
                  <c:v>6.9935632276544961</c:v>
                </c:pt>
                <c:pt idx="29">
                  <c:v>6.992484540789909</c:v>
                </c:pt>
                <c:pt idx="30">
                  <c:v>6.9915739939855399</c:v>
                </c:pt>
                <c:pt idx="31">
                  <c:v>6.9908287339608597</c:v>
                </c:pt>
                <c:pt idx="32">
                  <c:v>6.9902384565283304</c:v>
                </c:pt>
                <c:pt idx="33">
                  <c:v>6.9897815388013731</c:v>
                </c:pt>
                <c:pt idx="34">
                  <c:v>6.9894202955877294</c:v>
                </c:pt>
                <c:pt idx="35">
                  <c:v>6.9892378197809872</c:v>
                </c:pt>
                <c:pt idx="36">
                  <c:v>6.9891865030183018</c:v>
                </c:pt>
                <c:pt idx="37">
                  <c:v>6.9891810333083439</c:v>
                </c:pt>
                <c:pt idx="38">
                  <c:v>6.98933130421009</c:v>
                </c:pt>
                <c:pt idx="39">
                  <c:v>6.9896373222760806</c:v>
                </c:pt>
                <c:pt idx="40">
                  <c:v>6.990099083766637</c:v>
                </c:pt>
                <c:pt idx="41">
                  <c:v>6.9907165746584905</c:v>
                </c:pt>
                <c:pt idx="42">
                  <c:v>6.9914897706495704</c:v>
                </c:pt>
                <c:pt idx="43">
                  <c:v>6.9924186371598651</c:v>
                </c:pt>
                <c:pt idx="44">
                  <c:v>6.993503129328543</c:v>
                </c:pt>
                <c:pt idx="45">
                  <c:v>6.9947431920071095</c:v>
                </c:pt>
                <c:pt idx="46">
                  <c:v>6.9961387597488169</c:v>
                </c:pt>
                <c:pt idx="47">
                  <c:v>6.9976897567941796</c:v>
                </c:pt>
                <c:pt idx="48">
                  <c:v>6.9993960970527507</c:v>
                </c:pt>
                <c:pt idx="49">
                  <c:v>7.0012576840810086</c:v>
                </c:pt>
                <c:pt idx="50">
                  <c:v>7.0032744110564193</c:v>
                </c:pt>
                <c:pt idx="51">
                  <c:v>7.0054461607476997</c:v>
                </c:pt>
                <c:pt idx="52">
                  <c:v>7.0077728054812178</c:v>
                </c:pt>
                <c:pt idx="53">
                  <c:v>7.0102542071035696</c:v>
                </c:pt>
                <c:pt idx="54">
                  <c:v>7.012871667021896</c:v>
                </c:pt>
                <c:pt idx="55">
                  <c:v>7.0156657934017179</c:v>
                </c:pt>
                <c:pt idx="56">
                  <c:v>7.0186127209334481</c:v>
                </c:pt>
                <c:pt idx="57">
                  <c:v>7.0217052363013011</c:v>
                </c:pt>
                <c:pt idx="58">
                  <c:v>7.0249417705085948</c:v>
                </c:pt>
                <c:pt idx="59">
                  <c:v>7.0283194727452054</c:v>
                </c:pt>
                <c:pt idx="60">
                  <c:v>7.0318308654123882</c:v>
                </c:pt>
                <c:pt idx="61">
                  <c:v>7.0354614592597144</c:v>
                </c:pt>
                <c:pt idx="62">
                  <c:v>7.0391856527873014</c:v>
                </c:pt>
                <c:pt idx="63">
                  <c:v>7.0429582011143923</c:v>
                </c:pt>
                <c:pt idx="64">
                  <c:v>7.046698318265431</c:v>
                </c:pt>
                <c:pt idx="65">
                  <c:v>7.0502580460942088</c:v>
                </c:pt>
                <c:pt idx="66">
                  <c:v>7.0533650245612272</c:v>
                </c:pt>
                <c:pt idx="67">
                  <c:v>7.0559974845211908</c:v>
                </c:pt>
                <c:pt idx="68">
                  <c:v>7.058947449600014</c:v>
                </c:pt>
                <c:pt idx="69">
                  <c:v>7.0618435138578874</c:v>
                </c:pt>
                <c:pt idx="70">
                  <c:v>7.0640947364111319</c:v>
                </c:pt>
                <c:pt idx="71">
                  <c:v>7.0656676767276663</c:v>
                </c:pt>
                <c:pt idx="72">
                  <c:v>7.0672514409211313</c:v>
                </c:pt>
                <c:pt idx="73">
                  <c:v>7.06999609793397</c:v>
                </c:pt>
                <c:pt idx="74">
                  <c:v>7.0750056476893146</c:v>
                </c:pt>
                <c:pt idx="75">
                  <c:v>7.0827667381254402</c:v>
                </c:pt>
                <c:pt idx="76">
                  <c:v>7.0926931890839784</c:v>
                </c:pt>
                <c:pt idx="77">
                  <c:v>7.1029641084282771</c:v>
                </c:pt>
                <c:pt idx="78">
                  <c:v>7.1108301463464985</c:v>
                </c:pt>
                <c:pt idx="79">
                  <c:v>7.1135583162871443</c:v>
                </c:pt>
                <c:pt idx="80">
                  <c:v>7.1101804121249694</c:v>
                </c:pt>
                <c:pt idx="81">
                  <c:v>7.1042025392005845</c:v>
                </c:pt>
                <c:pt idx="82">
                  <c:v>7.1074244049373876</c:v>
                </c:pt>
                <c:pt idx="83">
                  <c:v>7.1134932572493259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C-4A7C-B621-0233A6D09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19936"/>
        <c:axId val="490122240"/>
      </c:scatterChart>
      <c:valAx>
        <c:axId val="490119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 baseline="0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90122240"/>
        <c:crosses val="autoZero"/>
        <c:crossBetween val="midCat"/>
        <c:majorUnit val="2.0833330000000006E-3"/>
      </c:valAx>
      <c:valAx>
        <c:axId val="490122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/>
                  <a:t>Relative Velocity,</a:t>
                </a:r>
                <a:r>
                  <a:rPr lang="en-CA" sz="1400" baseline="0"/>
                  <a:t> km/s</a:t>
                </a:r>
                <a:endParaRPr lang="en-CA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11993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 Velocity and Altitude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Velocity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'Compute Ephemeris'!$A$8:$A$91</c:f>
              <c:numCache>
                <c:formatCode>hh:mm:ss.0</c:formatCode>
                <c:ptCount val="84"/>
                <c:pt idx="0">
                  <c:v>0.72175925925925921</c:v>
                </c:pt>
                <c:pt idx="1">
                  <c:v>0.72187500000000004</c:v>
                </c:pt>
                <c:pt idx="2">
                  <c:v>0.72199074074074077</c:v>
                </c:pt>
                <c:pt idx="3">
                  <c:v>0.72210648148148149</c:v>
                </c:pt>
                <c:pt idx="4">
                  <c:v>0.72222222222222221</c:v>
                </c:pt>
                <c:pt idx="5">
                  <c:v>0.72233796296296293</c:v>
                </c:pt>
                <c:pt idx="6">
                  <c:v>0.72245370370370365</c:v>
                </c:pt>
                <c:pt idx="7">
                  <c:v>0.72256944444444449</c:v>
                </c:pt>
                <c:pt idx="8">
                  <c:v>0.72268518518518521</c:v>
                </c:pt>
                <c:pt idx="9">
                  <c:v>0.72280092592592593</c:v>
                </c:pt>
                <c:pt idx="10">
                  <c:v>0.72291666666666665</c:v>
                </c:pt>
                <c:pt idx="11">
                  <c:v>0.72303240740740737</c:v>
                </c:pt>
                <c:pt idx="12">
                  <c:v>0.7231481481481481</c:v>
                </c:pt>
                <c:pt idx="13">
                  <c:v>0.72326388888888893</c:v>
                </c:pt>
                <c:pt idx="14">
                  <c:v>0.72337962962962965</c:v>
                </c:pt>
                <c:pt idx="15">
                  <c:v>0.72349537037037037</c:v>
                </c:pt>
                <c:pt idx="16">
                  <c:v>0.72361111111111109</c:v>
                </c:pt>
                <c:pt idx="17">
                  <c:v>0.72372685185185182</c:v>
                </c:pt>
                <c:pt idx="18">
                  <c:v>0.72384259259259254</c:v>
                </c:pt>
                <c:pt idx="19">
                  <c:v>0.72395833333333337</c:v>
                </c:pt>
                <c:pt idx="20">
                  <c:v>0.72407407407407409</c:v>
                </c:pt>
                <c:pt idx="21">
                  <c:v>0.72418981481481481</c:v>
                </c:pt>
                <c:pt idx="22">
                  <c:v>0.72430555555555554</c:v>
                </c:pt>
                <c:pt idx="23">
                  <c:v>0.72442129629629626</c:v>
                </c:pt>
                <c:pt idx="24">
                  <c:v>0.72453703703703709</c:v>
                </c:pt>
                <c:pt idx="25">
                  <c:v>0.72465277777777781</c:v>
                </c:pt>
                <c:pt idx="26">
                  <c:v>0.72476851851851853</c:v>
                </c:pt>
                <c:pt idx="27">
                  <c:v>0.72488425925925926</c:v>
                </c:pt>
                <c:pt idx="28">
                  <c:v>0.72499999999999998</c:v>
                </c:pt>
                <c:pt idx="29">
                  <c:v>0.7251157407407407</c:v>
                </c:pt>
                <c:pt idx="30">
                  <c:v>0.72523148148148153</c:v>
                </c:pt>
                <c:pt idx="31">
                  <c:v>0.72534722222222225</c:v>
                </c:pt>
                <c:pt idx="32">
                  <c:v>0.72546296296296298</c:v>
                </c:pt>
                <c:pt idx="33">
                  <c:v>0.7255787037037037</c:v>
                </c:pt>
                <c:pt idx="34">
                  <c:v>0.72569444444444442</c:v>
                </c:pt>
                <c:pt idx="35">
                  <c:v>0.72575958332525237</c:v>
                </c:pt>
                <c:pt idx="36">
                  <c:v>0.72581018518518514</c:v>
                </c:pt>
                <c:pt idx="37">
                  <c:v>0.72592592592592597</c:v>
                </c:pt>
                <c:pt idx="38">
                  <c:v>0.7260416666666667</c:v>
                </c:pt>
                <c:pt idx="39">
                  <c:v>0.72615740740740742</c:v>
                </c:pt>
                <c:pt idx="40">
                  <c:v>0.72627314814814814</c:v>
                </c:pt>
                <c:pt idx="41">
                  <c:v>0.72638888888888886</c:v>
                </c:pt>
                <c:pt idx="42">
                  <c:v>0.72650462962962958</c:v>
                </c:pt>
                <c:pt idx="43">
                  <c:v>0.72662037037037042</c:v>
                </c:pt>
                <c:pt idx="44">
                  <c:v>0.72673611111111114</c:v>
                </c:pt>
                <c:pt idx="45">
                  <c:v>0.72685185185185186</c:v>
                </c:pt>
                <c:pt idx="46">
                  <c:v>0.72696759259259258</c:v>
                </c:pt>
                <c:pt idx="47">
                  <c:v>0.7270833333333333</c:v>
                </c:pt>
                <c:pt idx="48">
                  <c:v>0.72719907407407403</c:v>
                </c:pt>
                <c:pt idx="49">
                  <c:v>0.72731481481481486</c:v>
                </c:pt>
                <c:pt idx="50">
                  <c:v>0.72743055555555558</c:v>
                </c:pt>
                <c:pt idx="51">
                  <c:v>0.7275462962962963</c:v>
                </c:pt>
                <c:pt idx="52">
                  <c:v>0.72766203703703702</c:v>
                </c:pt>
                <c:pt idx="53">
                  <c:v>0.72777777777777775</c:v>
                </c:pt>
                <c:pt idx="54">
                  <c:v>0.72789351851851847</c:v>
                </c:pt>
                <c:pt idx="55">
                  <c:v>0.7280092592592593</c:v>
                </c:pt>
                <c:pt idx="56">
                  <c:v>0.72812500000000002</c:v>
                </c:pt>
                <c:pt idx="57">
                  <c:v>0.72824074074074074</c:v>
                </c:pt>
                <c:pt idx="58">
                  <c:v>0.72835648148148147</c:v>
                </c:pt>
                <c:pt idx="59">
                  <c:v>0.72847222222222219</c:v>
                </c:pt>
                <c:pt idx="60">
                  <c:v>0.72858796296296291</c:v>
                </c:pt>
                <c:pt idx="61">
                  <c:v>0.72870370370370374</c:v>
                </c:pt>
                <c:pt idx="62">
                  <c:v>0.72881944444444446</c:v>
                </c:pt>
                <c:pt idx="63">
                  <c:v>0.72893518518518519</c:v>
                </c:pt>
                <c:pt idx="64">
                  <c:v>0.72905092592592591</c:v>
                </c:pt>
                <c:pt idx="65">
                  <c:v>0.72916666666666663</c:v>
                </c:pt>
                <c:pt idx="66">
                  <c:v>0.72928240740740746</c:v>
                </c:pt>
                <c:pt idx="67">
                  <c:v>0.72939814814814818</c:v>
                </c:pt>
                <c:pt idx="68">
                  <c:v>0.72951388888888891</c:v>
                </c:pt>
                <c:pt idx="69">
                  <c:v>0.72962962962962963</c:v>
                </c:pt>
                <c:pt idx="70">
                  <c:v>0.72974537037037035</c:v>
                </c:pt>
                <c:pt idx="71">
                  <c:v>0.72986111111111107</c:v>
                </c:pt>
                <c:pt idx="72">
                  <c:v>0.7299768518518519</c:v>
                </c:pt>
                <c:pt idx="73">
                  <c:v>0.73009259259259263</c:v>
                </c:pt>
                <c:pt idx="74">
                  <c:v>0.73020833333333335</c:v>
                </c:pt>
                <c:pt idx="75">
                  <c:v>0.73032407407407407</c:v>
                </c:pt>
                <c:pt idx="76">
                  <c:v>0.73043981481481479</c:v>
                </c:pt>
                <c:pt idx="77">
                  <c:v>0.73055555555555551</c:v>
                </c:pt>
                <c:pt idx="78">
                  <c:v>0.73067129629629635</c:v>
                </c:pt>
                <c:pt idx="79">
                  <c:v>0.73078703703703707</c:v>
                </c:pt>
                <c:pt idx="80">
                  <c:v>0.73090277777777779</c:v>
                </c:pt>
                <c:pt idx="81">
                  <c:v>0.73101851851851851</c:v>
                </c:pt>
                <c:pt idx="82">
                  <c:v>0.73113425925925923</c:v>
                </c:pt>
                <c:pt idx="83">
                  <c:v>0.73116898148148146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13.129307807019492</c:v>
                </c:pt>
                <c:pt idx="1">
                  <c:v>9.8231251165494413</c:v>
                </c:pt>
                <c:pt idx="2">
                  <c:v>7.8828444313161512</c:v>
                </c:pt>
                <c:pt idx="3">
                  <c:v>7.1977805940803909</c:v>
                </c:pt>
                <c:pt idx="4">
                  <c:v>7.0733062058088016</c:v>
                </c:pt>
                <c:pt idx="5">
                  <c:v>7.0661149204369682</c:v>
                </c:pt>
                <c:pt idx="6">
                  <c:v>7.0599253564779705</c:v>
                </c:pt>
                <c:pt idx="7">
                  <c:v>7.0540470685768657</c:v>
                </c:pt>
                <c:pt idx="8">
                  <c:v>7.0489547842774458</c:v>
                </c:pt>
                <c:pt idx="9">
                  <c:v>7.0443529533854283</c:v>
                </c:pt>
                <c:pt idx="10">
                  <c:v>7.0400867572186634</c:v>
                </c:pt>
                <c:pt idx="11">
                  <c:v>7.0360746617820213</c:v>
                </c:pt>
                <c:pt idx="12">
                  <c:v>7.0322728360253066</c:v>
                </c:pt>
                <c:pt idx="13">
                  <c:v>7.0286561426758318</c:v>
                </c:pt>
                <c:pt idx="14">
                  <c:v>7.0252122586364338</c:v>
                </c:pt>
                <c:pt idx="15">
                  <c:v>7.0219348582456051</c:v>
                </c:pt>
                <c:pt idx="16">
                  <c:v>7.018817664411352</c:v>
                </c:pt>
                <c:pt idx="17">
                  <c:v>7.0158577926176697</c:v>
                </c:pt>
                <c:pt idx="18">
                  <c:v>7.0130560175269823</c:v>
                </c:pt>
                <c:pt idx="19">
                  <c:v>7.0104115734549177</c:v>
                </c:pt>
                <c:pt idx="20">
                  <c:v>7.0079233438242925</c:v>
                </c:pt>
                <c:pt idx="21">
                  <c:v>7.0055899072131265</c:v>
                </c:pt>
                <c:pt idx="22">
                  <c:v>7.0034098260129056</c:v>
                </c:pt>
                <c:pt idx="23">
                  <c:v>7.0013820643730318</c:v>
                </c:pt>
                <c:pt idx="24">
                  <c:v>6.9995064236251459</c:v>
                </c:pt>
                <c:pt idx="25">
                  <c:v>6.9977838855563368</c:v>
                </c:pt>
                <c:pt idx="26">
                  <c:v>6.9962167567289288</c:v>
                </c:pt>
                <c:pt idx="27">
                  <c:v>6.9948085105184949</c:v>
                </c:pt>
                <c:pt idx="28">
                  <c:v>6.9935632276544961</c:v>
                </c:pt>
                <c:pt idx="29">
                  <c:v>6.992484540789909</c:v>
                </c:pt>
                <c:pt idx="30">
                  <c:v>6.9915739939855399</c:v>
                </c:pt>
                <c:pt idx="31">
                  <c:v>6.9908287339608597</c:v>
                </c:pt>
                <c:pt idx="32">
                  <c:v>6.9902384565283304</c:v>
                </c:pt>
                <c:pt idx="33">
                  <c:v>6.9897815388013731</c:v>
                </c:pt>
                <c:pt idx="34">
                  <c:v>6.9894202955877294</c:v>
                </c:pt>
                <c:pt idx="35">
                  <c:v>6.9892378197809872</c:v>
                </c:pt>
                <c:pt idx="36">
                  <c:v>6.9891865030183018</c:v>
                </c:pt>
                <c:pt idx="37">
                  <c:v>6.9891810333083439</c:v>
                </c:pt>
                <c:pt idx="38">
                  <c:v>6.98933130421009</c:v>
                </c:pt>
                <c:pt idx="39">
                  <c:v>6.9896373222760806</c:v>
                </c:pt>
                <c:pt idx="40">
                  <c:v>6.990099083766637</c:v>
                </c:pt>
                <c:pt idx="41">
                  <c:v>6.9907165746584905</c:v>
                </c:pt>
                <c:pt idx="42">
                  <c:v>6.9914897706495704</c:v>
                </c:pt>
                <c:pt idx="43">
                  <c:v>6.9924186371598651</c:v>
                </c:pt>
                <c:pt idx="44">
                  <c:v>6.993503129328543</c:v>
                </c:pt>
                <c:pt idx="45">
                  <c:v>6.9947431920071095</c:v>
                </c:pt>
                <c:pt idx="46">
                  <c:v>6.9961387597488169</c:v>
                </c:pt>
                <c:pt idx="47">
                  <c:v>6.9976897567941796</c:v>
                </c:pt>
                <c:pt idx="48">
                  <c:v>6.9993960970527507</c:v>
                </c:pt>
                <c:pt idx="49">
                  <c:v>7.0012576840810086</c:v>
                </c:pt>
                <c:pt idx="50">
                  <c:v>7.0032744110564193</c:v>
                </c:pt>
                <c:pt idx="51">
                  <c:v>7.0054461607476997</c:v>
                </c:pt>
                <c:pt idx="52">
                  <c:v>7.0077728054812178</c:v>
                </c:pt>
                <c:pt idx="53">
                  <c:v>7.0102542071035696</c:v>
                </c:pt>
                <c:pt idx="54">
                  <c:v>7.012871667021896</c:v>
                </c:pt>
                <c:pt idx="55">
                  <c:v>7.0156657934017179</c:v>
                </c:pt>
                <c:pt idx="56">
                  <c:v>7.0186127209334481</c:v>
                </c:pt>
                <c:pt idx="57">
                  <c:v>7.0217052363013011</c:v>
                </c:pt>
                <c:pt idx="58">
                  <c:v>7.0249417705085948</c:v>
                </c:pt>
                <c:pt idx="59">
                  <c:v>7.0283194727452054</c:v>
                </c:pt>
                <c:pt idx="60">
                  <c:v>7.0318308654123882</c:v>
                </c:pt>
                <c:pt idx="61">
                  <c:v>7.0354614592597144</c:v>
                </c:pt>
                <c:pt idx="62">
                  <c:v>7.0391856527873014</c:v>
                </c:pt>
                <c:pt idx="63">
                  <c:v>7.0429582011143923</c:v>
                </c:pt>
                <c:pt idx="64">
                  <c:v>7.046698318265431</c:v>
                </c:pt>
                <c:pt idx="65">
                  <c:v>7.0502580460942088</c:v>
                </c:pt>
                <c:pt idx="66">
                  <c:v>7.0533650245612272</c:v>
                </c:pt>
                <c:pt idx="67">
                  <c:v>7.0559974845211908</c:v>
                </c:pt>
                <c:pt idx="68">
                  <c:v>7.058947449600014</c:v>
                </c:pt>
                <c:pt idx="69">
                  <c:v>7.0618435138578874</c:v>
                </c:pt>
                <c:pt idx="70">
                  <c:v>7.0640947364111319</c:v>
                </c:pt>
                <c:pt idx="71">
                  <c:v>7.0656676767276663</c:v>
                </c:pt>
                <c:pt idx="72">
                  <c:v>7.0672514409211313</c:v>
                </c:pt>
                <c:pt idx="73">
                  <c:v>7.06999609793397</c:v>
                </c:pt>
                <c:pt idx="74">
                  <c:v>7.0750056476893146</c:v>
                </c:pt>
                <c:pt idx="75">
                  <c:v>7.0827667381254402</c:v>
                </c:pt>
                <c:pt idx="76">
                  <c:v>7.0926931890839784</c:v>
                </c:pt>
                <c:pt idx="77">
                  <c:v>7.1029641084282771</c:v>
                </c:pt>
                <c:pt idx="78">
                  <c:v>7.1108301463464985</c:v>
                </c:pt>
                <c:pt idx="79">
                  <c:v>7.1135583162871443</c:v>
                </c:pt>
                <c:pt idx="80">
                  <c:v>7.1101804121249694</c:v>
                </c:pt>
                <c:pt idx="81">
                  <c:v>7.1042025392005845</c:v>
                </c:pt>
                <c:pt idx="82">
                  <c:v>7.1074244049373876</c:v>
                </c:pt>
                <c:pt idx="83">
                  <c:v>7.1134932572493259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29F-B624-3E1984AEB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72256"/>
        <c:axId val="490356736"/>
      </c:scatterChart>
      <c:scatterChart>
        <c:scatterStyle val="lineMarker"/>
        <c:varyColors val="0"/>
        <c:ser>
          <c:idx val="1"/>
          <c:order val="1"/>
          <c:tx>
            <c:v>Altitude</c:v>
          </c:tx>
          <c:spPr>
            <a:ln w="28575">
              <a:noFill/>
            </a:ln>
          </c:spPr>
          <c:marker>
            <c:symbol val="triangle"/>
            <c:size val="6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'Compute Ephemeris'!$A$6:$A$91</c:f>
              <c:numCache>
                <c:formatCode>hh:mm:ss.0</c:formatCode>
                <c:ptCount val="86"/>
                <c:pt idx="0">
                  <c:v>0.72152777777777777</c:v>
                </c:pt>
                <c:pt idx="1">
                  <c:v>0.72164351851851849</c:v>
                </c:pt>
                <c:pt idx="2">
                  <c:v>0.72175925925925921</c:v>
                </c:pt>
                <c:pt idx="3">
                  <c:v>0.72187500000000004</c:v>
                </c:pt>
                <c:pt idx="4">
                  <c:v>0.72199074074074077</c:v>
                </c:pt>
                <c:pt idx="5">
                  <c:v>0.72210648148148149</c:v>
                </c:pt>
                <c:pt idx="6">
                  <c:v>0.72222222222222221</c:v>
                </c:pt>
                <c:pt idx="7">
                  <c:v>0.72233796296296293</c:v>
                </c:pt>
                <c:pt idx="8">
                  <c:v>0.72245370370370365</c:v>
                </c:pt>
                <c:pt idx="9">
                  <c:v>0.72256944444444449</c:v>
                </c:pt>
                <c:pt idx="10">
                  <c:v>0.72268518518518521</c:v>
                </c:pt>
                <c:pt idx="11">
                  <c:v>0.72280092592592593</c:v>
                </c:pt>
                <c:pt idx="12">
                  <c:v>0.72291666666666665</c:v>
                </c:pt>
                <c:pt idx="13">
                  <c:v>0.72303240740740737</c:v>
                </c:pt>
                <c:pt idx="14">
                  <c:v>0.7231481481481481</c:v>
                </c:pt>
                <c:pt idx="15">
                  <c:v>0.72326388888888893</c:v>
                </c:pt>
                <c:pt idx="16">
                  <c:v>0.72337962962962965</c:v>
                </c:pt>
                <c:pt idx="17">
                  <c:v>0.72349537037037037</c:v>
                </c:pt>
                <c:pt idx="18">
                  <c:v>0.72361111111111109</c:v>
                </c:pt>
                <c:pt idx="19">
                  <c:v>0.72372685185185182</c:v>
                </c:pt>
                <c:pt idx="20">
                  <c:v>0.72384259259259254</c:v>
                </c:pt>
                <c:pt idx="21">
                  <c:v>0.72395833333333337</c:v>
                </c:pt>
                <c:pt idx="22">
                  <c:v>0.72407407407407409</c:v>
                </c:pt>
                <c:pt idx="23">
                  <c:v>0.72418981481481481</c:v>
                </c:pt>
                <c:pt idx="24">
                  <c:v>0.72430555555555554</c:v>
                </c:pt>
                <c:pt idx="25">
                  <c:v>0.72442129629629626</c:v>
                </c:pt>
                <c:pt idx="26">
                  <c:v>0.72453703703703709</c:v>
                </c:pt>
                <c:pt idx="27">
                  <c:v>0.72465277777777781</c:v>
                </c:pt>
                <c:pt idx="28">
                  <c:v>0.72476851851851853</c:v>
                </c:pt>
                <c:pt idx="29">
                  <c:v>0.72488425925925926</c:v>
                </c:pt>
                <c:pt idx="30">
                  <c:v>0.72499999999999998</c:v>
                </c:pt>
                <c:pt idx="31">
                  <c:v>0.7251157407407407</c:v>
                </c:pt>
                <c:pt idx="32">
                  <c:v>0.72523148148148153</c:v>
                </c:pt>
                <c:pt idx="33">
                  <c:v>0.72534722222222225</c:v>
                </c:pt>
                <c:pt idx="34">
                  <c:v>0.72546296296296298</c:v>
                </c:pt>
                <c:pt idx="35">
                  <c:v>0.7255787037037037</c:v>
                </c:pt>
                <c:pt idx="36">
                  <c:v>0.72569444444444442</c:v>
                </c:pt>
                <c:pt idx="37">
                  <c:v>0.72575958332525237</c:v>
                </c:pt>
                <c:pt idx="38">
                  <c:v>0.72581018518518514</c:v>
                </c:pt>
                <c:pt idx="39">
                  <c:v>0.72592592592592597</c:v>
                </c:pt>
                <c:pt idx="40">
                  <c:v>0.7260416666666667</c:v>
                </c:pt>
                <c:pt idx="41">
                  <c:v>0.72615740740740742</c:v>
                </c:pt>
                <c:pt idx="42">
                  <c:v>0.72627314814814814</c:v>
                </c:pt>
                <c:pt idx="43">
                  <c:v>0.72638888888888886</c:v>
                </c:pt>
                <c:pt idx="44">
                  <c:v>0.72650462962962958</c:v>
                </c:pt>
                <c:pt idx="45">
                  <c:v>0.72662037037037042</c:v>
                </c:pt>
                <c:pt idx="46">
                  <c:v>0.72673611111111114</c:v>
                </c:pt>
                <c:pt idx="47">
                  <c:v>0.72685185185185186</c:v>
                </c:pt>
                <c:pt idx="48">
                  <c:v>0.72696759259259258</c:v>
                </c:pt>
                <c:pt idx="49">
                  <c:v>0.7270833333333333</c:v>
                </c:pt>
                <c:pt idx="50">
                  <c:v>0.72719907407407403</c:v>
                </c:pt>
                <c:pt idx="51">
                  <c:v>0.72731481481481486</c:v>
                </c:pt>
                <c:pt idx="52">
                  <c:v>0.72743055555555558</c:v>
                </c:pt>
                <c:pt idx="53">
                  <c:v>0.7275462962962963</c:v>
                </c:pt>
                <c:pt idx="54">
                  <c:v>0.72766203703703702</c:v>
                </c:pt>
                <c:pt idx="55">
                  <c:v>0.72777777777777775</c:v>
                </c:pt>
                <c:pt idx="56">
                  <c:v>0.72789351851851847</c:v>
                </c:pt>
                <c:pt idx="57">
                  <c:v>0.7280092592592593</c:v>
                </c:pt>
                <c:pt idx="58">
                  <c:v>0.72812500000000002</c:v>
                </c:pt>
                <c:pt idx="59">
                  <c:v>0.72824074074074074</c:v>
                </c:pt>
                <c:pt idx="60">
                  <c:v>0.72835648148148147</c:v>
                </c:pt>
                <c:pt idx="61">
                  <c:v>0.72847222222222219</c:v>
                </c:pt>
                <c:pt idx="62">
                  <c:v>0.72858796296296291</c:v>
                </c:pt>
                <c:pt idx="63">
                  <c:v>0.72870370370370374</c:v>
                </c:pt>
                <c:pt idx="64">
                  <c:v>0.72881944444444446</c:v>
                </c:pt>
                <c:pt idx="65">
                  <c:v>0.72893518518518519</c:v>
                </c:pt>
                <c:pt idx="66">
                  <c:v>0.72905092592592591</c:v>
                </c:pt>
                <c:pt idx="67">
                  <c:v>0.72916666666666663</c:v>
                </c:pt>
                <c:pt idx="68">
                  <c:v>0.72928240740740746</c:v>
                </c:pt>
                <c:pt idx="69">
                  <c:v>0.72939814814814818</c:v>
                </c:pt>
                <c:pt idx="70">
                  <c:v>0.72951388888888891</c:v>
                </c:pt>
                <c:pt idx="71">
                  <c:v>0.72962962962962963</c:v>
                </c:pt>
                <c:pt idx="72">
                  <c:v>0.72974537037037035</c:v>
                </c:pt>
                <c:pt idx="73">
                  <c:v>0.72986111111111107</c:v>
                </c:pt>
                <c:pt idx="74">
                  <c:v>0.7299768518518519</c:v>
                </c:pt>
                <c:pt idx="75">
                  <c:v>0.73009259259259263</c:v>
                </c:pt>
                <c:pt idx="76">
                  <c:v>0.73020833333333335</c:v>
                </c:pt>
                <c:pt idx="77">
                  <c:v>0.73032407407407407</c:v>
                </c:pt>
                <c:pt idx="78">
                  <c:v>0.73043981481481479</c:v>
                </c:pt>
                <c:pt idx="79">
                  <c:v>0.73055555555555551</c:v>
                </c:pt>
                <c:pt idx="80">
                  <c:v>0.73067129629629635</c:v>
                </c:pt>
                <c:pt idx="81">
                  <c:v>0.73078703703703707</c:v>
                </c:pt>
                <c:pt idx="82">
                  <c:v>0.73090277777777779</c:v>
                </c:pt>
                <c:pt idx="83">
                  <c:v>0.73101851851851851</c:v>
                </c:pt>
                <c:pt idx="84">
                  <c:v>0.73113425925925923</c:v>
                </c:pt>
                <c:pt idx="85">
                  <c:v>0.73116898148148146</c:v>
                </c:pt>
              </c:numCache>
            </c:numRef>
          </c:xVal>
          <c:yVal>
            <c:numRef>
              <c:f>'Compute Ephemeris'!$D$6:$D$91</c:f>
              <c:numCache>
                <c:formatCode>#,##0.00</c:formatCode>
                <c:ptCount val="86"/>
                <c:pt idx="0">
                  <c:v>60.016868095508471</c:v>
                </c:pt>
                <c:pt idx="1">
                  <c:v>64.494092777269543</c:v>
                </c:pt>
                <c:pt idx="2">
                  <c:v>68.405514425340698</c:v>
                </c:pt>
                <c:pt idx="3">
                  <c:v>72.25869371580302</c:v>
                </c:pt>
                <c:pt idx="4">
                  <c:v>76.090545935895534</c:v>
                </c:pt>
                <c:pt idx="5">
                  <c:v>79.845264858711744</c:v>
                </c:pt>
                <c:pt idx="6">
                  <c:v>83.493003825102278</c:v>
                </c:pt>
                <c:pt idx="7">
                  <c:v>87.030089759129623</c:v>
                </c:pt>
                <c:pt idx="8">
                  <c:v>90.457367687586157</c:v>
                </c:pt>
                <c:pt idx="9">
                  <c:v>93.774206595394389</c:v>
                </c:pt>
                <c:pt idx="10">
                  <c:v>96.98028378240906</c:v>
                </c:pt>
                <c:pt idx="11">
                  <c:v>100.07530455283631</c:v>
                </c:pt>
                <c:pt idx="12">
                  <c:v>103.05895692725062</c:v>
                </c:pt>
                <c:pt idx="13">
                  <c:v>105.93092852355858</c:v>
                </c:pt>
                <c:pt idx="14">
                  <c:v>108.69091241538172</c:v>
                </c:pt>
                <c:pt idx="15">
                  <c:v>111.33861465506925</c:v>
                </c:pt>
                <c:pt idx="16">
                  <c:v>113.87374729694329</c:v>
                </c:pt>
                <c:pt idx="17">
                  <c:v>116.29603252787911</c:v>
                </c:pt>
                <c:pt idx="18">
                  <c:v>118.6052121865423</c:v>
                </c:pt>
                <c:pt idx="19">
                  <c:v>120.80103625578067</c:v>
                </c:pt>
                <c:pt idx="20">
                  <c:v>122.88325786494534</c:v>
                </c:pt>
                <c:pt idx="21">
                  <c:v>124.85164662827538</c:v>
                </c:pt>
                <c:pt idx="22">
                  <c:v>126.7059853804567</c:v>
                </c:pt>
                <c:pt idx="23">
                  <c:v>128.44607005869966</c:v>
                </c:pt>
                <c:pt idx="24">
                  <c:v>130.07170873388804</c:v>
                </c:pt>
                <c:pt idx="25">
                  <c:v>131.58271988391516</c:v>
                </c:pt>
                <c:pt idx="26">
                  <c:v>132.97893016380112</c:v>
                </c:pt>
                <c:pt idx="27">
                  <c:v>134.26017208627218</c:v>
                </c:pt>
                <c:pt idx="28">
                  <c:v>135.4262821843804</c:v>
                </c:pt>
                <c:pt idx="29">
                  <c:v>136.4771003819842</c:v>
                </c:pt>
                <c:pt idx="30">
                  <c:v>137.41247145085981</c:v>
                </c:pt>
                <c:pt idx="31">
                  <c:v>138.23224958219998</c:v>
                </c:pt>
                <c:pt idx="32">
                  <c:v>138.9363072472479</c:v>
                </c:pt>
                <c:pt idx="33">
                  <c:v>139.52454966476307</c:v>
                </c:pt>
                <c:pt idx="34">
                  <c:v>139.99693633328025</c:v>
                </c:pt>
                <c:pt idx="35">
                  <c:v>140.35351122234624</c:v>
                </c:pt>
                <c:pt idx="36">
                  <c:v>140.5944433492823</c:v>
                </c:pt>
                <c:pt idx="37">
                  <c:v>140.67930466471262</c:v>
                </c:pt>
                <c:pt idx="38">
                  <c:v>140.71948358216923</c:v>
                </c:pt>
                <c:pt idx="39">
                  <c:v>140.72797003611049</c:v>
                </c:pt>
                <c:pt idx="40">
                  <c:v>140.62033748155682</c:v>
                </c:pt>
                <c:pt idx="41">
                  <c:v>140.3965467944472</c:v>
                </c:pt>
                <c:pt idx="42">
                  <c:v>140.05657120788874</c:v>
                </c:pt>
                <c:pt idx="43">
                  <c:v>139.60039629217499</c:v>
                </c:pt>
                <c:pt idx="44">
                  <c:v>139.02801993705089</c:v>
                </c:pt>
                <c:pt idx="45">
                  <c:v>138.33945233621034</c:v>
                </c:pt>
                <c:pt idx="46">
                  <c:v>137.53471597400767</c:v>
                </c:pt>
                <c:pt idx="47">
                  <c:v>136.61384561449358</c:v>
                </c:pt>
                <c:pt idx="48">
                  <c:v>135.57688829269409</c:v>
                </c:pt>
                <c:pt idx="49">
                  <c:v>134.4239033082049</c:v>
                </c:pt>
                <c:pt idx="50">
                  <c:v>133.15496222111597</c:v>
                </c:pt>
                <c:pt idx="51">
                  <c:v>131.77014885021981</c:v>
                </c:pt>
                <c:pt idx="52">
                  <c:v>130.26955927364452</c:v>
                </c:pt>
                <c:pt idx="53">
                  <c:v>128.6533018317532</c:v>
                </c:pt>
                <c:pt idx="54">
                  <c:v>126.92149713246454</c:v>
                </c:pt>
                <c:pt idx="55">
                  <c:v>125.07427805897714</c:v>
                </c:pt>
                <c:pt idx="56">
                  <c:v>123.11181270731231</c:v>
                </c:pt>
                <c:pt idx="57">
                  <c:v>121.03406714540506</c:v>
                </c:pt>
                <c:pt idx="58">
                  <c:v>118.84132069779571</c:v>
                </c:pt>
                <c:pt idx="59">
                  <c:v>116.53376677372944</c:v>
                </c:pt>
                <c:pt idx="60">
                  <c:v>114.1115766493067</c:v>
                </c:pt>
                <c:pt idx="61">
                  <c:v>111.57493076233732</c:v>
                </c:pt>
                <c:pt idx="62">
                  <c:v>108.92402673248125</c:v>
                </c:pt>
                <c:pt idx="63">
                  <c:v>106.15907742965555</c:v>
                </c:pt>
                <c:pt idx="64">
                  <c:v>103.2803079321684</c:v>
                </c:pt>
                <c:pt idx="65">
                  <c:v>100.28795569289741</c:v>
                </c:pt>
                <c:pt idx="66">
                  <c:v>97.182273875302599</c:v>
                </c:pt>
                <c:pt idx="67">
                  <c:v>93.963537634239401</c:v>
                </c:pt>
                <c:pt idx="68">
                  <c:v>90.632058143556606</c:v>
                </c:pt>
                <c:pt idx="69">
                  <c:v>87.188155322995954</c:v>
                </c:pt>
                <c:pt idx="70">
                  <c:v>83.631842578402029</c:v>
                </c:pt>
                <c:pt idx="71">
                  <c:v>79.962989050714896</c:v>
                </c:pt>
                <c:pt idx="72">
                  <c:v>76.181478581183001</c:v>
                </c:pt>
                <c:pt idx="73">
                  <c:v>72.287212033944343</c:v>
                </c:pt>
                <c:pt idx="74">
                  <c:v>68.280098007853667</c:v>
                </c:pt>
                <c:pt idx="75">
                  <c:v>64.160043866752858</c:v>
                </c:pt>
                <c:pt idx="76">
                  <c:v>59.92695435440055</c:v>
                </c:pt>
                <c:pt idx="77">
                  <c:v>55.580740438704197</c:v>
                </c:pt>
                <c:pt idx="78">
                  <c:v>51.121336908910962</c:v>
                </c:pt>
                <c:pt idx="79">
                  <c:v>46.548722600946348</c:v>
                </c:pt>
                <c:pt idx="80">
                  <c:v>41.862932761128832</c:v>
                </c:pt>
                <c:pt idx="81">
                  <c:v>37.064048935534629</c:v>
                </c:pt>
                <c:pt idx="82">
                  <c:v>32.152146090648785</c:v>
                </c:pt>
                <c:pt idx="83">
                  <c:v>27.127175095045459</c:v>
                </c:pt>
                <c:pt idx="84">
                  <c:v>21.988750099062599</c:v>
                </c:pt>
                <c:pt idx="85">
                  <c:v>20.424965879874435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29F-B624-3E1984AEB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64928"/>
        <c:axId val="490358656"/>
      </c:scatterChart>
      <c:valAx>
        <c:axId val="4902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 baseline="0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90356736"/>
        <c:crosses val="autoZero"/>
        <c:crossBetween val="midCat"/>
        <c:majorUnit val="2.0833330000000006E-3"/>
      </c:valAx>
      <c:valAx>
        <c:axId val="490356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/>
                  <a:t>Relative Velocity,</a:t>
                </a:r>
                <a:r>
                  <a:rPr lang="en-CA" sz="1400" baseline="0"/>
                  <a:t> km/s</a:t>
                </a:r>
                <a:endParaRPr lang="en-CA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272256"/>
        <c:crosses val="autoZero"/>
        <c:crossBetween val="midCat"/>
      </c:valAx>
      <c:valAx>
        <c:axId val="4903586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 baseline="0"/>
                  <a:t>Altitude, km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364928"/>
        <c:crosses val="max"/>
        <c:crossBetween val="midCat"/>
      </c:valAx>
      <c:valAx>
        <c:axId val="490364928"/>
        <c:scaling>
          <c:orientation val="minMax"/>
        </c:scaling>
        <c:delete val="1"/>
        <c:axPos val="b"/>
        <c:numFmt formatCode="hh:mm:ss.0" sourceLinked="1"/>
        <c:majorTickMark val="out"/>
        <c:minorTickMark val="none"/>
        <c:tickLblPos val="nextTo"/>
        <c:crossAx val="49035865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83542709435825313"/>
          <c:y val="0.13907170541217173"/>
          <c:w val="7.2703738210224106E-2"/>
          <c:h val="7.3083364865006786E-2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5"/>
  <sheetViews>
    <sheetView zoomScale="10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Chart6"/>
  <sheetViews>
    <sheetView zoomScale="10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Chart7"/>
  <sheetViews>
    <sheetView zoomScale="10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Chart8"/>
  <sheetViews>
    <sheetView zoomScale="10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Chart9"/>
  <sheetViews>
    <sheetView zoomScale="10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Chart10"/>
  <sheetViews>
    <sheetView zoomScale="10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Chart11"/>
  <sheetViews>
    <sheetView zoomScale="10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Chart12"/>
  <sheetViews>
    <sheetView zoomScale="105"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Chart13"/>
  <sheetViews>
    <sheetView zoomScale="10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Chart14"/>
  <sheetViews>
    <sheetView zoomScale="10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Chart15"/>
  <sheetViews>
    <sheetView zoomScale="10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0.12395</cdr:x>
      <cdr:y>0.21016</cdr:y>
    </cdr:from>
    <cdr:to>
      <cdr:x>0.18342</cdr:x>
      <cdr:y>0.2448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074058" y="1320800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92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20:49</a:t>
          </a:r>
        </a:p>
      </cdr:txBody>
    </cdr:sp>
  </cdr:relSizeAnchor>
  <cdr:relSizeAnchor xmlns:cdr="http://schemas.openxmlformats.org/drawingml/2006/chartDrawing">
    <cdr:from>
      <cdr:x>0.25879</cdr:x>
      <cdr:y>0.21016</cdr:y>
    </cdr:from>
    <cdr:to>
      <cdr:x>0.32915</cdr:x>
      <cdr:y>0.28406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242458" y="1320799"/>
          <a:ext cx="609600" cy="464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8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20:50</a:t>
          </a:r>
        </a:p>
      </cdr:txBody>
    </cdr:sp>
  </cdr:relSizeAnchor>
  <cdr:relSizeAnchor xmlns:cdr="http://schemas.openxmlformats.org/drawingml/2006/chartDrawing">
    <cdr:from>
      <cdr:x>0.366</cdr:x>
      <cdr:y>0.25289</cdr:y>
    </cdr:from>
    <cdr:to>
      <cdr:x>0.42797</cdr:x>
      <cdr:y>0.30139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171371" y="1589315"/>
          <a:ext cx="537029" cy="304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68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20:51</a:t>
          </a:r>
        </a:p>
      </cdr:txBody>
    </cdr:sp>
  </cdr:relSizeAnchor>
  <cdr:relSizeAnchor xmlns:cdr="http://schemas.openxmlformats.org/drawingml/2006/chartDrawing">
    <cdr:from>
      <cdr:x>0.47571</cdr:x>
      <cdr:y>0.29215</cdr:y>
    </cdr:from>
    <cdr:to>
      <cdr:x>0.53518</cdr:x>
      <cdr:y>0.32679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4122057" y="1836058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5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20:52</a:t>
          </a:r>
        </a:p>
      </cdr:txBody>
    </cdr:sp>
  </cdr:relSizeAnchor>
  <cdr:relSizeAnchor xmlns:cdr="http://schemas.openxmlformats.org/drawingml/2006/chartDrawing">
    <cdr:from>
      <cdr:x>0.58124</cdr:x>
      <cdr:y>0.33487</cdr:y>
    </cdr:from>
    <cdr:to>
      <cdr:x>0.6407</cdr:x>
      <cdr:y>0.36952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5036456" y="2104572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2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20:53</a:t>
          </a:r>
        </a:p>
      </cdr:txBody>
    </cdr:sp>
  </cdr:relSizeAnchor>
  <cdr:relSizeAnchor xmlns:cdr="http://schemas.openxmlformats.org/drawingml/2006/chartDrawing">
    <cdr:from>
      <cdr:x>0.68928</cdr:x>
      <cdr:y>0.403</cdr:y>
    </cdr:from>
    <cdr:to>
      <cdr:x>0.74874</cdr:x>
      <cdr:y>0.43764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5972628" y="2532743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36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20:54</a:t>
          </a:r>
        </a:p>
      </cdr:txBody>
    </cdr:sp>
  </cdr:relSizeAnchor>
  <cdr:relSizeAnchor xmlns:cdr="http://schemas.openxmlformats.org/drawingml/2006/chartDrawing">
    <cdr:from>
      <cdr:x>0.77722</cdr:x>
      <cdr:y>0.51155</cdr:y>
    </cdr:from>
    <cdr:to>
      <cdr:x>0.83668</cdr:x>
      <cdr:y>0.54619</cdr:y>
    </cdr:to>
    <cdr:sp macro="" textlink="">
      <cdr:nvSpPr>
        <cdr:cNvPr id="11" name="TextBox 1"/>
        <cdr:cNvSpPr txBox="1"/>
      </cdr:nvSpPr>
      <cdr:spPr>
        <a:xfrm xmlns:a="http://schemas.openxmlformats.org/drawingml/2006/main">
          <a:off x="6734628" y="3214915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27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20:55</a:t>
          </a:r>
        </a:p>
      </cdr:txBody>
    </cdr:sp>
  </cdr:relSizeAnchor>
  <cdr:relSizeAnchor xmlns:cdr="http://schemas.openxmlformats.org/drawingml/2006/chartDrawing">
    <cdr:from>
      <cdr:x>0.81575</cdr:x>
      <cdr:y>0.66513</cdr:y>
    </cdr:from>
    <cdr:to>
      <cdr:x>0.87521</cdr:x>
      <cdr:y>0.69977</cdr:y>
    </cdr:to>
    <cdr:sp macro="" textlink="">
      <cdr:nvSpPr>
        <cdr:cNvPr id="13" name="TextBox 1"/>
        <cdr:cNvSpPr txBox="1"/>
      </cdr:nvSpPr>
      <cdr:spPr>
        <a:xfrm xmlns:a="http://schemas.openxmlformats.org/drawingml/2006/main">
          <a:off x="7068457" y="4180114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2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20:56</a:t>
          </a:r>
        </a:p>
      </cdr:txBody>
    </cdr:sp>
  </cdr:relSizeAnchor>
  <cdr:relSizeAnchor xmlns:cdr="http://schemas.openxmlformats.org/drawingml/2006/chartDrawing">
    <cdr:from>
      <cdr:x>0.81993</cdr:x>
      <cdr:y>0.7552</cdr:y>
    </cdr:from>
    <cdr:to>
      <cdr:x>0.8794</cdr:x>
      <cdr:y>0.78984</cdr:y>
    </cdr:to>
    <cdr:sp macro="" textlink="">
      <cdr:nvSpPr>
        <cdr:cNvPr id="15" name="TextBox 1"/>
        <cdr:cNvSpPr txBox="1"/>
      </cdr:nvSpPr>
      <cdr:spPr>
        <a:xfrm xmlns:a="http://schemas.openxmlformats.org/drawingml/2006/main">
          <a:off x="7104744" y="4746172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20:57</a:t>
          </a:r>
        </a:p>
      </cdr:txBody>
    </cdr:sp>
  </cdr:relSizeAnchor>
  <cdr:relSizeAnchor xmlns:cdr="http://schemas.openxmlformats.org/drawingml/2006/chartDrawing">
    <cdr:from>
      <cdr:x>0.82077</cdr:x>
      <cdr:y>0.87529</cdr:y>
    </cdr:from>
    <cdr:to>
      <cdr:x>0.88023</cdr:x>
      <cdr:y>0.90993</cdr:y>
    </cdr:to>
    <cdr:sp macro="" textlink="">
      <cdr:nvSpPr>
        <cdr:cNvPr id="17" name="TextBox 1"/>
        <cdr:cNvSpPr txBox="1"/>
      </cdr:nvSpPr>
      <cdr:spPr>
        <a:xfrm xmlns:a="http://schemas.openxmlformats.org/drawingml/2006/main">
          <a:off x="7112000" y="5500915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21:03</a:t>
          </a:r>
        </a:p>
      </cdr:txBody>
    </cdr:sp>
  </cdr:relSizeAnchor>
  <cdr:relSizeAnchor xmlns:cdr="http://schemas.openxmlformats.org/drawingml/2006/chartDrawing">
    <cdr:from>
      <cdr:x>0.8124</cdr:x>
      <cdr:y>0.13626</cdr:y>
    </cdr:from>
    <cdr:to>
      <cdr:x>0.96482</cdr:x>
      <cdr:y>0.1709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7039429" y="856343"/>
          <a:ext cx="1320800" cy="217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Time</a:t>
          </a:r>
          <a:r>
            <a:rPr lang="en-CA" sz="1100" baseline="0"/>
            <a:t> is CET (UTC+1)</a:t>
          </a:r>
          <a:endParaRPr lang="en-CA" sz="1100"/>
        </a:p>
      </cdr:txBody>
    </cdr:sp>
  </cdr:relSizeAnchor>
  <cdr:relSizeAnchor xmlns:cdr="http://schemas.openxmlformats.org/drawingml/2006/chartDrawing">
    <cdr:from>
      <cdr:x>0.13316</cdr:x>
      <cdr:y>0.30254</cdr:y>
    </cdr:from>
    <cdr:to>
      <cdr:x>0.29564</cdr:x>
      <cdr:y>0.34296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1153878" y="1901369"/>
          <a:ext cx="1407894" cy="2540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860000" vertOverflow="clip" wrap="square" rtlCol="0"/>
        <a:lstStyle xmlns:a="http://schemas.openxmlformats.org/drawingml/2006/main"/>
        <a:p xmlns:a="http://schemas.openxmlformats.org/drawingml/2006/main">
          <a:r>
            <a:rPr lang="en-CA" sz="1100" baseline="0"/>
            <a:t>Self-luminous</a:t>
          </a:r>
          <a:endParaRPr lang="en-CA" sz="1100"/>
        </a:p>
      </cdr:txBody>
    </cdr:sp>
  </cdr:relSizeAnchor>
  <cdr:relSizeAnchor xmlns:cdr="http://schemas.openxmlformats.org/drawingml/2006/chartDrawing">
    <cdr:from>
      <cdr:x>0.53853</cdr:x>
      <cdr:y>0.44804</cdr:y>
    </cdr:from>
    <cdr:to>
      <cdr:x>0.66332</cdr:x>
      <cdr:y>0.5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4666343" y="2815772"/>
          <a:ext cx="1081314" cy="3265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200000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Main break-up</a:t>
          </a:r>
        </a:p>
      </cdr:txBody>
    </cdr:sp>
  </cdr:relSizeAnchor>
  <cdr:relSizeAnchor xmlns:cdr="http://schemas.openxmlformats.org/drawingml/2006/chartDrawing">
    <cdr:from>
      <cdr:x>0.71524</cdr:x>
      <cdr:y>0.70208</cdr:y>
    </cdr:from>
    <cdr:to>
      <cdr:x>0.8258</cdr:x>
      <cdr:y>0.73788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6197600" y="4412343"/>
          <a:ext cx="957943" cy="2249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Extinguished</a:t>
          </a:r>
        </a:p>
      </cdr:txBody>
    </cdr:sp>
  </cdr:relSizeAnchor>
  <cdr:relSizeAnchor xmlns:cdr="http://schemas.openxmlformats.org/drawingml/2006/chartDrawing">
    <cdr:from>
      <cdr:x>0.50838</cdr:x>
      <cdr:y>0.87298</cdr:y>
    </cdr:from>
    <cdr:to>
      <cdr:x>0.81658</cdr:x>
      <cdr:y>0.90647</cdr:y>
    </cdr:to>
    <cdr:sp macro="" textlink="">
      <cdr:nvSpPr>
        <cdr:cNvPr id="22" name="TextBox 21"/>
        <cdr:cNvSpPr txBox="1"/>
      </cdr:nvSpPr>
      <cdr:spPr>
        <a:xfrm xmlns:a="http://schemas.openxmlformats.org/drawingml/2006/main">
          <a:off x="4405086" y="5486405"/>
          <a:ext cx="2670603" cy="210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Theoretical impact at debris footprint</a:t>
          </a:r>
          <a:r>
            <a:rPr lang="en-CA" sz="1100" baseline="0"/>
            <a:t> "toe"</a:t>
          </a:r>
          <a:endParaRPr lang="en-CA" sz="1100"/>
        </a:p>
      </cdr:txBody>
    </cdr:sp>
  </cdr:relSizeAnchor>
  <cdr:relSizeAnchor xmlns:cdr="http://schemas.openxmlformats.org/drawingml/2006/chartDrawing">
    <cdr:from>
      <cdr:x>0.66499</cdr:x>
      <cdr:y>0.58314</cdr:y>
    </cdr:from>
    <cdr:to>
      <cdr:x>0.82915</cdr:x>
      <cdr:y>0.61432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2171" y="3664857"/>
          <a:ext cx="1422400" cy="195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2700000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Seen from Spain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BEDCB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I91"/>
  <sheetViews>
    <sheetView tabSelected="1" zoomScaleNormal="100" workbookViewId="0">
      <pane ySplit="5" topLeftCell="A6" activePane="bottomLeft" state="frozen"/>
      <selection activeCell="A37" sqref="A37"/>
      <selection pane="bottomLeft" activeCell="U1" sqref="U1"/>
    </sheetView>
  </sheetViews>
  <sheetFormatPr defaultColWidth="9.109375" defaultRowHeight="18" customHeight="1" x14ac:dyDescent="0.25"/>
  <cols>
    <col min="1" max="1" width="12.6640625" style="40" bestFit="1" customWidth="1"/>
    <col min="2" max="2" width="8.88671875" style="1" bestFit="1" customWidth="1"/>
    <col min="3" max="3" width="9.33203125" style="1" customWidth="1"/>
    <col min="4" max="4" width="8.5546875" style="1" bestFit="1" customWidth="1"/>
    <col min="5" max="5" width="10.109375" style="40" bestFit="1" customWidth="1"/>
    <col min="6" max="6" width="5.77734375" style="40" bestFit="1" customWidth="1"/>
    <col min="7" max="7" width="7.21875" style="1" customWidth="1"/>
    <col min="8" max="8" width="5.6640625" style="1" bestFit="1" customWidth="1"/>
    <col min="9" max="9" width="5.5546875" style="1" bestFit="1" customWidth="1"/>
    <col min="10" max="10" width="6.33203125" style="1" bestFit="1" customWidth="1"/>
    <col min="11" max="11" width="7.21875" style="1" bestFit="1" customWidth="1"/>
    <col min="12" max="12" width="11.88671875" style="1" bestFit="1" customWidth="1"/>
    <col min="13" max="13" width="12.77734375" style="1" bestFit="1" customWidth="1"/>
    <col min="14" max="14" width="14.88671875" style="1" customWidth="1"/>
    <col min="15" max="15" width="11.109375" style="1" bestFit="1" customWidth="1"/>
    <col min="16" max="16" width="6.88671875" style="1" customWidth="1"/>
    <col min="17" max="17" width="10.44140625" style="1" hidden="1" customWidth="1"/>
    <col min="18" max="18" width="8.88671875" style="1" bestFit="1" customWidth="1"/>
    <col min="19" max="19" width="5.5546875" style="1" customWidth="1"/>
    <col min="20" max="20" width="10.44140625" style="3" bestFit="1" customWidth="1"/>
    <col min="21" max="26" width="8.88671875" style="1" bestFit="1" customWidth="1"/>
    <col min="27" max="27" width="6" style="1" bestFit="1" customWidth="1"/>
    <col min="28" max="28" width="7.109375" style="1" bestFit="1" customWidth="1"/>
    <col min="29" max="29" width="6" style="1" bestFit="1" customWidth="1"/>
    <col min="30" max="30" width="10.44140625" style="1" bestFit="1" customWidth="1"/>
    <col min="31" max="31" width="7.77734375" style="1" bestFit="1" customWidth="1"/>
    <col min="32" max="32" width="8.88671875" style="1" bestFit="1" customWidth="1"/>
    <col min="33" max="33" width="7.6640625" style="1" bestFit="1" customWidth="1"/>
    <col min="34" max="34" width="28.33203125" style="1" bestFit="1" customWidth="1"/>
    <col min="35" max="35" width="8.21875" style="1" bestFit="1" customWidth="1"/>
    <col min="36" max="16384" width="9.109375" style="1"/>
  </cols>
  <sheetData>
    <row r="1" spans="1:35" ht="21" customHeight="1" x14ac:dyDescent="0.4">
      <c r="A1" s="63" t="str">
        <f>CONCATENATE("Re-entry of 2020-087A: ", TEXT(DATE($S$4, $S$3, $S$2),"yyyy mmm dd")," UTC")</f>
        <v>Re-entry of 2020-087A: 2020 Dec 16 UTC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70" t="s">
        <v>4</v>
      </c>
      <c r="O1" s="70"/>
      <c r="P1" s="70"/>
      <c r="Q1" s="37"/>
      <c r="R1" s="60" t="s">
        <v>32</v>
      </c>
      <c r="S1" s="60"/>
      <c r="T1" s="57" t="s">
        <v>54</v>
      </c>
      <c r="U1" s="56">
        <v>1</v>
      </c>
    </row>
    <row r="2" spans="1:35" ht="16.5" customHeight="1" thickBot="1" x14ac:dyDescent="0.3">
      <c r="A2" s="64" t="s">
        <v>62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5" t="s">
        <v>5</v>
      </c>
      <c r="O2" s="55">
        <f>VLOOKUP($U$1,Sites!$A:$C,3,0)</f>
        <v>42.345430999999998</v>
      </c>
      <c r="P2" s="4" t="s">
        <v>0</v>
      </c>
      <c r="Q2" s="31">
        <f>DEGREES(xpsiobs($O$2))</f>
        <v>42.153892850961221</v>
      </c>
      <c r="R2" s="2" t="s">
        <v>11</v>
      </c>
      <c r="S2" s="20">
        <v>16</v>
      </c>
      <c r="T2" s="53"/>
    </row>
    <row r="3" spans="1:35" ht="18" customHeight="1" x14ac:dyDescent="0.25">
      <c r="A3" s="8"/>
      <c r="B3" s="66" t="s">
        <v>8</v>
      </c>
      <c r="C3" s="67"/>
      <c r="D3" s="68"/>
      <c r="E3" s="22" t="s">
        <v>16</v>
      </c>
      <c r="F3" s="38"/>
      <c r="G3" s="66" t="str">
        <f>CONCATENATE("Sky Track at ",VLOOKUP($U$1,Sites!$A:$B,2,0))</f>
        <v>Sky Track at Centre of landing NOTAM</v>
      </c>
      <c r="H3" s="67"/>
      <c r="I3" s="67"/>
      <c r="J3" s="67"/>
      <c r="K3" s="67"/>
      <c r="L3" s="67"/>
      <c r="M3" s="69"/>
      <c r="N3" s="5" t="s">
        <v>6</v>
      </c>
      <c r="O3" s="55">
        <f>VLOOKUP($U$1,Sites!$A:$D,4,0)</f>
        <v>111.44084700000001</v>
      </c>
      <c r="P3" s="6" t="s">
        <v>33</v>
      </c>
      <c r="Q3" s="31">
        <f>xrobs($O$2)</f>
        <v>6368.4814950004284</v>
      </c>
      <c r="R3" s="2" t="s">
        <v>12</v>
      </c>
      <c r="S3" s="20">
        <v>12</v>
      </c>
      <c r="T3" s="53"/>
      <c r="U3" s="60" t="s">
        <v>39</v>
      </c>
      <c r="V3" s="60"/>
      <c r="W3" s="60"/>
      <c r="X3" s="60"/>
      <c r="Y3" s="60"/>
      <c r="Z3" s="60"/>
    </row>
    <row r="4" spans="1:35" s="2" customFormat="1" ht="18" customHeight="1" x14ac:dyDescent="0.25">
      <c r="A4" s="9" t="s">
        <v>3</v>
      </c>
      <c r="B4" s="7" t="s">
        <v>27</v>
      </c>
      <c r="C4" s="7" t="s">
        <v>28</v>
      </c>
      <c r="D4" s="14" t="s">
        <v>29</v>
      </c>
      <c r="E4" s="14" t="s">
        <v>17</v>
      </c>
      <c r="F4" s="14"/>
      <c r="G4" s="7" t="s">
        <v>21</v>
      </c>
      <c r="H4" s="61" t="s">
        <v>45</v>
      </c>
      <c r="I4" s="62"/>
      <c r="J4" s="7" t="s">
        <v>30</v>
      </c>
      <c r="K4" s="7" t="s">
        <v>20</v>
      </c>
      <c r="L4" s="7" t="s">
        <v>14</v>
      </c>
      <c r="M4" s="10" t="s">
        <v>15</v>
      </c>
      <c r="N4" s="2" t="s">
        <v>40</v>
      </c>
      <c r="O4" s="30">
        <f>VLOOKUP($U$1,Sites!$A:$E,5,0)</f>
        <v>1251</v>
      </c>
      <c r="P4" s="16" t="s">
        <v>10</v>
      </c>
      <c r="Q4" s="31">
        <f>Q$3+$O$4/1000</f>
        <v>6369.7324950004286</v>
      </c>
      <c r="R4" s="2" t="s">
        <v>13</v>
      </c>
      <c r="S4" s="20">
        <v>2020</v>
      </c>
      <c r="T4" s="52" t="s">
        <v>52</v>
      </c>
      <c r="U4" s="39" t="s">
        <v>34</v>
      </c>
      <c r="V4" s="39" t="s">
        <v>35</v>
      </c>
      <c r="W4" s="39" t="s">
        <v>7</v>
      </c>
      <c r="X4" s="39" t="s">
        <v>36</v>
      </c>
      <c r="Y4" s="39" t="s">
        <v>37</v>
      </c>
      <c r="Z4" s="39" t="s">
        <v>38</v>
      </c>
      <c r="AA4" s="50" t="s">
        <v>49</v>
      </c>
      <c r="AB4" s="50" t="s">
        <v>46</v>
      </c>
      <c r="AC4" s="50" t="s">
        <v>50</v>
      </c>
    </row>
    <row r="5" spans="1:35" s="2" customFormat="1" ht="18" customHeight="1" thickBot="1" x14ac:dyDescent="0.3">
      <c r="A5" s="11" t="s">
        <v>9</v>
      </c>
      <c r="B5" s="12" t="s">
        <v>0</v>
      </c>
      <c r="C5" s="12" t="s">
        <v>33</v>
      </c>
      <c r="D5" s="15" t="s">
        <v>1</v>
      </c>
      <c r="E5" s="15" t="s">
        <v>18</v>
      </c>
      <c r="F5" s="15" t="s">
        <v>19</v>
      </c>
      <c r="G5" s="12" t="s">
        <v>2</v>
      </c>
      <c r="H5" s="12" t="s">
        <v>43</v>
      </c>
      <c r="I5" s="12" t="s">
        <v>44</v>
      </c>
      <c r="J5" s="12" t="s">
        <v>31</v>
      </c>
      <c r="K5" s="12" t="s">
        <v>1</v>
      </c>
      <c r="L5" s="17" t="s">
        <v>41</v>
      </c>
      <c r="M5" s="13" t="s">
        <v>2</v>
      </c>
      <c r="O5" s="41" t="s">
        <v>42</v>
      </c>
      <c r="R5" s="2" t="s">
        <v>51</v>
      </c>
      <c r="S5" s="54">
        <v>0</v>
      </c>
      <c r="T5" s="52" t="s">
        <v>9</v>
      </c>
      <c r="U5" s="49" t="s">
        <v>1</v>
      </c>
      <c r="V5" s="49" t="s">
        <v>1</v>
      </c>
      <c r="W5" s="49" t="s">
        <v>1</v>
      </c>
      <c r="X5" s="50" t="s">
        <v>47</v>
      </c>
      <c r="Y5" s="50" t="s">
        <v>47</v>
      </c>
      <c r="Z5" s="50" t="s">
        <v>47</v>
      </c>
      <c r="AA5" s="50" t="s">
        <v>47</v>
      </c>
      <c r="AB5" s="51" t="s">
        <v>48</v>
      </c>
      <c r="AC5" s="50" t="s">
        <v>47</v>
      </c>
    </row>
    <row r="6" spans="1:35" ht="18" customHeight="1" x14ac:dyDescent="0.25">
      <c r="A6" s="36">
        <f>$T6+$S$5/86400</f>
        <v>0.72152777777777777</v>
      </c>
      <c r="B6" s="42">
        <f t="shared" ref="B6:B69" si="0">latitude($U6,$V6,$W6)</f>
        <v>13.832615989272211</v>
      </c>
      <c r="C6" s="43">
        <f t="shared" ref="C6:C69" si="1">longitude($S$2,$S$3,$S$4,$A6,$U6,$V6)</f>
        <v>60.728161026737553</v>
      </c>
      <c r="D6" s="18">
        <f t="shared" ref="D6:D69" si="2">altitude($U6,$V6,$W6)</f>
        <v>60.016868095508471</v>
      </c>
      <c r="E6" s="21" t="str">
        <f t="shared" ref="E6:E69" si="3">illum2($S$2,$S$3,$S$4,$A6,$U6,$V6,$W6)</f>
        <v>Umbra</v>
      </c>
      <c r="F6" s="23">
        <f>IF($E6&lt;&gt;"Umbra",fracil2($S$2,$S$3,$S$4,$A6,$Q$2,$O$3,$Q$4,$U6,$V6,$W6),0)</f>
        <v>0</v>
      </c>
      <c r="G6" s="19">
        <f t="shared" ref="G6:G69" si="4">azimuth($S$2,$S$3,$S$4,$A6,$Q$2,$O$3,$Q$4,$U6,$V6,$W6)</f>
        <v>252.52704211274161</v>
      </c>
      <c r="H6" s="19">
        <f t="shared" ref="H6:H69" si="5">elev($S$2,$S$3,$S$4,$A6,$Q$2,$O$3,$Q$4,$U6,$V6,$W6)</f>
        <v>-25.391911545997843</v>
      </c>
      <c r="I6" s="19">
        <f t="shared" ref="I6:I69" si="6">elev($S$2,$S$3,$S$4,$A6,$Q$2,$O$3,$Q$4,$U6,$V6,$W6)+DEGREES(ACOS($Q$3/$Q$4))</f>
        <v>-24.256344459852549</v>
      </c>
      <c r="J6" s="28">
        <f t="shared" ref="J6:J69" si="7">vang($S$2,$S$3,$S$4,$A6,$Q$2,$O$3,$Q$4,$U6,$V6,$W6,$X6,$Y6,$Z6)</f>
        <v>3.9650598472765336E-2</v>
      </c>
      <c r="K6" s="24">
        <f t="shared" ref="K6:K69" si="8">slant_rng($S$2,$S$3,$S$4,$A6,$Q$2,$O$3,$Q$4,$U6,$V6,$W6)</f>
        <v>5616.0356487038898</v>
      </c>
      <c r="L6" s="32">
        <f t="shared" ref="L6:L69" si="9">radec2("ra",$S$2,$S$3,$S$4,$A6,$Q$2,$O$3,$Q$4,$U6,$V6,$W6)/24</f>
        <v>0.99380654948422587</v>
      </c>
      <c r="M6" s="35">
        <f t="shared" ref="M6:M69" si="10">radec2("dec",$S$2,$S$3,$S$4,$A6,$Q$2,$O$3,$Q$4,$U6,$V6,$W6)</f>
        <v>-29.383109778177662</v>
      </c>
      <c r="O6" s="29">
        <f t="shared" ref="O6:O69" si="11">DEGREES(ACOS(SIN(RADIANS($B6))*SIN(RADIANS($O$2))+COS(RADIANS($B6))*COS(RADIANS($O$2))*COS(RADIANS($C6-$O$3))))*111.2</f>
        <v>5783.8775266127095</v>
      </c>
      <c r="P6" s="44"/>
      <c r="T6" s="48">
        <v>0.72152777777777777</v>
      </c>
      <c r="U6" s="29">
        <v>4320.7928864463001</v>
      </c>
      <c r="V6" s="29">
        <v>4519.5139398953406</v>
      </c>
      <c r="W6" s="29">
        <v>1529.35502168877</v>
      </c>
      <c r="X6" s="4">
        <v>-4.5749321157776306</v>
      </c>
      <c r="Y6" s="4">
        <v>3.2496626234268202</v>
      </c>
      <c r="Z6" s="4">
        <v>5.0513835742917603</v>
      </c>
      <c r="AA6" s="3">
        <f>SQRT($X6*$X6+$Y6*$Y6+$Z6*$Z6)</f>
        <v>7.5502839049068529</v>
      </c>
      <c r="AC6" s="3">
        <f>vrel($S$2,$S$3,$S$4,$A6,$B6,$C6,$U6,$V6,$W6,$X6,$Y6,$Z6)</f>
        <v>7.2217130041645481</v>
      </c>
      <c r="AD6" s="48"/>
      <c r="AE6" s="46">
        <f t="shared" ref="AE6:AE69" si="12">$B6</f>
        <v>13.832615989272211</v>
      </c>
      <c r="AF6" s="46">
        <f t="shared" ref="AF6:AF69" si="13">$C6-360</f>
        <v>-299.27183897326245</v>
      </c>
      <c r="AG6" s="47">
        <f t="shared" ref="AG6:AG69" si="14">$D6*1000</f>
        <v>60016.868095508471</v>
      </c>
      <c r="AH6" s="45" t="str">
        <f>CONCATENATE(TEXT($AF6,"00.00000"),",",TEXT($AE6,"00.00000"),",",TEXT($AG6,"00000"))</f>
        <v>-299.27184,13.83262,60017</v>
      </c>
    </row>
    <row r="7" spans="1:35" ht="18" customHeight="1" x14ac:dyDescent="0.25">
      <c r="A7" s="36">
        <f t="shared" ref="A7:A70" si="15">$T7+$S$5/86400</f>
        <v>0.72164351851851849</v>
      </c>
      <c r="B7" s="42">
        <f t="shared" si="0"/>
        <v>14.223228461106363</v>
      </c>
      <c r="C7" s="43">
        <f t="shared" si="1"/>
        <v>61.128686473121498</v>
      </c>
      <c r="D7" s="18">
        <f t="shared" si="2"/>
        <v>64.494092777269543</v>
      </c>
      <c r="E7" s="21" t="str">
        <f t="shared" si="3"/>
        <v>Umbra</v>
      </c>
      <c r="F7" s="23">
        <f>IF($E7&lt;&gt;"Umbra",fracil2($S$2,$S$3,$S$4,$A7,$Q$2,$O$3,$Q$4,$U7,$V7,$W7),0)</f>
        <v>0</v>
      </c>
      <c r="G7" s="19">
        <f t="shared" si="4"/>
        <v>252.54837458260482</v>
      </c>
      <c r="H7" s="19">
        <f t="shared" si="5"/>
        <v>-25.069025451854049</v>
      </c>
      <c r="I7" s="19">
        <f t="shared" si="6"/>
        <v>-23.933458365708756</v>
      </c>
      <c r="J7" s="28">
        <f t="shared" si="7"/>
        <v>7.4159314951241714E-2</v>
      </c>
      <c r="K7" s="24">
        <f t="shared" si="8"/>
        <v>5562.7675044086254</v>
      </c>
      <c r="L7" s="32">
        <f t="shared" si="9"/>
        <v>0.994719492027761</v>
      </c>
      <c r="M7" s="35">
        <f t="shared" si="10"/>
        <v>-29.178085956730904</v>
      </c>
      <c r="O7" s="29">
        <f t="shared" si="11"/>
        <v>5722.6374667655009</v>
      </c>
      <c r="P7" s="44"/>
      <c r="T7" s="48">
        <v>0.72164351851851849</v>
      </c>
      <c r="U7" s="29">
        <v>4281.5016409854097</v>
      </c>
      <c r="V7" s="29">
        <v>4548.1944084124498</v>
      </c>
      <c r="W7" s="29">
        <v>1572.7802962871899</v>
      </c>
      <c r="X7" s="4">
        <v>-9.9079582713962608</v>
      </c>
      <c r="Y7" s="4">
        <v>5.91155735904346</v>
      </c>
      <c r="Z7" s="4">
        <v>10.471270501431299</v>
      </c>
      <c r="AA7" s="3">
        <f t="shared" ref="AA7:AA70" si="16">SQRT($X7*$X7+$Y7*$Y7+$Z7*$Z7)</f>
        <v>15.580810422796876</v>
      </c>
      <c r="AB7" s="3">
        <f>-($AC7-$AC6)/(($A7-$A6)*86400)*1000/9.806</f>
        <v>-81.920345843692388</v>
      </c>
      <c r="AC7" s="3">
        <f t="shared" ref="AC7:AC70" si="17">vrel($S$2,$S$3,$S$4,$A7,$B7,$C7,$U7,$V7,$W7,$X7,$Y7,$Z7)</f>
        <v>15.254822117595712</v>
      </c>
      <c r="AD7" s="48"/>
      <c r="AE7" s="46">
        <f t="shared" si="12"/>
        <v>14.223228461106363</v>
      </c>
      <c r="AF7" s="46">
        <f t="shared" si="13"/>
        <v>-298.87131352687851</v>
      </c>
      <c r="AG7" s="47">
        <f t="shared" si="14"/>
        <v>64494.092777269543</v>
      </c>
      <c r="AH7" s="45" t="str">
        <f t="shared" ref="AH7:AH70" si="18">CONCATENATE(TEXT($AF7,"00.00000"),",",TEXT($AE7,"00.00000"),",",TEXT($AG7,"00000"))</f>
        <v>-298.87131,14.22323,64494</v>
      </c>
      <c r="AI7" s="44">
        <f t="shared" ref="AI7:AI13" si="19">ACOS(SIN(RADIANS($B6))*SIN(RADIANS($B7))+COS(RADIANS($B6))*COS(RADIANS($B7))*COS(RADIANS($C6-$C7)))*6371+AI6</f>
        <v>61.265524645535187</v>
      </c>
    </row>
    <row r="8" spans="1:35" ht="18" customHeight="1" x14ac:dyDescent="0.25">
      <c r="A8" s="36">
        <f t="shared" si="15"/>
        <v>0.72175925925925921</v>
      </c>
      <c r="B8" s="42">
        <f t="shared" si="0"/>
        <v>14.686576549610654</v>
      </c>
      <c r="C8" s="43">
        <f t="shared" si="1"/>
        <v>61.606998348353308</v>
      </c>
      <c r="D8" s="18">
        <f t="shared" si="2"/>
        <v>68.405514425340698</v>
      </c>
      <c r="E8" s="21" t="str">
        <f t="shared" si="3"/>
        <v>Umbra</v>
      </c>
      <c r="F8" s="23">
        <f>IF($E8&lt;&gt;"Umbra",fracil2($S$2,$S$3,$S$4,$A8,$Q$2,$O$3,$Q$4,$U8,$V8,$W8),0)</f>
        <v>0</v>
      </c>
      <c r="G8" s="19">
        <f t="shared" si="4"/>
        <v>252.57370982768933</v>
      </c>
      <c r="H8" s="19">
        <f t="shared" si="5"/>
        <v>-24.696835480312942</v>
      </c>
      <c r="I8" s="19">
        <f t="shared" si="6"/>
        <v>-23.561268394167648</v>
      </c>
      <c r="J8" s="28">
        <f t="shared" si="7"/>
        <v>6.5727209980937645E-2</v>
      </c>
      <c r="K8" s="24">
        <f t="shared" si="8"/>
        <v>5498.5922622817443</v>
      </c>
      <c r="L8" s="32">
        <f t="shared" si="9"/>
        <v>0.99574863330403496</v>
      </c>
      <c r="M8" s="35">
        <f t="shared" si="10"/>
        <v>-28.940352730964126</v>
      </c>
      <c r="O8" s="29">
        <f t="shared" si="11"/>
        <v>5649.8181692278104</v>
      </c>
      <c r="P8" s="44"/>
      <c r="T8" s="48">
        <v>0.72175925925925921</v>
      </c>
      <c r="U8" s="29">
        <v>4233.8337251618996</v>
      </c>
      <c r="V8" s="29">
        <v>4580.1567614435498</v>
      </c>
      <c r="W8" s="29">
        <v>1623.9204471627399</v>
      </c>
      <c r="X8" s="4">
        <v>-8.5810261000620791</v>
      </c>
      <c r="Y8" s="4">
        <v>5.1226148021968605</v>
      </c>
      <c r="Z8" s="4">
        <v>9.0104437423445098</v>
      </c>
      <c r="AA8" s="3">
        <f t="shared" si="16"/>
        <v>13.455975913161717</v>
      </c>
      <c r="AB8" s="3">
        <f t="shared" ref="AB8:AB71" si="20">-($AC8-$AC7)/(($A8-$A7)*86400)*1000/9.806</f>
        <v>21.675650729926243</v>
      </c>
      <c r="AC8" s="3">
        <f t="shared" si="17"/>
        <v>13.129307807019492</v>
      </c>
      <c r="AD8" s="48"/>
      <c r="AE8" s="46">
        <f t="shared" si="12"/>
        <v>14.686576549610654</v>
      </c>
      <c r="AF8" s="46">
        <f t="shared" si="13"/>
        <v>-298.39300165164667</v>
      </c>
      <c r="AG8" s="47">
        <f t="shared" si="14"/>
        <v>68405.514425340691</v>
      </c>
      <c r="AH8" s="45" t="str">
        <f t="shared" si="18"/>
        <v>-298.39300,14.68658,68406</v>
      </c>
      <c r="AI8" s="44">
        <f t="shared" si="19"/>
        <v>134.11449758361934</v>
      </c>
    </row>
    <row r="9" spans="1:35" ht="18" customHeight="1" x14ac:dyDescent="0.25">
      <c r="A9" s="36">
        <f t="shared" si="15"/>
        <v>0.72187500000000004</v>
      </c>
      <c r="B9" s="42">
        <f t="shared" si="0"/>
        <v>15.156076556550095</v>
      </c>
      <c r="C9" s="43">
        <f t="shared" si="1"/>
        <v>62.095121704409777</v>
      </c>
      <c r="D9" s="18">
        <f t="shared" si="2"/>
        <v>72.25869371580302</v>
      </c>
      <c r="E9" s="21" t="str">
        <f t="shared" si="3"/>
        <v>Umbra</v>
      </c>
      <c r="F9" s="23">
        <f>IF($E9&lt;&gt;"Umbra",fracil2($S$2,$S$3,$S$4,$A9,$Q$2,$O$3,$Q$4,$U9,$V9,$W9),0)</f>
        <v>0</v>
      </c>
      <c r="G9" s="19">
        <f t="shared" si="4"/>
        <v>252.59963109168334</v>
      </c>
      <c r="H9" s="19">
        <f t="shared" si="5"/>
        <v>-24.318589817114944</v>
      </c>
      <c r="I9" s="19">
        <f t="shared" si="6"/>
        <v>-23.18302273096965</v>
      </c>
      <c r="J9" s="28">
        <f t="shared" si="7"/>
        <v>5.1483216026985967E-2</v>
      </c>
      <c r="K9" s="24">
        <f t="shared" si="8"/>
        <v>5433.1259071004988</v>
      </c>
      <c r="L9" s="32">
        <f t="shared" si="9"/>
        <v>0.9967877645459966</v>
      </c>
      <c r="M9" s="35">
        <f t="shared" si="10"/>
        <v>-28.69769772295848</v>
      </c>
      <c r="O9" s="29">
        <f t="shared" si="11"/>
        <v>5575.8474906052143</v>
      </c>
      <c r="P9" s="44"/>
      <c r="T9" s="48">
        <v>0.72187500000000004</v>
      </c>
      <c r="U9" s="29">
        <v>4184.7068387646605</v>
      </c>
      <c r="V9" s="29">
        <v>4611.8584064844399</v>
      </c>
      <c r="W9" s="29">
        <v>1675.6668329768299</v>
      </c>
      <c r="X9" s="4">
        <v>-6.4806444206011502</v>
      </c>
      <c r="Y9" s="4">
        <v>3.93326783183901</v>
      </c>
      <c r="Z9" s="4">
        <v>6.75090872382206</v>
      </c>
      <c r="AA9" s="3">
        <f t="shared" si="16"/>
        <v>10.15106479836599</v>
      </c>
      <c r="AB9" s="3">
        <f t="shared" si="20"/>
        <v>33.715915668645927</v>
      </c>
      <c r="AC9" s="3">
        <f t="shared" si="17"/>
        <v>9.8231251165494413</v>
      </c>
      <c r="AD9" s="48"/>
      <c r="AE9" s="46">
        <f t="shared" si="12"/>
        <v>15.156076556550095</v>
      </c>
      <c r="AF9" s="46">
        <f t="shared" si="13"/>
        <v>-297.90487829559021</v>
      </c>
      <c r="AG9" s="47">
        <f t="shared" si="14"/>
        <v>72258.69371580302</v>
      </c>
      <c r="AH9" s="45" t="str">
        <f t="shared" si="18"/>
        <v>-297.90488,15.15608,72259</v>
      </c>
      <c r="AI9" s="44">
        <f t="shared" si="19"/>
        <v>208.11516582256689</v>
      </c>
    </row>
    <row r="10" spans="1:35" ht="18" customHeight="1" x14ac:dyDescent="0.25">
      <c r="A10" s="36">
        <f t="shared" si="15"/>
        <v>0.72199074074074077</v>
      </c>
      <c r="B10" s="42">
        <f t="shared" si="0"/>
        <v>15.613457503292899</v>
      </c>
      <c r="C10" s="43">
        <f t="shared" si="1"/>
        <v>62.574109452246248</v>
      </c>
      <c r="D10" s="18">
        <f t="shared" si="2"/>
        <v>76.090545935895534</v>
      </c>
      <c r="E10" s="21" t="str">
        <f t="shared" si="3"/>
        <v>Umbra</v>
      </c>
      <c r="F10" s="23">
        <f>IF($E10&lt;&gt;"Umbra",fracil2($S$2,$S$3,$S$4,$A10,$Q$2,$O$3,$Q$4,$U10,$V10,$W10),0)</f>
        <v>0</v>
      </c>
      <c r="G10" s="19">
        <f t="shared" si="4"/>
        <v>252.625162182602</v>
      </c>
      <c r="H10" s="19">
        <f t="shared" si="5"/>
        <v>-23.947214155892709</v>
      </c>
      <c r="I10" s="19">
        <f t="shared" si="6"/>
        <v>-22.811647069747416</v>
      </c>
      <c r="J10" s="28">
        <f t="shared" si="7"/>
        <v>4.2802065779672091E-2</v>
      </c>
      <c r="K10" s="24">
        <f t="shared" si="8"/>
        <v>5369.0008743367689</v>
      </c>
      <c r="L10" s="32">
        <f t="shared" si="9"/>
        <v>0.99780556171040902</v>
      </c>
      <c r="M10" s="35">
        <f t="shared" si="10"/>
        <v>-28.458496057086549</v>
      </c>
      <c r="O10" s="29">
        <f t="shared" si="11"/>
        <v>5503.601960524843</v>
      </c>
      <c r="P10" s="44"/>
      <c r="T10" s="48">
        <v>0.72199074074074077</v>
      </c>
      <c r="U10" s="29">
        <v>4136.0381478771305</v>
      </c>
      <c r="V10" s="29">
        <v>4642.3187759733501</v>
      </c>
      <c r="W10" s="29">
        <v>1726.0509336944199</v>
      </c>
      <c r="X10" s="4">
        <v>-5.27451634571882</v>
      </c>
      <c r="Y10" s="4">
        <v>3.20752763827196</v>
      </c>
      <c r="Z10" s="4">
        <v>5.4155688876489201</v>
      </c>
      <c r="AA10" s="3">
        <f t="shared" si="16"/>
        <v>8.2120120925632154</v>
      </c>
      <c r="AB10" s="3">
        <f t="shared" si="20"/>
        <v>19.786668215721061</v>
      </c>
      <c r="AC10" s="3">
        <f t="shared" si="17"/>
        <v>7.8828444313161512</v>
      </c>
      <c r="AD10" s="48"/>
      <c r="AE10" s="46">
        <f t="shared" si="12"/>
        <v>15.613457503292899</v>
      </c>
      <c r="AF10" s="46">
        <f t="shared" si="13"/>
        <v>-297.42589054775374</v>
      </c>
      <c r="AG10" s="47">
        <f t="shared" si="14"/>
        <v>76090.545935895527</v>
      </c>
      <c r="AH10" s="45" t="str">
        <f t="shared" si="18"/>
        <v>-297.42589,15.61346,76091</v>
      </c>
      <c r="AI10" s="44">
        <f t="shared" si="19"/>
        <v>280.38989839113691</v>
      </c>
    </row>
    <row r="11" spans="1:35" ht="18" customHeight="1" x14ac:dyDescent="0.25">
      <c r="A11" s="36">
        <f t="shared" si="15"/>
        <v>0.72210648148148149</v>
      </c>
      <c r="B11" s="42">
        <f t="shared" si="0"/>
        <v>16.059925538478094</v>
      </c>
      <c r="C11" s="43">
        <f t="shared" si="1"/>
        <v>63.045119006557968</v>
      </c>
      <c r="D11" s="18">
        <f t="shared" si="2"/>
        <v>79.845264858711744</v>
      </c>
      <c r="E11" s="21" t="str">
        <f t="shared" si="3"/>
        <v>Umbra</v>
      </c>
      <c r="F11" s="23">
        <f>IF($E11&lt;&gt;"Umbra",fracil2($S$2,$S$3,$S$4,$A11,$Q$2,$O$3,$Q$4,$U11,$V11,$W11),0)</f>
        <v>0</v>
      </c>
      <c r="G11" s="19">
        <f t="shared" si="4"/>
        <v>252.65034690381262</v>
      </c>
      <c r="H11" s="19">
        <f t="shared" si="5"/>
        <v>-23.58240799798283</v>
      </c>
      <c r="I11" s="19">
        <f t="shared" si="6"/>
        <v>-22.446840911837537</v>
      </c>
      <c r="J11" s="28">
        <f t="shared" si="7"/>
        <v>3.9642420137411837E-2</v>
      </c>
      <c r="K11" s="24">
        <f t="shared" si="8"/>
        <v>5306.0400465903895</v>
      </c>
      <c r="L11" s="32">
        <f t="shared" si="9"/>
        <v>0.99880299863220545</v>
      </c>
      <c r="M11" s="35">
        <f t="shared" si="10"/>
        <v>-28.222598228494718</v>
      </c>
      <c r="O11" s="29">
        <f t="shared" si="11"/>
        <v>5432.8960594864875</v>
      </c>
      <c r="P11" s="44"/>
      <c r="T11" s="48">
        <v>0.72210648148148149</v>
      </c>
      <c r="U11" s="29">
        <v>4087.7160580719701</v>
      </c>
      <c r="V11" s="29">
        <v>4671.5966067303907</v>
      </c>
      <c r="W11" s="29">
        <v>1775.1895153975302</v>
      </c>
      <c r="X11" s="4">
        <v>-4.8900965268655296</v>
      </c>
      <c r="Y11" s="4">
        <v>2.9076595512779799</v>
      </c>
      <c r="Z11" s="4">
        <v>4.9293415406623797</v>
      </c>
      <c r="AA11" s="3">
        <f t="shared" si="16"/>
        <v>7.5276780040527864</v>
      </c>
      <c r="AB11" s="3">
        <f t="shared" si="20"/>
        <v>6.9861700717506858</v>
      </c>
      <c r="AC11" s="3">
        <f t="shared" si="17"/>
        <v>7.1977805940803909</v>
      </c>
      <c r="AD11" s="48"/>
      <c r="AE11" s="46">
        <f t="shared" si="12"/>
        <v>16.059925538478094</v>
      </c>
      <c r="AF11" s="46">
        <f t="shared" si="13"/>
        <v>-296.95488099344203</v>
      </c>
      <c r="AG11" s="47">
        <f t="shared" si="14"/>
        <v>79845.264858711744</v>
      </c>
      <c r="AH11" s="45" t="str">
        <f t="shared" si="18"/>
        <v>-296.95488,16.05993,79845</v>
      </c>
      <c r="AI11" s="44">
        <f t="shared" si="19"/>
        <v>351.12426099340638</v>
      </c>
    </row>
    <row r="12" spans="1:35" ht="18" customHeight="1" x14ac:dyDescent="0.25">
      <c r="A12" s="36">
        <f t="shared" si="15"/>
        <v>0.72222222222222221</v>
      </c>
      <c r="B12" s="42">
        <f t="shared" si="0"/>
        <v>16.500650425289578</v>
      </c>
      <c r="C12" s="43">
        <f t="shared" si="1"/>
        <v>63.513567234766008</v>
      </c>
      <c r="D12" s="18">
        <f t="shared" si="2"/>
        <v>83.493003825102278</v>
      </c>
      <c r="E12" s="21" t="str">
        <f t="shared" si="3"/>
        <v>Umbra</v>
      </c>
      <c r="F12" s="23">
        <f>IF($E12&lt;&gt;"Umbra",fracil2($S$2,$S$3,$S$4,$A12,$Q$2,$O$3,$Q$4,$U12,$V12,$W12),0)</f>
        <v>0</v>
      </c>
      <c r="G12" s="19">
        <f t="shared" si="4"/>
        <v>252.67545508588819</v>
      </c>
      <c r="H12" s="19">
        <f t="shared" si="5"/>
        <v>-23.220691754052808</v>
      </c>
      <c r="I12" s="19">
        <f t="shared" si="6"/>
        <v>-22.085124667907515</v>
      </c>
      <c r="J12" s="28">
        <f t="shared" si="7"/>
        <v>3.9058206881035312E-2</v>
      </c>
      <c r="K12" s="24">
        <f t="shared" si="8"/>
        <v>5243.4961820225708</v>
      </c>
      <c r="L12" s="32">
        <f t="shared" si="9"/>
        <v>0.99978864022538361</v>
      </c>
      <c r="M12" s="35">
        <f t="shared" si="10"/>
        <v>-27.987778288888041</v>
      </c>
      <c r="O12" s="29">
        <f t="shared" si="11"/>
        <v>5362.9123098019645</v>
      </c>
      <c r="P12" s="44"/>
      <c r="T12" s="48">
        <v>0.72222222222222221</v>
      </c>
      <c r="U12" s="29">
        <v>4039.20913429145</v>
      </c>
      <c r="V12" s="29">
        <v>4699.9654956833001</v>
      </c>
      <c r="W12" s="29">
        <v>1823.6306652815501</v>
      </c>
      <c r="X12" s="4">
        <v>-4.8720195875076593</v>
      </c>
      <c r="Y12" s="4">
        <v>2.7976781775943702</v>
      </c>
      <c r="Z12" s="4">
        <v>4.8217272203111694</v>
      </c>
      <c r="AA12" s="3">
        <f t="shared" si="16"/>
        <v>7.4035553238654019</v>
      </c>
      <c r="AB12" s="3">
        <f t="shared" si="20"/>
        <v>1.2693696540037698</v>
      </c>
      <c r="AC12" s="3">
        <f t="shared" si="17"/>
        <v>7.0733062058088016</v>
      </c>
      <c r="AD12" s="48"/>
      <c r="AE12" s="46">
        <f t="shared" si="12"/>
        <v>16.500650425289578</v>
      </c>
      <c r="AF12" s="46">
        <f t="shared" si="13"/>
        <v>-296.48643276523399</v>
      </c>
      <c r="AG12" s="47">
        <f t="shared" si="14"/>
        <v>83493.003825102278</v>
      </c>
      <c r="AH12" s="45" t="str">
        <f t="shared" si="18"/>
        <v>-296.48643,16.50065,83493</v>
      </c>
      <c r="AI12" s="44">
        <f t="shared" si="19"/>
        <v>421.13602216647894</v>
      </c>
    </row>
    <row r="13" spans="1:35" ht="18" customHeight="1" x14ac:dyDescent="0.25">
      <c r="A13" s="36">
        <f t="shared" si="15"/>
        <v>0.72233796296296293</v>
      </c>
      <c r="B13" s="42">
        <f t="shared" si="0"/>
        <v>16.938746396643275</v>
      </c>
      <c r="C13" s="43">
        <f t="shared" si="1"/>
        <v>63.982813255696435</v>
      </c>
      <c r="D13" s="18">
        <f t="shared" si="2"/>
        <v>87.030089759129623</v>
      </c>
      <c r="E13" s="21" t="str">
        <f t="shared" si="3"/>
        <v>Umbra</v>
      </c>
      <c r="F13" s="23">
        <f>IF($E13&lt;&gt;"Umbra",fracil2($S$2,$S$3,$S$4,$A13,$Q$2,$O$3,$Q$4,$U13,$V13,$W13),0)</f>
        <v>0</v>
      </c>
      <c r="G13" s="19">
        <f t="shared" si="4"/>
        <v>252.7006560105911</v>
      </c>
      <c r="H13" s="19">
        <f t="shared" si="5"/>
        <v>-22.859797116337585</v>
      </c>
      <c r="I13" s="19">
        <f t="shared" si="6"/>
        <v>-21.724230030192292</v>
      </c>
      <c r="J13" s="28">
        <f t="shared" si="7"/>
        <v>3.9032147240248963E-2</v>
      </c>
      <c r="K13" s="24">
        <f t="shared" si="8"/>
        <v>5180.9188611721211</v>
      </c>
      <c r="L13" s="32">
        <f t="shared" si="9"/>
        <v>7.6802686216355474E-4</v>
      </c>
      <c r="M13" s="35">
        <f t="shared" si="10"/>
        <v>-27.752580205842065</v>
      </c>
      <c r="O13" s="29">
        <f t="shared" si="11"/>
        <v>5293.1529990169001</v>
      </c>
      <c r="P13" s="44"/>
      <c r="T13" s="48">
        <v>0.72233796296296293</v>
      </c>
      <c r="U13" s="29">
        <v>3990.1972556465198</v>
      </c>
      <c r="V13" s="29">
        <v>4727.5907709524799</v>
      </c>
      <c r="W13" s="29">
        <v>1871.70525302282</v>
      </c>
      <c r="X13" s="4">
        <v>-4.9298159793090699</v>
      </c>
      <c r="Y13" s="4">
        <v>2.7271245362384304</v>
      </c>
      <c r="Z13" s="4">
        <v>4.7926675206468996</v>
      </c>
      <c r="AA13" s="3">
        <f t="shared" si="16"/>
        <v>7.3966178615275524</v>
      </c>
      <c r="AB13" s="3">
        <f t="shared" si="20"/>
        <v>7.3335563653218638E-2</v>
      </c>
      <c r="AC13" s="3">
        <f t="shared" si="17"/>
        <v>7.0661149204369682</v>
      </c>
      <c r="AD13" s="48"/>
      <c r="AE13" s="46">
        <f t="shared" si="12"/>
        <v>16.938746396643275</v>
      </c>
      <c r="AF13" s="46">
        <f t="shared" si="13"/>
        <v>-296.01718674430356</v>
      </c>
      <c r="AG13" s="47">
        <f t="shared" si="14"/>
        <v>87030.089759129623</v>
      </c>
      <c r="AH13" s="45" t="str">
        <f t="shared" si="18"/>
        <v>-296.01719,16.93875,87030</v>
      </c>
      <c r="AI13" s="44">
        <f t="shared" si="19"/>
        <v>490.92306852473058</v>
      </c>
    </row>
    <row r="14" spans="1:35" ht="18" customHeight="1" x14ac:dyDescent="0.25">
      <c r="A14" s="36">
        <f t="shared" si="15"/>
        <v>0.72245370370370365</v>
      </c>
      <c r="B14" s="42">
        <f t="shared" si="0"/>
        <v>17.37494577918806</v>
      </c>
      <c r="C14" s="43">
        <f t="shared" si="1"/>
        <v>64.45373177139588</v>
      </c>
      <c r="D14" s="18">
        <f t="shared" si="2"/>
        <v>90.457367687586157</v>
      </c>
      <c r="E14" s="21" t="str">
        <f t="shared" si="3"/>
        <v>Umbra</v>
      </c>
      <c r="F14" s="23">
        <f>IF($E14&lt;&gt;"Umbra",fracil2($S$2,$S$3,$S$4,$A14,$Q$2,$O$3,$Q$4,$U14,$V14,$W14),0)</f>
        <v>0</v>
      </c>
      <c r="G14" s="19">
        <f t="shared" si="4"/>
        <v>252.72599139896695</v>
      </c>
      <c r="H14" s="19">
        <f t="shared" si="5"/>
        <v>-22.499149358777821</v>
      </c>
      <c r="I14" s="19">
        <f t="shared" si="6"/>
        <v>-21.363582272632527</v>
      </c>
      <c r="J14" s="28">
        <f t="shared" si="7"/>
        <v>3.9010733293126161E-2</v>
      </c>
      <c r="K14" s="24">
        <f t="shared" si="8"/>
        <v>5118.2009914531836</v>
      </c>
      <c r="L14" s="32">
        <f t="shared" si="9"/>
        <v>1.7425902332568646E-3</v>
      </c>
      <c r="M14" s="35">
        <f t="shared" si="10"/>
        <v>-27.516643587205522</v>
      </c>
      <c r="O14" s="29">
        <f t="shared" si="11"/>
        <v>5223.4961938339529</v>
      </c>
      <c r="P14" s="44"/>
      <c r="T14" s="48">
        <v>0.72245370370370365</v>
      </c>
      <c r="U14" s="29">
        <v>3940.60952332234</v>
      </c>
      <c r="V14" s="29">
        <v>4754.51022560203</v>
      </c>
      <c r="W14" s="29">
        <v>1919.4881053725601</v>
      </c>
      <c r="X14" s="4">
        <v>-4.9873306469977097</v>
      </c>
      <c r="Y14" s="4">
        <v>2.6565875668230601</v>
      </c>
      <c r="Z14" s="4">
        <v>4.7635257792777699</v>
      </c>
      <c r="AA14" s="3">
        <f t="shared" si="16"/>
        <v>7.3906767168186533</v>
      </c>
      <c r="AB14" s="3">
        <f t="shared" si="20"/>
        <v>6.312017090555512E-2</v>
      </c>
      <c r="AC14" s="3">
        <f t="shared" si="17"/>
        <v>7.0599253564779705</v>
      </c>
      <c r="AD14" s="48"/>
      <c r="AE14" s="46">
        <f t="shared" si="12"/>
        <v>17.37494577918806</v>
      </c>
      <c r="AF14" s="46">
        <f t="shared" si="13"/>
        <v>-295.54626822860411</v>
      </c>
      <c r="AG14" s="47">
        <f t="shared" si="14"/>
        <v>90457.367687586157</v>
      </c>
      <c r="AH14" s="45" t="str">
        <f t="shared" si="18"/>
        <v>-295.54627,17.37495,90457</v>
      </c>
      <c r="AI14" s="44">
        <f t="shared" ref="AI14:AI77" si="21">ACOS(SIN(RADIANS($B13))*SIN(RADIANS($B14))+COS(RADIANS($B13))*COS(RADIANS($B14))*COS(RADIANS($C13-$C14)))*6371+AI13</f>
        <v>560.60736567675872</v>
      </c>
    </row>
    <row r="15" spans="1:35" ht="18" customHeight="1" x14ac:dyDescent="0.25">
      <c r="A15" s="36">
        <f t="shared" si="15"/>
        <v>0.72256944444444449</v>
      </c>
      <c r="B15" s="42">
        <f t="shared" si="0"/>
        <v>17.809249765472128</v>
      </c>
      <c r="C15" s="43">
        <f t="shared" si="1"/>
        <v>64.926423597593967</v>
      </c>
      <c r="D15" s="18">
        <f t="shared" si="2"/>
        <v>93.774206595394389</v>
      </c>
      <c r="E15" s="21" t="str">
        <f t="shared" si="3"/>
        <v>Umbra</v>
      </c>
      <c r="F15" s="23">
        <f>IF($E15&lt;&gt;"Umbra",fracil2($S$2,$S$3,$S$4,$A15,$Q$2,$O$3,$Q$4,$U15,$V15,$W15),0)</f>
        <v>0</v>
      </c>
      <c r="G15" s="19">
        <f t="shared" si="4"/>
        <v>252.75146259132816</v>
      </c>
      <c r="H15" s="19">
        <f t="shared" si="5"/>
        <v>-22.138727180766619</v>
      </c>
      <c r="I15" s="19">
        <f t="shared" si="6"/>
        <v>-21.003160094621325</v>
      </c>
      <c r="J15" s="28">
        <f t="shared" si="7"/>
        <v>3.8990616899679621E-2</v>
      </c>
      <c r="K15" s="24">
        <f t="shared" si="8"/>
        <v>5055.3407995313573</v>
      </c>
      <c r="L15" s="32">
        <f t="shared" si="9"/>
        <v>2.7124310562467936E-3</v>
      </c>
      <c r="M15" s="35">
        <f t="shared" si="10"/>
        <v>-27.279967807760411</v>
      </c>
      <c r="O15" s="29">
        <f t="shared" si="11"/>
        <v>5153.9358760226496</v>
      </c>
      <c r="P15" s="44"/>
      <c r="T15" s="48">
        <v>0.72256944444444449</v>
      </c>
      <c r="U15" s="29">
        <v>3890.4520770286799</v>
      </c>
      <c r="V15" s="29">
        <v>4780.7223318999804</v>
      </c>
      <c r="W15" s="29">
        <v>1966.9749917697302</v>
      </c>
      <c r="X15" s="4">
        <v>-5.0441125123906101</v>
      </c>
      <c r="Y15" s="4">
        <v>2.58583638794319</v>
      </c>
      <c r="Z15" s="4">
        <v>4.7338381338223696</v>
      </c>
      <c r="AA15" s="3">
        <f t="shared" si="16"/>
        <v>7.3850419321827454</v>
      </c>
      <c r="AB15" s="3">
        <f t="shared" si="20"/>
        <v>5.9945828075669047E-2</v>
      </c>
      <c r="AC15" s="3">
        <f t="shared" si="17"/>
        <v>7.0540470685768657</v>
      </c>
      <c r="AD15" s="48"/>
      <c r="AE15" s="46">
        <f t="shared" si="12"/>
        <v>17.809249765472128</v>
      </c>
      <c r="AF15" s="46">
        <f t="shared" si="13"/>
        <v>-295.07357640240605</v>
      </c>
      <c r="AG15" s="47">
        <f t="shared" si="14"/>
        <v>93774.206595394382</v>
      </c>
      <c r="AH15" s="45" t="str">
        <f t="shared" si="18"/>
        <v>-295.07358,17.80925,93774</v>
      </c>
      <c r="AI15" s="44">
        <f t="shared" si="21"/>
        <v>630.19492009503051</v>
      </c>
    </row>
    <row r="16" spans="1:35" ht="18" customHeight="1" x14ac:dyDescent="0.25">
      <c r="A16" s="36">
        <f t="shared" si="15"/>
        <v>0.72268518518518521</v>
      </c>
      <c r="B16" s="42">
        <f t="shared" si="0"/>
        <v>18.241680559004291</v>
      </c>
      <c r="C16" s="43">
        <f t="shared" si="1"/>
        <v>65.401014101154757</v>
      </c>
      <c r="D16" s="18">
        <f t="shared" si="2"/>
        <v>96.98028378240906</v>
      </c>
      <c r="E16" s="21" t="str">
        <f t="shared" si="3"/>
        <v>Umbra</v>
      </c>
      <c r="F16" s="23">
        <f>IF($E16&lt;&gt;"Umbra",fracil2($S$2,$S$3,$S$4,$A16,$Q$2,$O$3,$Q$4,$U16,$V16,$W16),0)</f>
        <v>0</v>
      </c>
      <c r="G16" s="19">
        <f t="shared" si="4"/>
        <v>252.77707236873073</v>
      </c>
      <c r="H16" s="19">
        <f t="shared" si="5"/>
        <v>-21.778489593588542</v>
      </c>
      <c r="I16" s="19">
        <f t="shared" si="6"/>
        <v>-20.642922507443249</v>
      </c>
      <c r="J16" s="28">
        <f t="shared" si="7"/>
        <v>3.897436179156686E-2</v>
      </c>
      <c r="K16" s="24">
        <f t="shared" si="8"/>
        <v>4992.333345914818</v>
      </c>
      <c r="L16" s="32">
        <f t="shared" si="9"/>
        <v>3.6776953104514488E-3</v>
      </c>
      <c r="M16" s="35">
        <f t="shared" si="10"/>
        <v>-27.042538891265021</v>
      </c>
      <c r="O16" s="29">
        <f t="shared" si="11"/>
        <v>5084.462536705646</v>
      </c>
      <c r="P16" s="44"/>
      <c r="T16" s="48">
        <v>0.72268518518518521</v>
      </c>
      <c r="U16" s="29">
        <v>3839.72867467878</v>
      </c>
      <c r="V16" s="29">
        <v>4806.2267533304803</v>
      </c>
      <c r="W16" s="29">
        <v>2014.1640996326498</v>
      </c>
      <c r="X16" s="4">
        <v>-5.1004790820232202</v>
      </c>
      <c r="Y16" s="4">
        <v>2.5150282720034003</v>
      </c>
      <c r="Z16" s="4">
        <v>4.70392566939113</v>
      </c>
      <c r="AA16" s="3">
        <f t="shared" si="16"/>
        <v>7.3801877197188981</v>
      </c>
      <c r="AB16" s="3">
        <f t="shared" si="20"/>
        <v>5.1930290632477179E-2</v>
      </c>
      <c r="AC16" s="3">
        <f t="shared" si="17"/>
        <v>7.0489547842774458</v>
      </c>
      <c r="AD16" s="48"/>
      <c r="AE16" s="46">
        <f t="shared" si="12"/>
        <v>18.241680559004291</v>
      </c>
      <c r="AF16" s="46">
        <f t="shared" si="13"/>
        <v>-294.59898589884523</v>
      </c>
      <c r="AG16" s="47">
        <f t="shared" si="14"/>
        <v>96980.283782409067</v>
      </c>
      <c r="AH16" s="45" t="str">
        <f t="shared" si="18"/>
        <v>-294.59899,18.24168,96980</v>
      </c>
      <c r="AI16" s="44">
        <f t="shared" si="21"/>
        <v>699.69523060297547</v>
      </c>
    </row>
    <row r="17" spans="1:35" ht="18" customHeight="1" x14ac:dyDescent="0.25">
      <c r="A17" s="36">
        <f t="shared" si="15"/>
        <v>0.72280092592592593</v>
      </c>
      <c r="B17" s="42">
        <f t="shared" si="0"/>
        <v>18.672245286826591</v>
      </c>
      <c r="C17" s="43">
        <f t="shared" si="1"/>
        <v>65.877614205521709</v>
      </c>
      <c r="D17" s="18">
        <f t="shared" si="2"/>
        <v>100.07530455283631</v>
      </c>
      <c r="E17" s="21" t="str">
        <f t="shared" si="3"/>
        <v>Umbra</v>
      </c>
      <c r="F17" s="23">
        <f>IF($E17&lt;&gt;"Umbra",fracil2($S$2,$S$3,$S$4,$A17,$Q$2,$O$3,$Q$4,$U17,$V17,$W17),0)</f>
        <v>0</v>
      </c>
      <c r="G17" s="19">
        <f t="shared" si="4"/>
        <v>252.80282286650871</v>
      </c>
      <c r="H17" s="19">
        <f t="shared" si="5"/>
        <v>-21.418405660951251</v>
      </c>
      <c r="I17" s="19">
        <f t="shared" si="6"/>
        <v>-20.282838574805957</v>
      </c>
      <c r="J17" s="28">
        <f t="shared" si="7"/>
        <v>3.8960587512777617E-2</v>
      </c>
      <c r="K17" s="24">
        <f t="shared" si="8"/>
        <v>4929.1757222641663</v>
      </c>
      <c r="L17" s="32">
        <f t="shared" si="9"/>
        <v>4.6385035331390134E-3</v>
      </c>
      <c r="M17" s="35">
        <f t="shared" si="10"/>
        <v>-26.804348989014162</v>
      </c>
      <c r="O17" s="29">
        <f t="shared" si="11"/>
        <v>5015.0689393756811</v>
      </c>
      <c r="P17" s="44"/>
      <c r="T17" s="48">
        <v>0.72280092592592593</v>
      </c>
      <c r="U17" s="29">
        <v>3788.44453275771</v>
      </c>
      <c r="V17" s="29">
        <v>4831.0223796886194</v>
      </c>
      <c r="W17" s="29">
        <v>2061.0520892373502</v>
      </c>
      <c r="X17" s="4">
        <v>-5.1562372948175197</v>
      </c>
      <c r="Y17" s="4">
        <v>2.4440664790002202</v>
      </c>
      <c r="Z17" s="4">
        <v>4.6735915039224505</v>
      </c>
      <c r="AA17" s="3">
        <f t="shared" si="16"/>
        <v>7.3758187030170248</v>
      </c>
      <c r="AB17" s="3">
        <f t="shared" si="20"/>
        <v>4.6928726208629826E-2</v>
      </c>
      <c r="AC17" s="3">
        <f t="shared" si="17"/>
        <v>7.0443529533854283</v>
      </c>
      <c r="AD17" s="48"/>
      <c r="AE17" s="46">
        <f t="shared" si="12"/>
        <v>18.672245286826591</v>
      </c>
      <c r="AF17" s="46">
        <f t="shared" si="13"/>
        <v>-294.1223857944783</v>
      </c>
      <c r="AG17" s="47">
        <f t="shared" si="14"/>
        <v>100075.30455283631</v>
      </c>
      <c r="AH17" s="45" t="str">
        <f t="shared" si="18"/>
        <v>-294.12239,18.67225,100075</v>
      </c>
      <c r="AI17" s="44">
        <f t="shared" si="21"/>
        <v>769.1155231155908</v>
      </c>
    </row>
    <row r="18" spans="1:35" ht="18" customHeight="1" x14ac:dyDescent="0.25">
      <c r="A18" s="36">
        <f t="shared" si="15"/>
        <v>0.72291666666666665</v>
      </c>
      <c r="B18" s="42">
        <f t="shared" si="0"/>
        <v>19.100936841109323</v>
      </c>
      <c r="C18" s="43">
        <f t="shared" si="1"/>
        <v>66.356320803020722</v>
      </c>
      <c r="D18" s="18">
        <f t="shared" si="2"/>
        <v>103.05895692725062</v>
      </c>
      <c r="E18" s="21" t="str">
        <f t="shared" si="3"/>
        <v>Umbra</v>
      </c>
      <c r="F18" s="23">
        <f>IF($E18&lt;&gt;"Umbra",fracil2($S$2,$S$3,$S$4,$A18,$Q$2,$O$3,$Q$4,$U18,$V18,$W18),0)</f>
        <v>0</v>
      </c>
      <c r="G18" s="19">
        <f t="shared" si="4"/>
        <v>252.82871558294576</v>
      </c>
      <c r="H18" s="19">
        <f t="shared" si="5"/>
        <v>-21.058454574685115</v>
      </c>
      <c r="I18" s="19">
        <f t="shared" si="6"/>
        <v>-19.922887488539821</v>
      </c>
      <c r="J18" s="28">
        <f t="shared" si="7"/>
        <v>3.8948580576910856E-2</v>
      </c>
      <c r="K18" s="24">
        <f t="shared" si="8"/>
        <v>4865.8669603595936</v>
      </c>
      <c r="L18" s="32">
        <f t="shared" si="9"/>
        <v>5.5949511805550231E-3</v>
      </c>
      <c r="M18" s="35">
        <f t="shared" si="10"/>
        <v>-26.565396536532095</v>
      </c>
      <c r="O18" s="29">
        <f t="shared" si="11"/>
        <v>4945.7500101080459</v>
      </c>
      <c r="P18" s="44"/>
      <c r="T18" s="48">
        <v>0.72291666666666665</v>
      </c>
      <c r="U18" s="29">
        <v>3736.60630770338</v>
      </c>
      <c r="V18" s="29">
        <v>4855.10741522845</v>
      </c>
      <c r="W18" s="29">
        <v>2107.63418395597</v>
      </c>
      <c r="X18" s="4">
        <v>-5.2112832871206303</v>
      </c>
      <c r="Y18" s="4">
        <v>2.3729051744271499</v>
      </c>
      <c r="Z18" s="4">
        <v>4.6427351512321806</v>
      </c>
      <c r="AA18" s="3">
        <f t="shared" si="16"/>
        <v>7.3717801208346447</v>
      </c>
      <c r="AB18" s="3">
        <f t="shared" si="20"/>
        <v>4.3505977633751095E-2</v>
      </c>
      <c r="AC18" s="3">
        <f t="shared" si="17"/>
        <v>7.0400867572186634</v>
      </c>
      <c r="AD18" s="48"/>
      <c r="AE18" s="46">
        <f t="shared" si="12"/>
        <v>19.100936841109323</v>
      </c>
      <c r="AF18" s="46">
        <f t="shared" si="13"/>
        <v>-293.64367919697929</v>
      </c>
      <c r="AG18" s="47">
        <f t="shared" si="14"/>
        <v>103058.95692725062</v>
      </c>
      <c r="AH18" s="45" t="str">
        <f t="shared" si="18"/>
        <v>-293.64368,19.10094,103059</v>
      </c>
      <c r="AI18" s="44">
        <f t="shared" si="21"/>
        <v>838.46086048408586</v>
      </c>
    </row>
    <row r="19" spans="1:35" ht="18" customHeight="1" x14ac:dyDescent="0.25">
      <c r="A19" s="36">
        <f t="shared" si="15"/>
        <v>0.72303240740740737</v>
      </c>
      <c r="B19" s="42">
        <f t="shared" si="0"/>
        <v>19.527740402024911</v>
      </c>
      <c r="C19" s="43">
        <f t="shared" si="1"/>
        <v>66.837223580946329</v>
      </c>
      <c r="D19" s="18">
        <f t="shared" si="2"/>
        <v>105.93092852355858</v>
      </c>
      <c r="E19" s="21" t="str">
        <f t="shared" si="3"/>
        <v>Umbra</v>
      </c>
      <c r="F19" s="23">
        <f>IF($E19&lt;&gt;"Umbra",fracil2($S$2,$S$3,$S$4,$A19,$Q$2,$O$3,$Q$4,$U19,$V19,$W19),0)</f>
        <v>0</v>
      </c>
      <c r="G19" s="19">
        <f t="shared" si="4"/>
        <v>252.85475173989306</v>
      </c>
      <c r="H19" s="19">
        <f t="shared" si="5"/>
        <v>-20.698620710151239</v>
      </c>
      <c r="I19" s="19">
        <f t="shared" si="6"/>
        <v>-19.563053624005946</v>
      </c>
      <c r="J19" s="28">
        <f t="shared" si="7"/>
        <v>3.893797501173319E-2</v>
      </c>
      <c r="K19" s="24">
        <f t="shared" si="8"/>
        <v>4802.4071024848718</v>
      </c>
      <c r="L19" s="32">
        <f t="shared" si="9"/>
        <v>6.5471206322453533E-3</v>
      </c>
      <c r="M19" s="35">
        <f t="shared" si="10"/>
        <v>-26.325683065008075</v>
      </c>
      <c r="O19" s="29">
        <f t="shared" si="11"/>
        <v>4876.501805477933</v>
      </c>
      <c r="P19" s="44"/>
      <c r="T19" s="48">
        <v>0.72303240740740737</v>
      </c>
      <c r="U19" s="29">
        <v>3684.2214312511501</v>
      </c>
      <c r="V19" s="29">
        <v>4878.4797511706402</v>
      </c>
      <c r="W19" s="29">
        <v>2153.9048823933599</v>
      </c>
      <c r="X19" s="4">
        <v>-5.2655602691479295</v>
      </c>
      <c r="Y19" s="4">
        <v>2.3015243668694101</v>
      </c>
      <c r="Z19" s="4">
        <v>4.6113060747519201</v>
      </c>
      <c r="AA19" s="3">
        <f t="shared" si="16"/>
        <v>7.3679904366364921</v>
      </c>
      <c r="AB19" s="3">
        <f t="shared" si="20"/>
        <v>4.091469953745365E-2</v>
      </c>
      <c r="AC19" s="3">
        <f t="shared" si="17"/>
        <v>7.0360746617820213</v>
      </c>
      <c r="AD19" s="48"/>
      <c r="AE19" s="46">
        <f t="shared" si="12"/>
        <v>19.527740402024911</v>
      </c>
      <c r="AF19" s="46">
        <f t="shared" si="13"/>
        <v>-293.16277641905367</v>
      </c>
      <c r="AG19" s="47">
        <f t="shared" si="14"/>
        <v>105930.92852355857</v>
      </c>
      <c r="AH19" s="45" t="str">
        <f t="shared" si="18"/>
        <v>-293.16278,19.52774,105931</v>
      </c>
      <c r="AI19" s="44">
        <f t="shared" si="21"/>
        <v>907.73517499056459</v>
      </c>
    </row>
    <row r="20" spans="1:35" ht="18" customHeight="1" x14ac:dyDescent="0.25">
      <c r="A20" s="36">
        <f t="shared" si="15"/>
        <v>0.7231481481481481</v>
      </c>
      <c r="B20" s="42">
        <f t="shared" si="0"/>
        <v>19.952636690233458</v>
      </c>
      <c r="C20" s="43">
        <f t="shared" si="1"/>
        <v>67.320408456551476</v>
      </c>
      <c r="D20" s="18">
        <f t="shared" si="2"/>
        <v>108.69091241538172</v>
      </c>
      <c r="E20" s="21" t="str">
        <f t="shared" si="3"/>
        <v>Umbra</v>
      </c>
      <c r="F20" s="23">
        <f>IF($E20&lt;&gt;"Umbra",fracil2($S$2,$S$3,$S$4,$A20,$Q$2,$O$3,$Q$4,$U20,$V20,$W20),0)</f>
        <v>0</v>
      </c>
      <c r="G20" s="19">
        <f t="shared" si="4"/>
        <v>252.88093246691565</v>
      </c>
      <c r="H20" s="19">
        <f t="shared" si="5"/>
        <v>-20.33889116422041</v>
      </c>
      <c r="I20" s="19">
        <f t="shared" si="6"/>
        <v>-19.203324078075116</v>
      </c>
      <c r="J20" s="28">
        <f t="shared" si="7"/>
        <v>3.8928584217385626E-2</v>
      </c>
      <c r="K20" s="24">
        <f t="shared" si="8"/>
        <v>4738.7967338243861</v>
      </c>
      <c r="L20" s="32">
        <f t="shared" si="9"/>
        <v>7.4950871390203622E-3</v>
      </c>
      <c r="M20" s="35">
        <f t="shared" si="10"/>
        <v>-26.085211608128482</v>
      </c>
      <c r="O20" s="29">
        <f t="shared" si="11"/>
        <v>4807.3209952335656</v>
      </c>
      <c r="P20" s="44"/>
      <c r="T20" s="48">
        <v>0.7231481481481481</v>
      </c>
      <c r="U20" s="29">
        <v>3631.2977731869</v>
      </c>
      <c r="V20" s="29">
        <v>4901.1371480195994</v>
      </c>
      <c r="W20" s="29">
        <v>2199.8583136874699</v>
      </c>
      <c r="X20" s="4">
        <v>-5.3190359186432898</v>
      </c>
      <c r="Y20" s="4">
        <v>2.2299170932609802</v>
      </c>
      <c r="Z20" s="4">
        <v>4.57927933604606</v>
      </c>
      <c r="AA20" s="3">
        <f t="shared" si="16"/>
        <v>7.3644057862242631</v>
      </c>
      <c r="AB20" s="3">
        <f t="shared" si="20"/>
        <v>3.877040339297725E-2</v>
      </c>
      <c r="AC20" s="3">
        <f t="shared" si="17"/>
        <v>7.0322728360253066</v>
      </c>
      <c r="AD20" s="48"/>
      <c r="AE20" s="46">
        <f t="shared" si="12"/>
        <v>19.952636690233458</v>
      </c>
      <c r="AF20" s="46">
        <f t="shared" si="13"/>
        <v>-292.67959154344851</v>
      </c>
      <c r="AG20" s="47">
        <f t="shared" si="14"/>
        <v>108690.91241538172</v>
      </c>
      <c r="AH20" s="45" t="str">
        <f t="shared" si="18"/>
        <v>-292.67959,19.95264,108691</v>
      </c>
      <c r="AI20" s="44">
        <f t="shared" si="21"/>
        <v>976.94178588387911</v>
      </c>
    </row>
    <row r="21" spans="1:35" ht="18" customHeight="1" x14ac:dyDescent="0.25">
      <c r="A21" s="36">
        <f t="shared" si="15"/>
        <v>0.72326388888888893</v>
      </c>
      <c r="B21" s="42">
        <f t="shared" si="0"/>
        <v>20.375603855466828</v>
      </c>
      <c r="C21" s="43">
        <f t="shared" si="1"/>
        <v>67.805959614636024</v>
      </c>
      <c r="D21" s="18">
        <f t="shared" si="2"/>
        <v>111.33861465506925</v>
      </c>
      <c r="E21" s="21" t="str">
        <f t="shared" si="3"/>
        <v>Umbra</v>
      </c>
      <c r="F21" s="23">
        <f>IF($E21&lt;&gt;"Umbra",fracil2($S$2,$S$3,$S$4,$A21,$Q$2,$O$3,$Q$4,$U21,$V21,$W21),0)</f>
        <v>0</v>
      </c>
      <c r="G21" s="19">
        <f t="shared" si="4"/>
        <v>252.90725891481307</v>
      </c>
      <c r="H21" s="19">
        <f t="shared" si="5"/>
        <v>-19.979254250324068</v>
      </c>
      <c r="I21" s="19">
        <f t="shared" si="6"/>
        <v>-18.843687164178775</v>
      </c>
      <c r="J21" s="28">
        <f t="shared" si="7"/>
        <v>3.8920308519667046E-2</v>
      </c>
      <c r="K21" s="24">
        <f t="shared" si="8"/>
        <v>4675.0367084061209</v>
      </c>
      <c r="L21" s="32">
        <f t="shared" si="9"/>
        <v>8.4389224160680131E-3</v>
      </c>
      <c r="M21" s="35">
        <f t="shared" si="10"/>
        <v>-25.843985721011148</v>
      </c>
      <c r="O21" s="29">
        <f t="shared" si="11"/>
        <v>4738.204558710735</v>
      </c>
      <c r="P21" s="44"/>
      <c r="T21" s="48">
        <v>0.72326388888888893</v>
      </c>
      <c r="U21" s="29">
        <v>3577.8434413626001</v>
      </c>
      <c r="V21" s="29">
        <v>4923.07734087482</v>
      </c>
      <c r="W21" s="29">
        <v>2245.4884456766499</v>
      </c>
      <c r="X21" s="4">
        <v>-5.3716902555794004</v>
      </c>
      <c r="Y21" s="4">
        <v>2.1580826011415701</v>
      </c>
      <c r="Z21" s="4">
        <v>4.5466425839279001</v>
      </c>
      <c r="AA21" s="3">
        <f t="shared" si="16"/>
        <v>7.3610009850035487</v>
      </c>
      <c r="AB21" s="3">
        <f t="shared" si="20"/>
        <v>3.6882453084559542E-2</v>
      </c>
      <c r="AC21" s="3">
        <f t="shared" si="17"/>
        <v>7.0286561426758318</v>
      </c>
      <c r="AD21" s="48"/>
      <c r="AE21" s="46">
        <f t="shared" si="12"/>
        <v>20.375603855466828</v>
      </c>
      <c r="AF21" s="46">
        <f t="shared" si="13"/>
        <v>-292.19404038536396</v>
      </c>
      <c r="AG21" s="47">
        <f t="shared" si="14"/>
        <v>111338.61465506925</v>
      </c>
      <c r="AH21" s="45" t="str">
        <f t="shared" si="18"/>
        <v>-292.19404,20.37560,111339</v>
      </c>
      <c r="AI21" s="44">
        <f t="shared" si="21"/>
        <v>1046.0837030917044</v>
      </c>
    </row>
    <row r="22" spans="1:35" ht="18" customHeight="1" x14ac:dyDescent="0.25">
      <c r="A22" s="36">
        <f t="shared" si="15"/>
        <v>0.72337962962962965</v>
      </c>
      <c r="B22" s="42">
        <f t="shared" si="0"/>
        <v>20.796618044415244</v>
      </c>
      <c r="C22" s="43">
        <f t="shared" si="1"/>
        <v>68.293960116935722</v>
      </c>
      <c r="D22" s="18">
        <f t="shared" si="2"/>
        <v>113.87374729694329</v>
      </c>
      <c r="E22" s="21" t="str">
        <f t="shared" si="3"/>
        <v>Umbra</v>
      </c>
      <c r="F22" s="23">
        <f>IF($E22&lt;&gt;"Umbra",fracil2($S$2,$S$3,$S$4,$A22,$Q$2,$O$3,$Q$4,$U22,$V22,$W22),0)</f>
        <v>0</v>
      </c>
      <c r="G22" s="19">
        <f t="shared" si="4"/>
        <v>252.93373229194083</v>
      </c>
      <c r="H22" s="19">
        <f t="shared" si="5"/>
        <v>-19.619699138796591</v>
      </c>
      <c r="I22" s="19">
        <f t="shared" si="6"/>
        <v>-18.484132052651297</v>
      </c>
      <c r="J22" s="28">
        <f t="shared" si="7"/>
        <v>3.8913113034540092E-2</v>
      </c>
      <c r="K22" s="24">
        <f t="shared" si="8"/>
        <v>4611.1280634245222</v>
      </c>
      <c r="L22" s="32">
        <f t="shared" si="9"/>
        <v>9.3786955111309182E-3</v>
      </c>
      <c r="M22" s="35">
        <f t="shared" si="10"/>
        <v>-25.602009247157262</v>
      </c>
      <c r="O22" s="29">
        <f t="shared" si="11"/>
        <v>4669.1496921722155</v>
      </c>
      <c r="P22" s="44"/>
      <c r="T22" s="48">
        <v>0.72337962962962965</v>
      </c>
      <c r="U22" s="29">
        <v>3523.8667190637798</v>
      </c>
      <c r="V22" s="29">
        <v>4944.2980686223</v>
      </c>
      <c r="W22" s="29">
        <v>2290.7891466881001</v>
      </c>
      <c r="X22" s="4">
        <v>-5.42351175654934</v>
      </c>
      <c r="Y22" s="4">
        <v>2.0860244118531601</v>
      </c>
      <c r="Z22" s="4">
        <v>4.5133921095167402</v>
      </c>
      <c r="AA22" s="3">
        <f t="shared" si="16"/>
        <v>7.3577636517167493</v>
      </c>
      <c r="AB22" s="3">
        <f t="shared" si="20"/>
        <v>3.5120171725459476E-2</v>
      </c>
      <c r="AC22" s="3">
        <f t="shared" si="17"/>
        <v>7.0252122586364338</v>
      </c>
      <c r="AD22" s="48"/>
      <c r="AE22" s="46">
        <f t="shared" si="12"/>
        <v>20.796618044415244</v>
      </c>
      <c r="AF22" s="46">
        <f t="shared" si="13"/>
        <v>-291.70603988306425</v>
      </c>
      <c r="AG22" s="47">
        <f t="shared" si="14"/>
        <v>113873.7472969433</v>
      </c>
      <c r="AH22" s="45" t="str">
        <f t="shared" si="18"/>
        <v>-291.70604,20.79662,113874</v>
      </c>
      <c r="AI22" s="44">
        <f t="shared" si="21"/>
        <v>1115.1637199225986</v>
      </c>
    </row>
    <row r="23" spans="1:35" ht="18" customHeight="1" x14ac:dyDescent="0.25">
      <c r="A23" s="36">
        <f t="shared" si="15"/>
        <v>0.72349537037037037</v>
      </c>
      <c r="B23" s="42">
        <f t="shared" si="0"/>
        <v>21.215654064108556</v>
      </c>
      <c r="C23" s="43">
        <f t="shared" si="1"/>
        <v>68.784492651567206</v>
      </c>
      <c r="D23" s="18">
        <f t="shared" si="2"/>
        <v>116.29603252787911</v>
      </c>
      <c r="E23" s="21" t="str">
        <f t="shared" si="3"/>
        <v>Umbra</v>
      </c>
      <c r="F23" s="23">
        <f>IF($E23&lt;&gt;"Umbra",fracil2($S$2,$S$3,$S$4,$A23,$Q$2,$O$3,$Q$4,$U23,$V23,$W23),0)</f>
        <v>0</v>
      </c>
      <c r="G23" s="19">
        <f t="shared" si="4"/>
        <v>252.96035391175482</v>
      </c>
      <c r="H23" s="19">
        <f t="shared" si="5"/>
        <v>-19.260215283716001</v>
      </c>
      <c r="I23" s="19">
        <f t="shared" si="6"/>
        <v>-18.124648197570707</v>
      </c>
      <c r="J23" s="28">
        <f t="shared" si="7"/>
        <v>3.8906993473437526E-2</v>
      </c>
      <c r="K23" s="24">
        <f t="shared" si="8"/>
        <v>4547.0719202481359</v>
      </c>
      <c r="L23" s="32">
        <f t="shared" si="9"/>
        <v>1.0314474143424842E-2</v>
      </c>
      <c r="M23" s="35">
        <f t="shared" si="10"/>
        <v>-25.359285939786822</v>
      </c>
      <c r="O23" s="29">
        <f t="shared" si="11"/>
        <v>4600.1536988567368</v>
      </c>
      <c r="P23" s="44"/>
      <c r="T23" s="48">
        <v>0.72349537037037037</v>
      </c>
      <c r="U23" s="29">
        <v>3469.3759914581797</v>
      </c>
      <c r="V23" s="29">
        <v>4964.7971107847898</v>
      </c>
      <c r="W23" s="29">
        <v>2335.75426041837</v>
      </c>
      <c r="X23" s="4">
        <v>-5.4744929431928302</v>
      </c>
      <c r="Y23" s="4">
        <v>2.0137479440454098</v>
      </c>
      <c r="Z23" s="4">
        <v>4.47952820667465</v>
      </c>
      <c r="AA23" s="3">
        <f t="shared" si="16"/>
        <v>7.3546873979530236</v>
      </c>
      <c r="AB23" s="3">
        <f t="shared" si="20"/>
        <v>3.3422398437989234E-2</v>
      </c>
      <c r="AC23" s="3">
        <f t="shared" si="17"/>
        <v>7.0219348582456051</v>
      </c>
      <c r="AD23" s="48"/>
      <c r="AE23" s="46">
        <f t="shared" si="12"/>
        <v>21.215654064108556</v>
      </c>
      <c r="AF23" s="46">
        <f t="shared" si="13"/>
        <v>-291.21550734843277</v>
      </c>
      <c r="AG23" s="47">
        <f t="shared" si="14"/>
        <v>116296.03252787911</v>
      </c>
      <c r="AH23" s="45" t="str">
        <f t="shared" si="18"/>
        <v>-291.21551,21.21565,116296</v>
      </c>
      <c r="AI23" s="44">
        <f t="shared" si="21"/>
        <v>1184.1845230675146</v>
      </c>
    </row>
    <row r="24" spans="1:35" ht="18" customHeight="1" x14ac:dyDescent="0.25">
      <c r="A24" s="36">
        <f t="shared" si="15"/>
        <v>0.72361111111111109</v>
      </c>
      <c r="B24" s="42">
        <f t="shared" si="0"/>
        <v>21.632685943585891</v>
      </c>
      <c r="C24" s="43">
        <f t="shared" si="1"/>
        <v>69.277640200876917</v>
      </c>
      <c r="D24" s="18">
        <f t="shared" si="2"/>
        <v>118.6052121865423</v>
      </c>
      <c r="E24" s="21" t="str">
        <f t="shared" si="3"/>
        <v>Umbra</v>
      </c>
      <c r="F24" s="23">
        <f>IF($E24&lt;&gt;"Umbra",fracil2($S$2,$S$3,$S$4,$A24,$Q$2,$O$3,$Q$4,$U24,$V24,$W24),0)</f>
        <v>0</v>
      </c>
      <c r="G24" s="19">
        <f t="shared" si="4"/>
        <v>252.98712523902535</v>
      </c>
      <c r="H24" s="19">
        <f t="shared" si="5"/>
        <v>-18.900791841540926</v>
      </c>
      <c r="I24" s="19">
        <f t="shared" si="6"/>
        <v>-17.765224755395632</v>
      </c>
      <c r="J24" s="28">
        <f t="shared" si="7"/>
        <v>3.8901941480520959E-2</v>
      </c>
      <c r="K24" s="24">
        <f t="shared" si="8"/>
        <v>4482.8693996480088</v>
      </c>
      <c r="L24" s="32">
        <f t="shared" si="9"/>
        <v>1.1246326030115448E-2</v>
      </c>
      <c r="M24" s="35">
        <f t="shared" si="10"/>
        <v>-25.115819072274132</v>
      </c>
      <c r="O24" s="29">
        <f t="shared" si="11"/>
        <v>4531.2138936696965</v>
      </c>
      <c r="P24" s="44"/>
      <c r="T24" s="48">
        <v>0.72361111111111109</v>
      </c>
      <c r="U24" s="29">
        <v>3414.3796813169402</v>
      </c>
      <c r="V24" s="29">
        <v>4984.57231974571</v>
      </c>
      <c r="W24" s="29">
        <v>2380.3776713983302</v>
      </c>
      <c r="X24" s="4">
        <v>-5.52462651212302</v>
      </c>
      <c r="Y24" s="4">
        <v>1.9412584249943801</v>
      </c>
      <c r="Z24" s="4">
        <v>4.4450510983590403</v>
      </c>
      <c r="AA24" s="3">
        <f t="shared" si="16"/>
        <v>7.3517658856962473</v>
      </c>
      <c r="AB24" s="3">
        <f t="shared" si="20"/>
        <v>3.1788637918148469E-2</v>
      </c>
      <c r="AC24" s="3">
        <f t="shared" si="17"/>
        <v>7.018817664411352</v>
      </c>
      <c r="AD24" s="48"/>
      <c r="AE24" s="46">
        <f t="shared" si="12"/>
        <v>21.632685943585891</v>
      </c>
      <c r="AF24" s="46">
        <f t="shared" si="13"/>
        <v>-290.72235979912307</v>
      </c>
      <c r="AG24" s="47">
        <f t="shared" si="14"/>
        <v>118605.21218654231</v>
      </c>
      <c r="AH24" s="45" t="str">
        <f t="shared" si="18"/>
        <v>-290.72236,21.63269,118605</v>
      </c>
      <c r="AI24" s="44">
        <f t="shared" si="21"/>
        <v>1253.1487879558099</v>
      </c>
    </row>
    <row r="25" spans="1:35" ht="18" customHeight="1" x14ac:dyDescent="0.25">
      <c r="A25" s="36">
        <f t="shared" si="15"/>
        <v>0.72372685185185182</v>
      </c>
      <c r="B25" s="42">
        <f t="shared" si="0"/>
        <v>22.047686608796031</v>
      </c>
      <c r="C25" s="43">
        <f t="shared" si="1"/>
        <v>69.773485686914228</v>
      </c>
      <c r="D25" s="18">
        <f t="shared" si="2"/>
        <v>120.80103625578067</v>
      </c>
      <c r="E25" s="21" t="str">
        <f t="shared" si="3"/>
        <v>Umbra</v>
      </c>
      <c r="F25" s="23">
        <f>IF($E25&lt;&gt;"Umbra",fracil2($S$2,$S$3,$S$4,$A25,$Q$2,$O$3,$Q$4,$U25,$V25,$W25),0)</f>
        <v>0</v>
      </c>
      <c r="G25" s="19">
        <f t="shared" si="4"/>
        <v>253.01404787745611</v>
      </c>
      <c r="H25" s="19">
        <f t="shared" si="5"/>
        <v>-18.541418024124933</v>
      </c>
      <c r="I25" s="19">
        <f t="shared" si="6"/>
        <v>-17.40585093797964</v>
      </c>
      <c r="J25" s="28">
        <f t="shared" si="7"/>
        <v>3.8897968520864433E-2</v>
      </c>
      <c r="K25" s="24">
        <f t="shared" si="8"/>
        <v>4418.52166507936</v>
      </c>
      <c r="L25" s="32">
        <f t="shared" si="9"/>
        <v>1.217431805241212E-2</v>
      </c>
      <c r="M25" s="35">
        <f t="shared" si="10"/>
        <v>-24.871611669428429</v>
      </c>
      <c r="O25" s="29">
        <f t="shared" si="11"/>
        <v>4462.3276528233109</v>
      </c>
      <c r="P25" s="44"/>
      <c r="T25" s="48">
        <v>0.72372685185185182</v>
      </c>
      <c r="U25" s="29">
        <v>3358.8862814364297</v>
      </c>
      <c r="V25" s="29">
        <v>5003.6216015513992</v>
      </c>
      <c r="W25" s="29">
        <v>2424.6532693628901</v>
      </c>
      <c r="X25" s="4">
        <v>-5.57390742992638</v>
      </c>
      <c r="Y25" s="4">
        <v>1.8685621644016002</v>
      </c>
      <c r="Z25" s="4">
        <v>4.4099632716325994</v>
      </c>
      <c r="AA25" s="3">
        <f t="shared" si="16"/>
        <v>7.3489961666046746</v>
      </c>
      <c r="AB25" s="3">
        <f t="shared" si="20"/>
        <v>3.0184293225400501E-2</v>
      </c>
      <c r="AC25" s="3">
        <f t="shared" si="17"/>
        <v>7.0158577926176697</v>
      </c>
      <c r="AD25" s="48"/>
      <c r="AE25" s="46">
        <f t="shared" si="12"/>
        <v>22.047686608796031</v>
      </c>
      <c r="AF25" s="46">
        <f t="shared" si="13"/>
        <v>-290.22651431308577</v>
      </c>
      <c r="AG25" s="47">
        <f t="shared" si="14"/>
        <v>120801.03625578067</v>
      </c>
      <c r="AH25" s="45" t="str">
        <f t="shared" si="18"/>
        <v>-290.22651,22.04769,120801</v>
      </c>
      <c r="AI25" s="44">
        <f t="shared" si="21"/>
        <v>1322.059129100699</v>
      </c>
    </row>
    <row r="26" spans="1:35" ht="18" customHeight="1" x14ac:dyDescent="0.25">
      <c r="A26" s="36">
        <f t="shared" si="15"/>
        <v>0.72384259259259254</v>
      </c>
      <c r="B26" s="42">
        <f t="shared" si="0"/>
        <v>22.460627849527707</v>
      </c>
      <c r="C26" s="43">
        <f t="shared" si="1"/>
        <v>70.272111945499475</v>
      </c>
      <c r="D26" s="18">
        <f t="shared" si="2"/>
        <v>122.88325786494534</v>
      </c>
      <c r="E26" s="21" t="str">
        <f t="shared" si="3"/>
        <v>Umbra</v>
      </c>
      <c r="F26" s="23">
        <f>IF($E26&lt;&gt;"Umbra",fracil2($S$2,$S$3,$S$4,$A26,$Q$2,$O$3,$Q$4,$U26,$V26,$W26),0)</f>
        <v>0</v>
      </c>
      <c r="G26" s="19">
        <f t="shared" si="4"/>
        <v>253.04112357703079</v>
      </c>
      <c r="H26" s="19">
        <f t="shared" si="5"/>
        <v>-18.182083157761138</v>
      </c>
      <c r="I26" s="19">
        <f t="shared" si="6"/>
        <v>-17.046516071615844</v>
      </c>
      <c r="J26" s="28">
        <f t="shared" si="7"/>
        <v>3.8895111377111199E-2</v>
      </c>
      <c r="K26" s="24">
        <f t="shared" si="8"/>
        <v>4354.0299241994126</v>
      </c>
      <c r="L26" s="32">
        <f t="shared" si="9"/>
        <v>1.3098516106403396E-2</v>
      </c>
      <c r="M26" s="35">
        <f t="shared" si="10"/>
        <v>-24.626666543817954</v>
      </c>
      <c r="O26" s="29">
        <f t="shared" si="11"/>
        <v>4393.4924160344317</v>
      </c>
      <c r="P26" s="44"/>
      <c r="T26" s="48">
        <v>0.72384259259259254</v>
      </c>
      <c r="U26" s="29">
        <v>3302.90435592209</v>
      </c>
      <c r="V26" s="29">
        <v>5021.9429137616298</v>
      </c>
      <c r="W26" s="29">
        <v>2468.5749466185698</v>
      </c>
      <c r="X26" s="4">
        <v>-5.6223330864652201</v>
      </c>
      <c r="Y26" s="4">
        <v>1.7956667031898601</v>
      </c>
      <c r="Z26" s="4">
        <v>4.3742696989085097</v>
      </c>
      <c r="AA26" s="3">
        <f t="shared" si="16"/>
        <v>7.3463789476786054</v>
      </c>
      <c r="AB26" s="3">
        <f t="shared" si="20"/>
        <v>2.8572048650702855E-2</v>
      </c>
      <c r="AC26" s="3">
        <f t="shared" si="17"/>
        <v>7.0130560175269823</v>
      </c>
      <c r="AD26" s="48"/>
      <c r="AE26" s="46">
        <f t="shared" si="12"/>
        <v>22.460627849527707</v>
      </c>
      <c r="AF26" s="46">
        <f t="shared" si="13"/>
        <v>-289.72788805450051</v>
      </c>
      <c r="AG26" s="47">
        <f t="shared" si="14"/>
        <v>122883.25786494534</v>
      </c>
      <c r="AH26" s="45" t="str">
        <f t="shared" si="18"/>
        <v>-289.72789,22.46063,122883</v>
      </c>
      <c r="AI26" s="44">
        <f t="shared" si="21"/>
        <v>1390.9180979065709</v>
      </c>
    </row>
    <row r="27" spans="1:35" ht="18" customHeight="1" x14ac:dyDescent="0.25">
      <c r="A27" s="36">
        <f t="shared" si="15"/>
        <v>0.72395833333333337</v>
      </c>
      <c r="B27" s="42">
        <f t="shared" si="0"/>
        <v>22.87148079061194</v>
      </c>
      <c r="C27" s="43">
        <f t="shared" si="1"/>
        <v>70.77360231022277</v>
      </c>
      <c r="D27" s="18">
        <f t="shared" si="2"/>
        <v>124.85164662827538</v>
      </c>
      <c r="E27" s="21" t="str">
        <f t="shared" si="3"/>
        <v>Umbra</v>
      </c>
      <c r="F27" s="23">
        <f>IF($E27&lt;&gt;"Umbra",fracil2($S$2,$S$3,$S$4,$A27,$Q$2,$O$3,$Q$4,$U27,$V27,$W27),0)</f>
        <v>0</v>
      </c>
      <c r="G27" s="19">
        <f t="shared" si="4"/>
        <v>253.06835428043416</v>
      </c>
      <c r="H27" s="19">
        <f t="shared" si="5"/>
        <v>-17.822776108358333</v>
      </c>
      <c r="I27" s="19">
        <f t="shared" si="6"/>
        <v>-16.68720902221304</v>
      </c>
      <c r="J27" s="28">
        <f t="shared" si="7"/>
        <v>3.8893397990016947E-2</v>
      </c>
      <c r="K27" s="24">
        <f t="shared" si="8"/>
        <v>4289.3953570825279</v>
      </c>
      <c r="L27" s="32">
        <f t="shared" si="9"/>
        <v>1.4018986389626455E-2</v>
      </c>
      <c r="M27" s="35">
        <f t="shared" si="10"/>
        <v>-24.380985905351139</v>
      </c>
      <c r="O27" s="29">
        <f t="shared" si="11"/>
        <v>4324.705604595466</v>
      </c>
      <c r="P27" s="44"/>
      <c r="T27" s="48">
        <v>0.72395833333333337</v>
      </c>
      <c r="U27" s="29">
        <v>3246.4424849744</v>
      </c>
      <c r="V27" s="29">
        <v>5039.5342937817704</v>
      </c>
      <c r="W27" s="29">
        <v>2512.1366548758497</v>
      </c>
      <c r="X27" s="4">
        <v>-5.6698999244876802</v>
      </c>
      <c r="Y27" s="4">
        <v>1.72257895138141</v>
      </c>
      <c r="Z27" s="4">
        <v>4.3379742510558801</v>
      </c>
      <c r="AA27" s="3">
        <f t="shared" si="16"/>
        <v>7.3439133982006828</v>
      </c>
      <c r="AB27" s="3">
        <f t="shared" si="20"/>
        <v>2.6967612401207836E-2</v>
      </c>
      <c r="AC27" s="3">
        <f t="shared" si="17"/>
        <v>7.0104115734549177</v>
      </c>
      <c r="AD27" s="48"/>
      <c r="AE27" s="46">
        <f t="shared" si="12"/>
        <v>22.87148079061194</v>
      </c>
      <c r="AF27" s="46">
        <f t="shared" si="13"/>
        <v>-289.22639768977723</v>
      </c>
      <c r="AG27" s="47">
        <f t="shared" si="14"/>
        <v>124851.64662827537</v>
      </c>
      <c r="AH27" s="45" t="str">
        <f t="shared" si="18"/>
        <v>-289.22640,22.87148,124852</v>
      </c>
      <c r="AI27" s="44">
        <f t="shared" si="21"/>
        <v>1459.7282646397787</v>
      </c>
    </row>
    <row r="28" spans="1:35" ht="18" customHeight="1" x14ac:dyDescent="0.25">
      <c r="A28" s="36">
        <f t="shared" si="15"/>
        <v>0.72407407407407409</v>
      </c>
      <c r="B28" s="42">
        <f t="shared" si="0"/>
        <v>23.280215760331121</v>
      </c>
      <c r="C28" s="43">
        <f t="shared" si="1"/>
        <v>71.27804048852812</v>
      </c>
      <c r="D28" s="18">
        <f t="shared" si="2"/>
        <v>126.7059853804567</v>
      </c>
      <c r="E28" s="21" t="str">
        <f t="shared" si="3"/>
        <v>Umbra</v>
      </c>
      <c r="F28" s="23">
        <f>IF($E28&lt;&gt;"Umbra",fracil2($S$2,$S$3,$S$4,$A28,$Q$2,$O$3,$Q$4,$U28,$V28,$W28),0)</f>
        <v>0</v>
      </c>
      <c r="G28" s="19">
        <f t="shared" si="4"/>
        <v>253.09574212874122</v>
      </c>
      <c r="H28" s="19">
        <f t="shared" si="5"/>
        <v>-17.46348537591096</v>
      </c>
      <c r="I28" s="19">
        <f t="shared" si="6"/>
        <v>-16.327918289765666</v>
      </c>
      <c r="J28" s="28">
        <f t="shared" si="7"/>
        <v>3.8892855395678549E-2</v>
      </c>
      <c r="K28" s="24">
        <f t="shared" si="8"/>
        <v>4224.6191317187486</v>
      </c>
      <c r="L28" s="32">
        <f t="shared" si="9"/>
        <v>1.4935795148973629E-2</v>
      </c>
      <c r="M28" s="35">
        <f t="shared" si="10"/>
        <v>-24.134571416798519</v>
      </c>
      <c r="O28" s="29">
        <f t="shared" si="11"/>
        <v>4255.9646386173663</v>
      </c>
      <c r="P28" s="44"/>
      <c r="T28" s="48">
        <v>0.72407407407407409</v>
      </c>
      <c r="U28" s="29">
        <v>3189.5092761246201</v>
      </c>
      <c r="V28" s="29">
        <v>5056.3938519836092</v>
      </c>
      <c r="W28" s="29">
        <v>2555.3323927213501</v>
      </c>
      <c r="X28" s="4">
        <v>-5.7166041844581992</v>
      </c>
      <c r="Y28" s="4">
        <v>1.64930563634807</v>
      </c>
      <c r="Z28" s="4">
        <v>4.3010805232828293</v>
      </c>
      <c r="AA28" s="3">
        <f t="shared" si="16"/>
        <v>7.3415983376658112</v>
      </c>
      <c r="AB28" s="3">
        <f t="shared" si="20"/>
        <v>2.5374562825062556E-2</v>
      </c>
      <c r="AC28" s="3">
        <f t="shared" si="17"/>
        <v>7.0079233438242925</v>
      </c>
      <c r="AD28" s="48"/>
      <c r="AE28" s="46">
        <f t="shared" si="12"/>
        <v>23.280215760331121</v>
      </c>
      <c r="AF28" s="46">
        <f t="shared" si="13"/>
        <v>-288.72195951147188</v>
      </c>
      <c r="AG28" s="47">
        <f t="shared" si="14"/>
        <v>126705.9853804567</v>
      </c>
      <c r="AH28" s="45" t="str">
        <f t="shared" si="18"/>
        <v>-288.72196,23.28022,126706</v>
      </c>
      <c r="AI28" s="44">
        <f t="shared" si="21"/>
        <v>1528.4922011855226</v>
      </c>
    </row>
    <row r="29" spans="1:35" ht="18" customHeight="1" x14ac:dyDescent="0.25">
      <c r="A29" s="36">
        <f t="shared" si="15"/>
        <v>0.72418981481481481</v>
      </c>
      <c r="B29" s="42">
        <f t="shared" si="0"/>
        <v>23.686802264705349</v>
      </c>
      <c r="C29" s="43">
        <f t="shared" si="1"/>
        <v>71.785510559850778</v>
      </c>
      <c r="D29" s="18">
        <f t="shared" si="2"/>
        <v>128.44607005869966</v>
      </c>
      <c r="E29" s="21" t="str">
        <f t="shared" si="3"/>
        <v>Umbra</v>
      </c>
      <c r="F29" s="23">
        <f>IF($E29&lt;&gt;"Umbra",fracil2($S$2,$S$3,$S$4,$A29,$Q$2,$O$3,$Q$4,$U29,$V29,$W29),0)</f>
        <v>0</v>
      </c>
      <c r="G29" s="19">
        <f t="shared" si="4"/>
        <v>253.12328947588483</v>
      </c>
      <c r="H29" s="19">
        <f t="shared" si="5"/>
        <v>-17.104199065789103</v>
      </c>
      <c r="I29" s="19">
        <f t="shared" si="6"/>
        <v>-15.96863197964381</v>
      </c>
      <c r="J29" s="28">
        <f t="shared" si="7"/>
        <v>3.8893510035287869E-2</v>
      </c>
      <c r="K29" s="24">
        <f t="shared" si="8"/>
        <v>4159.7024042528265</v>
      </c>
      <c r="L29" s="32">
        <f t="shared" si="9"/>
        <v>1.5849008708676594E-2</v>
      </c>
      <c r="M29" s="35">
        <f t="shared" si="10"/>
        <v>-23.88742416612023</v>
      </c>
      <c r="O29" s="29">
        <f t="shared" si="11"/>
        <v>4187.2669368283705</v>
      </c>
      <c r="P29" s="44"/>
      <c r="T29" s="48">
        <v>0.72418981481481481</v>
      </c>
      <c r="U29" s="29">
        <v>3132.1133639406398</v>
      </c>
      <c r="V29" s="29">
        <v>5072.5197712068002</v>
      </c>
      <c r="W29" s="29">
        <v>2598.1562053703897</v>
      </c>
      <c r="X29" s="4">
        <v>-5.7624419218770599</v>
      </c>
      <c r="Y29" s="4">
        <v>1.5758533271564299</v>
      </c>
      <c r="Z29" s="4">
        <v>4.2635918668368902</v>
      </c>
      <c r="AA29" s="3">
        <f t="shared" si="16"/>
        <v>7.3394322817690645</v>
      </c>
      <c r="AB29" s="3">
        <f t="shared" si="20"/>
        <v>2.3796008680057212E-2</v>
      </c>
      <c r="AC29" s="3">
        <f t="shared" si="17"/>
        <v>7.0055899072131265</v>
      </c>
      <c r="AD29" s="48"/>
      <c r="AE29" s="46">
        <f t="shared" si="12"/>
        <v>23.686802264705349</v>
      </c>
      <c r="AF29" s="46">
        <f t="shared" si="13"/>
        <v>-288.21448944014924</v>
      </c>
      <c r="AG29" s="47">
        <f t="shared" si="14"/>
        <v>128446.07005869967</v>
      </c>
      <c r="AH29" s="45" t="str">
        <f t="shared" si="18"/>
        <v>-288.21449,23.68680,128446</v>
      </c>
      <c r="AI29" s="44">
        <f t="shared" si="21"/>
        <v>1597.2124812562565</v>
      </c>
    </row>
    <row r="30" spans="1:35" ht="18" customHeight="1" x14ac:dyDescent="0.25">
      <c r="A30" s="36">
        <f t="shared" si="15"/>
        <v>0.72430555555555554</v>
      </c>
      <c r="B30" s="42">
        <f t="shared" si="0"/>
        <v>24.091208938228181</v>
      </c>
      <c r="C30" s="43">
        <f t="shared" si="1"/>
        <v>72.296096942141176</v>
      </c>
      <c r="D30" s="18">
        <f t="shared" si="2"/>
        <v>130.07170873388804</v>
      </c>
      <c r="E30" s="21" t="str">
        <f t="shared" si="3"/>
        <v>Umbra</v>
      </c>
      <c r="F30" s="23">
        <f>IF($E30&lt;&gt;"Umbra",fracil2($S$2,$S$3,$S$4,$A30,$Q$2,$O$3,$Q$4,$U30,$V30,$W30),0)</f>
        <v>0</v>
      </c>
      <c r="G30" s="19">
        <f t="shared" si="4"/>
        <v>253.15099890275175</v>
      </c>
      <c r="H30" s="19">
        <f t="shared" si="5"/>
        <v>-16.744904887942315</v>
      </c>
      <c r="I30" s="19">
        <f t="shared" si="6"/>
        <v>-15.609337801797022</v>
      </c>
      <c r="J30" s="28">
        <f t="shared" si="7"/>
        <v>3.8895389941567014E-2</v>
      </c>
      <c r="K30" s="24">
        <f t="shared" si="8"/>
        <v>4094.6463227220615</v>
      </c>
      <c r="L30" s="32">
        <f t="shared" si="9"/>
        <v>1.6758693432829215E-2</v>
      </c>
      <c r="M30" s="35">
        <f t="shared" si="10"/>
        <v>-23.639544656608013</v>
      </c>
      <c r="O30" s="29">
        <f t="shared" si="11"/>
        <v>4118.6099203329568</v>
      </c>
      <c r="P30" s="44"/>
      <c r="T30" s="48">
        <v>0.72430555555555554</v>
      </c>
      <c r="U30" s="29">
        <v>3074.26341252567</v>
      </c>
      <c r="V30" s="29">
        <v>5087.91030494812</v>
      </c>
      <c r="W30" s="29">
        <v>2640.6021816544899</v>
      </c>
      <c r="X30" s="4">
        <v>-5.8074091883285801</v>
      </c>
      <c r="Y30" s="4">
        <v>1.50222854200127</v>
      </c>
      <c r="Z30" s="4">
        <v>4.2255115882248102</v>
      </c>
      <c r="AA30" s="3">
        <f t="shared" si="16"/>
        <v>7.3374137306893523</v>
      </c>
      <c r="AB30" s="3">
        <f t="shared" si="20"/>
        <v>2.2232115033869029E-2</v>
      </c>
      <c r="AC30" s="3">
        <f t="shared" si="17"/>
        <v>7.0034098260129056</v>
      </c>
      <c r="AD30" s="48"/>
      <c r="AE30" s="46">
        <f t="shared" si="12"/>
        <v>24.091208938228181</v>
      </c>
      <c r="AF30" s="46">
        <f t="shared" si="13"/>
        <v>-287.70390305785884</v>
      </c>
      <c r="AG30" s="47">
        <f t="shared" si="14"/>
        <v>130071.70873388805</v>
      </c>
      <c r="AH30" s="45" t="str">
        <f t="shared" si="18"/>
        <v>-287.70390,24.09121,130072</v>
      </c>
      <c r="AI30" s="44">
        <f t="shared" si="21"/>
        <v>1665.8916766380241</v>
      </c>
    </row>
    <row r="31" spans="1:35" ht="18" customHeight="1" x14ac:dyDescent="0.25">
      <c r="A31" s="36">
        <f t="shared" si="15"/>
        <v>0.72442129629629626</v>
      </c>
      <c r="B31" s="42">
        <f t="shared" si="0"/>
        <v>24.493403482322563</v>
      </c>
      <c r="C31" s="43">
        <f t="shared" si="1"/>
        <v>72.8098843386786</v>
      </c>
      <c r="D31" s="18">
        <f t="shared" si="2"/>
        <v>131.58271988391516</v>
      </c>
      <c r="E31" s="21" t="str">
        <f t="shared" si="3"/>
        <v>Umbra</v>
      </c>
      <c r="F31" s="23">
        <f>IF($E31&lt;&gt;"Umbra",fracil2($S$2,$S$3,$S$4,$A31,$Q$2,$O$3,$Q$4,$U31,$V31,$W31),0)</f>
        <v>0</v>
      </c>
      <c r="G31" s="19">
        <f t="shared" si="4"/>
        <v>253.17887323169927</v>
      </c>
      <c r="H31" s="19">
        <f t="shared" si="5"/>
        <v>-16.385590175528144</v>
      </c>
      <c r="I31" s="19">
        <f t="shared" si="6"/>
        <v>-15.25002308938285</v>
      </c>
      <c r="J31" s="28">
        <f t="shared" si="7"/>
        <v>3.8898528294527765E-2</v>
      </c>
      <c r="K31" s="24">
        <f t="shared" si="8"/>
        <v>4029.4520326871193</v>
      </c>
      <c r="L31" s="32">
        <f t="shared" si="9"/>
        <v>1.7664915642627448E-2</v>
      </c>
      <c r="M31" s="35">
        <f t="shared" si="10"/>
        <v>-23.390932809200976</v>
      </c>
      <c r="O31" s="29">
        <f t="shared" si="11"/>
        <v>4049.991018542757</v>
      </c>
      <c r="P31" s="44"/>
      <c r="T31" s="48">
        <v>0.72442129629629626</v>
      </c>
      <c r="U31" s="29">
        <v>3015.9681196179704</v>
      </c>
      <c r="V31" s="29">
        <v>5102.5637748297795</v>
      </c>
      <c r="W31" s="29">
        <v>2682.66444945184</v>
      </c>
      <c r="X31" s="4">
        <v>-5.8515023035647502</v>
      </c>
      <c r="Y31" s="4">
        <v>1.42843790083653</v>
      </c>
      <c r="Z31" s="4">
        <v>4.1868432406462901</v>
      </c>
      <c r="AA31" s="3">
        <f t="shared" si="16"/>
        <v>7.3355415864757649</v>
      </c>
      <c r="AB31" s="3">
        <f t="shared" si="20"/>
        <v>2.0678784824333763E-2</v>
      </c>
      <c r="AC31" s="3">
        <f t="shared" si="17"/>
        <v>7.0013820643730318</v>
      </c>
      <c r="AD31" s="48"/>
      <c r="AE31" s="46">
        <f t="shared" si="12"/>
        <v>24.493403482322563</v>
      </c>
      <c r="AF31" s="46">
        <f t="shared" si="13"/>
        <v>-287.19011566132139</v>
      </c>
      <c r="AG31" s="47">
        <f t="shared" si="14"/>
        <v>131582.71988391515</v>
      </c>
      <c r="AH31" s="45" t="str">
        <f t="shared" si="18"/>
        <v>-287.19012,24.49340,131583</v>
      </c>
      <c r="AI31" s="44">
        <f t="shared" si="21"/>
        <v>1734.5323512631862</v>
      </c>
    </row>
    <row r="32" spans="1:35" ht="18" customHeight="1" x14ac:dyDescent="0.25">
      <c r="A32" s="36">
        <f t="shared" si="15"/>
        <v>0.72453703703703709</v>
      </c>
      <c r="B32" s="42">
        <f t="shared" si="0"/>
        <v>24.89335260230532</v>
      </c>
      <c r="C32" s="43">
        <f t="shared" si="1"/>
        <v>73.326957677546787</v>
      </c>
      <c r="D32" s="18">
        <f t="shared" si="2"/>
        <v>132.97893016380112</v>
      </c>
      <c r="E32" s="21" t="str">
        <f t="shared" si="3"/>
        <v>Umbra</v>
      </c>
      <c r="F32" s="23">
        <f>IF($E32&lt;&gt;"Umbra",fracil2($S$2,$S$3,$S$4,$A32,$Q$2,$O$3,$Q$4,$U32,$V32,$W32),0)</f>
        <v>0</v>
      </c>
      <c r="G32" s="19">
        <f t="shared" si="4"/>
        <v>253.20691554231729</v>
      </c>
      <c r="H32" s="19">
        <f t="shared" si="5"/>
        <v>-16.026241912130924</v>
      </c>
      <c r="I32" s="19">
        <f t="shared" si="6"/>
        <v>-14.890674825985631</v>
      </c>
      <c r="J32" s="28">
        <f t="shared" si="7"/>
        <v>3.8902967703055569E-2</v>
      </c>
      <c r="K32" s="24">
        <f t="shared" si="8"/>
        <v>3964.1206831926215</v>
      </c>
      <c r="L32" s="32">
        <f t="shared" si="9"/>
        <v>1.8567741513090267E-2</v>
      </c>
      <c r="M32" s="35">
        <f t="shared" si="10"/>
        <v>-23.141587969684039</v>
      </c>
      <c r="O32" s="29">
        <f t="shared" si="11"/>
        <v>3981.4076755131423</v>
      </c>
      <c r="P32" s="44"/>
      <c r="T32" s="48">
        <v>0.72453703703703709</v>
      </c>
      <c r="U32" s="29">
        <v>2957.2362210961801</v>
      </c>
      <c r="V32" s="29">
        <v>5116.4785679400202</v>
      </c>
      <c r="W32" s="29">
        <v>2724.3371707692099</v>
      </c>
      <c r="X32" s="4">
        <v>-5.8947181459325204</v>
      </c>
      <c r="Y32" s="4">
        <v>1.35448828530856</v>
      </c>
      <c r="Z32" s="4">
        <v>4.14759093233641</v>
      </c>
      <c r="AA32" s="3">
        <f t="shared" si="16"/>
        <v>7.3338155878794407</v>
      </c>
      <c r="AB32" s="3">
        <f t="shared" si="20"/>
        <v>1.9127480602533543E-2</v>
      </c>
      <c r="AC32" s="3">
        <f t="shared" si="17"/>
        <v>6.9995064236251459</v>
      </c>
      <c r="AD32" s="48"/>
      <c r="AE32" s="46">
        <f t="shared" si="12"/>
        <v>24.89335260230532</v>
      </c>
      <c r="AF32" s="46">
        <f t="shared" si="13"/>
        <v>-286.67304232245323</v>
      </c>
      <c r="AG32" s="47">
        <f t="shared" si="14"/>
        <v>132978.93016380112</v>
      </c>
      <c r="AH32" s="45" t="str">
        <f t="shared" si="18"/>
        <v>-286.67304,24.89335,132979</v>
      </c>
      <c r="AI32" s="44">
        <f t="shared" si="21"/>
        <v>1803.1370548778893</v>
      </c>
    </row>
    <row r="33" spans="1:35" ht="18" customHeight="1" x14ac:dyDescent="0.25">
      <c r="A33" s="36">
        <f t="shared" si="15"/>
        <v>0.72465277777777781</v>
      </c>
      <c r="B33" s="42">
        <f t="shared" si="0"/>
        <v>25.291021953087579</v>
      </c>
      <c r="C33" s="43">
        <f t="shared" si="1"/>
        <v>73.847402056402203</v>
      </c>
      <c r="D33" s="18">
        <f t="shared" si="2"/>
        <v>134.26017208627218</v>
      </c>
      <c r="E33" s="21" t="str">
        <f t="shared" si="3"/>
        <v>Umbra</v>
      </c>
      <c r="F33" s="23">
        <f>IF($E33&lt;&gt;"Umbra",fracil2($S$2,$S$3,$S$4,$A33,$Q$2,$O$3,$Q$4,$U33,$V33,$W33),0)</f>
        <v>0</v>
      </c>
      <c r="G33" s="19">
        <f t="shared" si="4"/>
        <v>253.2351291895009</v>
      </c>
      <c r="H33" s="19">
        <f t="shared" si="5"/>
        <v>-15.666846754141275</v>
      </c>
      <c r="I33" s="19">
        <f t="shared" si="6"/>
        <v>-14.531279667995982</v>
      </c>
      <c r="J33" s="28">
        <f t="shared" si="7"/>
        <v>3.8908764413474115E-2</v>
      </c>
      <c r="K33" s="24">
        <f t="shared" si="8"/>
        <v>3898.653431555259</v>
      </c>
      <c r="L33" s="32">
        <f t="shared" si="9"/>
        <v>1.9467236978923698E-2</v>
      </c>
      <c r="M33" s="35">
        <f t="shared" si="10"/>
        <v>-22.891508911492707</v>
      </c>
      <c r="O33" s="29">
        <f t="shared" si="11"/>
        <v>3912.8573549650328</v>
      </c>
      <c r="P33" s="44"/>
      <c r="T33" s="48">
        <v>0.72465277777777781</v>
      </c>
      <c r="U33" s="29">
        <v>2898.07649470155</v>
      </c>
      <c r="V33" s="29">
        <v>5129.6531346351003</v>
      </c>
      <c r="W33" s="29">
        <v>2765.6145376832501</v>
      </c>
      <c r="X33" s="4">
        <v>-5.9370543884503402</v>
      </c>
      <c r="Y33" s="4">
        <v>1.2803869681048601</v>
      </c>
      <c r="Z33" s="4">
        <v>4.1077595765113806</v>
      </c>
      <c r="AA33" s="3">
        <f t="shared" si="16"/>
        <v>7.3322366531591943</v>
      </c>
      <c r="AB33" s="3">
        <f t="shared" si="20"/>
        <v>1.7566164275029033E-2</v>
      </c>
      <c r="AC33" s="3">
        <f t="shared" si="17"/>
        <v>6.9977838855563368</v>
      </c>
      <c r="AD33" s="48"/>
      <c r="AE33" s="46">
        <f t="shared" si="12"/>
        <v>25.291021953087579</v>
      </c>
      <c r="AF33" s="46">
        <f t="shared" si="13"/>
        <v>-286.15259794359781</v>
      </c>
      <c r="AG33" s="47">
        <f t="shared" si="14"/>
        <v>134260.17208627218</v>
      </c>
      <c r="AH33" s="45" t="str">
        <f t="shared" si="18"/>
        <v>-286.15260,25.29102,134260</v>
      </c>
      <c r="AI33" s="44">
        <f t="shared" si="21"/>
        <v>1871.7083180233742</v>
      </c>
    </row>
    <row r="34" spans="1:35" ht="18" customHeight="1" x14ac:dyDescent="0.25">
      <c r="A34" s="36">
        <f t="shared" si="15"/>
        <v>0.72476851851851853</v>
      </c>
      <c r="B34" s="42">
        <f t="shared" si="0"/>
        <v>25.6863761032163</v>
      </c>
      <c r="C34" s="43">
        <f t="shared" si="1"/>
        <v>74.371302705649441</v>
      </c>
      <c r="D34" s="18">
        <f t="shared" si="2"/>
        <v>135.4262821843804</v>
      </c>
      <c r="E34" s="21" t="str">
        <f t="shared" si="3"/>
        <v>Umbra</v>
      </c>
      <c r="F34" s="23">
        <f>IF($E34&lt;&gt;"Umbra",fracil2($S$2,$S$3,$S$4,$A34,$Q$2,$O$3,$Q$4,$U34,$V34,$W34),0)</f>
        <v>0</v>
      </c>
      <c r="G34" s="19">
        <f t="shared" si="4"/>
        <v>253.26351782495155</v>
      </c>
      <c r="H34" s="19">
        <f t="shared" si="5"/>
        <v>-15.307391031770448</v>
      </c>
      <c r="I34" s="19">
        <f t="shared" si="6"/>
        <v>-14.171823945625155</v>
      </c>
      <c r="J34" s="28">
        <f t="shared" si="7"/>
        <v>3.8915991468407039E-2</v>
      </c>
      <c r="K34" s="24">
        <f t="shared" si="8"/>
        <v>3833.0514455233147</v>
      </c>
      <c r="L34" s="32">
        <f t="shared" si="9"/>
        <v>2.0363467685328124E-2</v>
      </c>
      <c r="M34" s="35">
        <f t="shared" si="10"/>
        <v>-22.640693822653382</v>
      </c>
      <c r="O34" s="29">
        <f t="shared" si="11"/>
        <v>3844.337542305047</v>
      </c>
      <c r="P34" s="44"/>
      <c r="T34" s="48">
        <v>0.72476851851851853</v>
      </c>
      <c r="U34" s="29">
        <v>2838.4977617784702</v>
      </c>
      <c r="V34" s="29">
        <v>5142.0859873980698</v>
      </c>
      <c r="W34" s="29">
        <v>2806.4907703496401</v>
      </c>
      <c r="X34" s="4">
        <v>-5.9785096078432494</v>
      </c>
      <c r="Y34" s="4">
        <v>1.2061416738194701</v>
      </c>
      <c r="Z34" s="4">
        <v>4.0673550076122105</v>
      </c>
      <c r="AA34" s="3">
        <f t="shared" si="16"/>
        <v>7.3308070242195162</v>
      </c>
      <c r="AB34" s="3">
        <f t="shared" si="20"/>
        <v>1.598132599845202E-2</v>
      </c>
      <c r="AC34" s="3">
        <f t="shared" si="17"/>
        <v>6.9962167567289288</v>
      </c>
      <c r="AD34" s="48"/>
      <c r="AE34" s="46">
        <f t="shared" si="12"/>
        <v>25.6863761032163</v>
      </c>
      <c r="AF34" s="46">
        <f t="shared" si="13"/>
        <v>-285.62869729435056</v>
      </c>
      <c r="AG34" s="47">
        <f t="shared" si="14"/>
        <v>135426.2821843804</v>
      </c>
      <c r="AH34" s="45" t="str">
        <f t="shared" si="18"/>
        <v>-285.62870,25.68638,135426</v>
      </c>
      <c r="AI34" s="44">
        <f t="shared" si="21"/>
        <v>1940.2486500216612</v>
      </c>
    </row>
    <row r="35" spans="1:35" ht="18" customHeight="1" x14ac:dyDescent="0.25">
      <c r="A35" s="36">
        <f t="shared" si="15"/>
        <v>0.72488425925925926</v>
      </c>
      <c r="B35" s="42">
        <f t="shared" si="0"/>
        <v>26.079378526166956</v>
      </c>
      <c r="C35" s="43">
        <f t="shared" si="1"/>
        <v>74.898744983446079</v>
      </c>
      <c r="D35" s="18">
        <f t="shared" si="2"/>
        <v>136.4771003819842</v>
      </c>
      <c r="E35" s="21" t="str">
        <f t="shared" si="3"/>
        <v>Umbra</v>
      </c>
      <c r="F35" s="23">
        <f>IF($E35&lt;&gt;"Umbra",fracil2($S$2,$S$3,$S$4,$A35,$Q$2,$O$3,$Q$4,$U35,$V35,$W35),0)</f>
        <v>0</v>
      </c>
      <c r="G35" s="19">
        <f t="shared" si="4"/>
        <v>253.29208542345339</v>
      </c>
      <c r="H35" s="19">
        <f t="shared" si="5"/>
        <v>-14.947860708686269</v>
      </c>
      <c r="I35" s="19">
        <f t="shared" si="6"/>
        <v>-13.812293622540976</v>
      </c>
      <c r="J35" s="28">
        <f t="shared" si="7"/>
        <v>3.8924739634845447E-2</v>
      </c>
      <c r="K35" s="24">
        <f t="shared" si="8"/>
        <v>3767.3159014121538</v>
      </c>
      <c r="L35" s="32">
        <f t="shared" si="9"/>
        <v>2.1256499025902476E-2</v>
      </c>
      <c r="M35" s="35">
        <f t="shared" si="10"/>
        <v>-22.389140262782487</v>
      </c>
      <c r="O35" s="29">
        <f t="shared" si="11"/>
        <v>3775.8457420105101</v>
      </c>
      <c r="P35" s="44"/>
      <c r="T35" s="48">
        <v>0.72488425925925926</v>
      </c>
      <c r="U35" s="29">
        <v>2778.5088858448098</v>
      </c>
      <c r="V35" s="29">
        <v>5153.7757013431701</v>
      </c>
      <c r="W35" s="29">
        <v>2846.9601182881397</v>
      </c>
      <c r="X35" s="4">
        <v>-6.0190831938422802</v>
      </c>
      <c r="Y35" s="4">
        <v>1.13176053344811</v>
      </c>
      <c r="Z35" s="4">
        <v>4.0263838885409902</v>
      </c>
      <c r="AA35" s="3">
        <f t="shared" si="16"/>
        <v>7.3295301089065594</v>
      </c>
      <c r="AB35" s="3">
        <f t="shared" si="20"/>
        <v>1.4361066800266414E-2</v>
      </c>
      <c r="AC35" s="3">
        <f t="shared" si="17"/>
        <v>6.9948085105184949</v>
      </c>
      <c r="AD35" s="48"/>
      <c r="AE35" s="46">
        <f t="shared" si="12"/>
        <v>26.079378526166956</v>
      </c>
      <c r="AF35" s="46">
        <f t="shared" si="13"/>
        <v>-285.10125501655392</v>
      </c>
      <c r="AG35" s="47">
        <f t="shared" si="14"/>
        <v>136477.1003819842</v>
      </c>
      <c r="AH35" s="45" t="str">
        <f t="shared" si="18"/>
        <v>-285.10126,26.07938,136477</v>
      </c>
      <c r="AI35" s="44">
        <f t="shared" si="21"/>
        <v>2008.7605415968012</v>
      </c>
    </row>
    <row r="36" spans="1:35" ht="18" customHeight="1" x14ac:dyDescent="0.25">
      <c r="A36" s="36">
        <f t="shared" si="15"/>
        <v>0.72499999999999998</v>
      </c>
      <c r="B36" s="42">
        <f t="shared" si="0"/>
        <v>26.469991627039406</v>
      </c>
      <c r="C36" s="43">
        <f t="shared" si="1"/>
        <v>75.429814416294263</v>
      </c>
      <c r="D36" s="18">
        <f t="shared" si="2"/>
        <v>137.41247145085981</v>
      </c>
      <c r="E36" s="21" t="str">
        <f t="shared" si="3"/>
        <v>Umbra</v>
      </c>
      <c r="F36" s="23">
        <f>IF($E36&lt;&gt;"Umbra",fracil2($S$2,$S$3,$S$4,$A36,$Q$2,$O$3,$Q$4,$U36,$V36,$W36),0)</f>
        <v>0</v>
      </c>
      <c r="G36" s="19">
        <f t="shared" si="4"/>
        <v>253.32083631550296</v>
      </c>
      <c r="H36" s="19">
        <f t="shared" si="5"/>
        <v>-14.588241276178055</v>
      </c>
      <c r="I36" s="19">
        <f t="shared" si="6"/>
        <v>-13.452674190032761</v>
      </c>
      <c r="J36" s="28">
        <f t="shared" si="7"/>
        <v>3.8935114684623719E-2</v>
      </c>
      <c r="K36" s="24">
        <f t="shared" si="8"/>
        <v>3701.4479768807378</v>
      </c>
      <c r="L36" s="32">
        <f t="shared" si="9"/>
        <v>2.2146396317771506E-2</v>
      </c>
      <c r="M36" s="35">
        <f t="shared" si="10"/>
        <v>-22.136845073050686</v>
      </c>
      <c r="O36" s="29">
        <f t="shared" si="11"/>
        <v>3707.3794688023577</v>
      </c>
      <c r="P36" s="44"/>
      <c r="T36" s="48">
        <v>0.72499999999999998</v>
      </c>
      <c r="U36" s="29">
        <v>2718.11876679636</v>
      </c>
      <c r="V36" s="29">
        <v>5164.7209169595499</v>
      </c>
      <c r="W36" s="29">
        <v>2887.0168661519097</v>
      </c>
      <c r="X36" s="4">
        <v>-6.0587749860561102</v>
      </c>
      <c r="Y36" s="4">
        <v>1.0572518946178999</v>
      </c>
      <c r="Z36" s="4">
        <v>3.98485333358449</v>
      </c>
      <c r="AA36" s="3">
        <f t="shared" si="16"/>
        <v>7.3284099223850587</v>
      </c>
      <c r="AB36" s="3">
        <f t="shared" si="20"/>
        <v>1.2699192983877571E-2</v>
      </c>
      <c r="AC36" s="3">
        <f t="shared" si="17"/>
        <v>6.9935632276544961</v>
      </c>
      <c r="AD36" s="48"/>
      <c r="AE36" s="46">
        <f t="shared" si="12"/>
        <v>26.469991627039406</v>
      </c>
      <c r="AF36" s="46">
        <f t="shared" si="13"/>
        <v>-284.57018558370572</v>
      </c>
      <c r="AG36" s="47">
        <f t="shared" si="14"/>
        <v>137412.4714508598</v>
      </c>
      <c r="AH36" s="45" t="str">
        <f t="shared" si="18"/>
        <v>-284.57019,26.46999,137412</v>
      </c>
      <c r="AI36" s="44">
        <f t="shared" si="21"/>
        <v>2077.2464737118285</v>
      </c>
    </row>
    <row r="37" spans="1:35" ht="18" customHeight="1" x14ac:dyDescent="0.25">
      <c r="A37" s="36">
        <f t="shared" si="15"/>
        <v>0.7251157407407407</v>
      </c>
      <c r="B37" s="42">
        <f t="shared" si="0"/>
        <v>26.858176811985174</v>
      </c>
      <c r="C37" s="43">
        <f t="shared" si="1"/>
        <v>75.964596799349991</v>
      </c>
      <c r="D37" s="18">
        <f t="shared" si="2"/>
        <v>138.23224958219998</v>
      </c>
      <c r="E37" s="21" t="str">
        <f t="shared" si="3"/>
        <v>Umbra</v>
      </c>
      <c r="F37" s="23">
        <f>IF($E37&lt;&gt;"Umbra",fracil2($S$2,$S$3,$S$4,$A37,$Q$2,$O$3,$Q$4,$U37,$V37,$W37),0)</f>
        <v>0</v>
      </c>
      <c r="G37" s="19">
        <f t="shared" si="4"/>
        <v>253.34977522807594</v>
      </c>
      <c r="H37" s="19">
        <f t="shared" si="5"/>
        <v>-14.228517553005746</v>
      </c>
      <c r="I37" s="19">
        <f t="shared" si="6"/>
        <v>-13.092950466860453</v>
      </c>
      <c r="J37" s="28">
        <f t="shared" si="7"/>
        <v>3.894722933769286E-2</v>
      </c>
      <c r="K37" s="24">
        <f t="shared" si="8"/>
        <v>3635.448837072382</v>
      </c>
      <c r="L37" s="32">
        <f t="shared" si="9"/>
        <v>2.3033225172861379E-2</v>
      </c>
      <c r="M37" s="35">
        <f t="shared" si="10"/>
        <v>-21.883804218544736</v>
      </c>
      <c r="O37" s="29">
        <f t="shared" si="11"/>
        <v>3638.9362310871097</v>
      </c>
      <c r="P37" s="44"/>
      <c r="T37" s="48">
        <v>0.7251157407407407</v>
      </c>
      <c r="U37" s="29">
        <v>2657.3363295538702</v>
      </c>
      <c r="V37" s="29">
        <v>5174.92034568502</v>
      </c>
      <c r="W37" s="29">
        <v>2926.6553451891996</v>
      </c>
      <c r="X37" s="4">
        <v>-6.0975845657221495</v>
      </c>
      <c r="Y37" s="4">
        <v>0.98262394966115907</v>
      </c>
      <c r="Z37" s="4">
        <v>3.9427701717195602</v>
      </c>
      <c r="AA37" s="3">
        <f t="shared" si="16"/>
        <v>7.3274500332368122</v>
      </c>
      <c r="AB37" s="3">
        <f t="shared" si="20"/>
        <v>1.1000273960710747E-2</v>
      </c>
      <c r="AC37" s="3">
        <f t="shared" si="17"/>
        <v>6.992484540789909</v>
      </c>
      <c r="AD37" s="48"/>
      <c r="AE37" s="46">
        <f t="shared" si="12"/>
        <v>26.858176811985174</v>
      </c>
      <c r="AF37" s="46">
        <f t="shared" si="13"/>
        <v>-284.03540320065002</v>
      </c>
      <c r="AG37" s="47">
        <f t="shared" si="14"/>
        <v>138232.24958219999</v>
      </c>
      <c r="AH37" s="45" t="str">
        <f t="shared" si="18"/>
        <v>-284.03540,26.85818,138232</v>
      </c>
      <c r="AI37" s="44">
        <f t="shared" si="21"/>
        <v>2145.7089341404912</v>
      </c>
    </row>
    <row r="38" spans="1:35" ht="18" customHeight="1" x14ac:dyDescent="0.25">
      <c r="A38" s="36">
        <f t="shared" si="15"/>
        <v>0.72523148148148153</v>
      </c>
      <c r="B38" s="42">
        <f t="shared" si="0"/>
        <v>27.243894606808084</v>
      </c>
      <c r="C38" s="43">
        <f t="shared" si="1"/>
        <v>76.503178370866749</v>
      </c>
      <c r="D38" s="18">
        <f t="shared" si="2"/>
        <v>138.9363072472479</v>
      </c>
      <c r="E38" s="21" t="str">
        <f t="shared" si="3"/>
        <v>Umbra</v>
      </c>
      <c r="F38" s="23">
        <f>IF($E38&lt;&gt;"Umbra",fracil2($S$2,$S$3,$S$4,$A38,$Q$2,$O$3,$Q$4,$U38,$V38,$W38),0)</f>
        <v>0</v>
      </c>
      <c r="G38" s="19">
        <f t="shared" si="4"/>
        <v>253.37890733563222</v>
      </c>
      <c r="H38" s="19">
        <f t="shared" si="5"/>
        <v>-13.868673356549708</v>
      </c>
      <c r="I38" s="19">
        <f t="shared" si="6"/>
        <v>-12.733106270404415</v>
      </c>
      <c r="J38" s="28">
        <f t="shared" si="7"/>
        <v>3.8961187861778226E-2</v>
      </c>
      <c r="K38" s="24">
        <f t="shared" si="8"/>
        <v>3569.3196129083726</v>
      </c>
      <c r="L38" s="32">
        <f t="shared" si="9"/>
        <v>2.3917052134842912E-2</v>
      </c>
      <c r="M38" s="35">
        <f t="shared" si="10"/>
        <v>-21.630012538361047</v>
      </c>
      <c r="O38" s="29">
        <f t="shared" si="11"/>
        <v>3570.5135052185065</v>
      </c>
      <c r="P38" s="44"/>
      <c r="Q38" s="4"/>
      <c r="T38" s="48">
        <v>0.72523148148148153</v>
      </c>
      <c r="U38" s="29">
        <v>2596.1705059570199</v>
      </c>
      <c r="V38" s="29">
        <v>5184.3727789033001</v>
      </c>
      <c r="W38" s="29">
        <v>2965.8699516057104</v>
      </c>
      <c r="X38" s="4">
        <v>-6.13551012964456</v>
      </c>
      <c r="Y38" s="4">
        <v>0.90788414363804704</v>
      </c>
      <c r="Z38" s="4">
        <v>3.9001397749951896</v>
      </c>
      <c r="AA38" s="3">
        <f t="shared" si="16"/>
        <v>7.3266519252479796</v>
      </c>
      <c r="AB38" s="3">
        <f t="shared" si="20"/>
        <v>9.2856088554798977E-3</v>
      </c>
      <c r="AC38" s="3">
        <f t="shared" si="17"/>
        <v>6.9915739939855399</v>
      </c>
      <c r="AD38" s="48"/>
      <c r="AE38" s="46">
        <f t="shared" si="12"/>
        <v>27.243894606808084</v>
      </c>
      <c r="AF38" s="46">
        <f t="shared" si="13"/>
        <v>-283.49682162913325</v>
      </c>
      <c r="AG38" s="47">
        <f t="shared" si="14"/>
        <v>138936.3072472479</v>
      </c>
      <c r="AH38" s="45" t="str">
        <f t="shared" si="18"/>
        <v>-283.49682,27.24389,138936</v>
      </c>
      <c r="AI38" s="44">
        <f t="shared" si="21"/>
        <v>2214.1504432236957</v>
      </c>
    </row>
    <row r="39" spans="1:35" ht="18" customHeight="1" x14ac:dyDescent="0.25">
      <c r="A39" s="36">
        <f t="shared" si="15"/>
        <v>0.72534722222222225</v>
      </c>
      <c r="B39" s="42">
        <f t="shared" si="0"/>
        <v>27.627104830234646</v>
      </c>
      <c r="C39" s="43">
        <f t="shared" si="1"/>
        <v>77.045646075381242</v>
      </c>
      <c r="D39" s="18">
        <f t="shared" si="2"/>
        <v>139.52454966476307</v>
      </c>
      <c r="E39" s="21" t="str">
        <f t="shared" si="3"/>
        <v>Umbra</v>
      </c>
      <c r="F39" s="23">
        <f>IF($E39&lt;&gt;"Umbra",fracil2($S$2,$S$3,$S$4,$A39,$Q$2,$O$3,$Q$4,$U39,$V39,$W39),0)</f>
        <v>0</v>
      </c>
      <c r="G39" s="19">
        <f t="shared" si="4"/>
        <v>253.40823832389739</v>
      </c>
      <c r="H39" s="19">
        <f t="shared" si="5"/>
        <v>-13.508691004427293</v>
      </c>
      <c r="I39" s="19">
        <f t="shared" si="6"/>
        <v>-12.373123918281999</v>
      </c>
      <c r="J39" s="28">
        <f t="shared" si="7"/>
        <v>3.897706095273596E-2</v>
      </c>
      <c r="K39" s="24">
        <f t="shared" si="8"/>
        <v>3503.0613703958134</v>
      </c>
      <c r="L39" s="32">
        <f t="shared" si="9"/>
        <v>2.4797945663239243E-2</v>
      </c>
      <c r="M39" s="35">
        <f t="shared" si="10"/>
        <v>-21.375463373934441</v>
      </c>
      <c r="O39" s="29">
        <f t="shared" si="11"/>
        <v>3502.1086992098417</v>
      </c>
      <c r="P39" s="44"/>
      <c r="Q39" s="4"/>
      <c r="T39" s="48">
        <v>0.72534722222222225</v>
      </c>
      <c r="U39" s="29">
        <v>2534.6302087168101</v>
      </c>
      <c r="V39" s="29">
        <v>5193.0771009540003</v>
      </c>
      <c r="W39" s="29">
        <v>3004.6551730358201</v>
      </c>
      <c r="X39" s="4">
        <v>-6.1725468736258202</v>
      </c>
      <c r="Y39" s="4">
        <v>0.833038324421295</v>
      </c>
      <c r="Z39" s="4">
        <v>3.8569643766856898</v>
      </c>
      <c r="AA39" s="3">
        <f t="shared" si="16"/>
        <v>7.3260126917774961</v>
      </c>
      <c r="AB39" s="3">
        <f t="shared" si="20"/>
        <v>7.6000410430384401E-3</v>
      </c>
      <c r="AC39" s="3">
        <f t="shared" si="17"/>
        <v>6.9908287339608597</v>
      </c>
      <c r="AD39" s="48"/>
      <c r="AE39" s="46">
        <f t="shared" si="12"/>
        <v>27.627104830234646</v>
      </c>
      <c r="AF39" s="46">
        <f t="shared" si="13"/>
        <v>-282.95435392461877</v>
      </c>
      <c r="AG39" s="47">
        <f t="shared" si="14"/>
        <v>139524.54966476306</v>
      </c>
      <c r="AH39" s="45" t="str">
        <f t="shared" si="18"/>
        <v>-282.95435,27.62710,139525</v>
      </c>
      <c r="AI39" s="44">
        <f t="shared" si="21"/>
        <v>2282.573590181476</v>
      </c>
    </row>
    <row r="40" spans="1:35" ht="18" customHeight="1" x14ac:dyDescent="0.25">
      <c r="A40" s="36">
        <f t="shared" si="15"/>
        <v>0.72546296296296298</v>
      </c>
      <c r="B40" s="42">
        <f t="shared" si="0"/>
        <v>28.007766826343914</v>
      </c>
      <c r="C40" s="43">
        <f t="shared" si="1"/>
        <v>77.592087930631379</v>
      </c>
      <c r="D40" s="18">
        <f t="shared" si="2"/>
        <v>139.99693633328025</v>
      </c>
      <c r="E40" s="21" t="str">
        <f t="shared" si="3"/>
        <v>Umbra</v>
      </c>
      <c r="F40" s="23">
        <f>IF($E40&lt;&gt;"Umbra",fracil2($S$2,$S$3,$S$4,$A40,$Q$2,$O$3,$Q$4,$U40,$V40,$W40),0)</f>
        <v>0</v>
      </c>
      <c r="G40" s="19">
        <f t="shared" si="4"/>
        <v>253.4377744692307</v>
      </c>
      <c r="H40" s="19">
        <f t="shared" si="5"/>
        <v>-13.148550598040798</v>
      </c>
      <c r="I40" s="19">
        <f t="shared" si="6"/>
        <v>-12.012983511895504</v>
      </c>
      <c r="J40" s="28">
        <f t="shared" si="7"/>
        <v>3.8994848088049726E-2</v>
      </c>
      <c r="K40" s="24">
        <f t="shared" si="8"/>
        <v>3436.675069868601</v>
      </c>
      <c r="L40" s="32">
        <f t="shared" si="9"/>
        <v>2.5675977560899305E-2</v>
      </c>
      <c r="M40" s="35">
        <f t="shared" si="10"/>
        <v>-21.120148040537764</v>
      </c>
      <c r="O40" s="29">
        <f t="shared" si="11"/>
        <v>3433.7191045965374</v>
      </c>
      <c r="P40" s="44"/>
      <c r="Q40" s="4"/>
      <c r="S40" s="20"/>
      <c r="T40" s="48">
        <v>0.72546296296296298</v>
      </c>
      <c r="U40" s="29">
        <v>2472.7242962277001</v>
      </c>
      <c r="V40" s="29">
        <v>5201.0323067503095</v>
      </c>
      <c r="W40" s="29">
        <v>3043.0056243309</v>
      </c>
      <c r="X40" s="4">
        <v>-6.2086848127000707</v>
      </c>
      <c r="Y40" s="4">
        <v>0.75808959694401601</v>
      </c>
      <c r="Z40" s="4">
        <v>3.8132408039097498</v>
      </c>
      <c r="AA40" s="3">
        <f t="shared" si="16"/>
        <v>7.3255219861146772</v>
      </c>
      <c r="AB40" s="3">
        <f t="shared" si="20"/>
        <v>6.0195536664221809E-3</v>
      </c>
      <c r="AC40" s="3">
        <f t="shared" si="17"/>
        <v>6.9902384565283304</v>
      </c>
      <c r="AD40" s="48"/>
      <c r="AE40" s="46">
        <f t="shared" si="12"/>
        <v>28.007766826343914</v>
      </c>
      <c r="AF40" s="46">
        <f t="shared" si="13"/>
        <v>-282.40791206936865</v>
      </c>
      <c r="AG40" s="47">
        <f t="shared" si="14"/>
        <v>139996.93633328023</v>
      </c>
      <c r="AH40" s="45" t="str">
        <f t="shared" si="18"/>
        <v>-282.40791,28.00777,139997</v>
      </c>
      <c r="AI40" s="44">
        <f t="shared" si="21"/>
        <v>2350.9810812812602</v>
      </c>
    </row>
    <row r="41" spans="1:35" ht="18" customHeight="1" x14ac:dyDescent="0.25">
      <c r="A41" s="36">
        <f t="shared" si="15"/>
        <v>0.7255787037037037</v>
      </c>
      <c r="B41" s="42">
        <f t="shared" si="0"/>
        <v>28.385839759586528</v>
      </c>
      <c r="C41" s="43">
        <f t="shared" si="1"/>
        <v>78.142593513219268</v>
      </c>
      <c r="D41" s="18">
        <f t="shared" si="2"/>
        <v>140.35351122234624</v>
      </c>
      <c r="E41" s="21" t="str">
        <f t="shared" si="3"/>
        <v>Umbra</v>
      </c>
      <c r="F41" s="23">
        <f>IF($E41&lt;&gt;"Umbra",fracil2($S$2,$S$3,$S$4,$A41,$Q$2,$O$3,$Q$4,$U41,$V41,$W41),0)</f>
        <v>0</v>
      </c>
      <c r="G41" s="19">
        <f t="shared" si="4"/>
        <v>253.4675227370592</v>
      </c>
      <c r="H41" s="19">
        <f t="shared" si="5"/>
        <v>-12.78822903057176</v>
      </c>
      <c r="I41" s="19">
        <f t="shared" si="6"/>
        <v>-11.652661944426466</v>
      </c>
      <c r="J41" s="28">
        <f t="shared" si="7"/>
        <v>3.9014424038720928E-2</v>
      </c>
      <c r="K41" s="24">
        <f t="shared" si="8"/>
        <v>3370.1615141642519</v>
      </c>
      <c r="L41" s="32">
        <f t="shared" si="9"/>
        <v>2.6551224957684499E-2</v>
      </c>
      <c r="M41" s="35">
        <f t="shared" si="10"/>
        <v>-20.86405510015037</v>
      </c>
      <c r="O41" s="29">
        <f t="shared" si="11"/>
        <v>3365.3418352477747</v>
      </c>
      <c r="P41" s="44"/>
      <c r="S41" s="3"/>
      <c r="T41" s="48">
        <v>0.7255787037037037</v>
      </c>
      <c r="U41" s="29">
        <v>2410.4615270509198</v>
      </c>
      <c r="V41" s="29">
        <v>5208.2375245938701</v>
      </c>
      <c r="W41" s="29">
        <v>3080.9160938729997</v>
      </c>
      <c r="X41" s="4">
        <v>-6.2439059654748696</v>
      </c>
      <c r="Y41" s="4">
        <v>0.68303684372379492</v>
      </c>
      <c r="Z41" s="4">
        <v>3.7689575494101599</v>
      </c>
      <c r="AA41" s="3">
        <f t="shared" si="16"/>
        <v>7.3251581583493923</v>
      </c>
      <c r="AB41" s="3">
        <f t="shared" si="20"/>
        <v>4.659572985492591E-3</v>
      </c>
      <c r="AC41" s="3">
        <f t="shared" si="17"/>
        <v>6.9897815388013731</v>
      </c>
      <c r="AD41" s="48"/>
      <c r="AE41" s="46">
        <f t="shared" si="12"/>
        <v>28.385839759586528</v>
      </c>
      <c r="AF41" s="46">
        <f t="shared" si="13"/>
        <v>-281.85740648678075</v>
      </c>
      <c r="AG41" s="47">
        <f t="shared" si="14"/>
        <v>140353.51122234625</v>
      </c>
      <c r="AH41" s="45" t="str">
        <f t="shared" si="18"/>
        <v>-281.85741,28.38584,140354</v>
      </c>
      <c r="AI41" s="44">
        <f t="shared" si="21"/>
        <v>2419.3758010650495</v>
      </c>
    </row>
    <row r="42" spans="1:35" ht="18" customHeight="1" x14ac:dyDescent="0.25">
      <c r="A42" s="36">
        <f t="shared" si="15"/>
        <v>0.72569444444444442</v>
      </c>
      <c r="B42" s="42">
        <f t="shared" si="0"/>
        <v>28.761282974707193</v>
      </c>
      <c r="C42" s="43">
        <f t="shared" si="1"/>
        <v>78.697254578216373</v>
      </c>
      <c r="D42" s="18">
        <f t="shared" si="2"/>
        <v>140.5944433492823</v>
      </c>
      <c r="E42" s="21" t="str">
        <f t="shared" si="3"/>
        <v>Umbra</v>
      </c>
      <c r="F42" s="23">
        <f>IF($E42&lt;&gt;"Umbra",fracil2($S$2,$S$3,$S$4,$A42,$Q$2,$O$3,$Q$4,$U42,$V42,$W42),0)</f>
        <v>0</v>
      </c>
      <c r="G42" s="19">
        <f t="shared" si="4"/>
        <v>253.49749090341081</v>
      </c>
      <c r="H42" s="19">
        <f t="shared" si="5"/>
        <v>-12.427698651227603</v>
      </c>
      <c r="I42" s="19">
        <f t="shared" si="6"/>
        <v>-11.292131565082309</v>
      </c>
      <c r="J42" s="28">
        <f t="shared" si="7"/>
        <v>3.9035465626798917E-2</v>
      </c>
      <c r="K42" s="24">
        <f t="shared" si="8"/>
        <v>3303.5212848092601</v>
      </c>
      <c r="L42" s="32">
        <f t="shared" si="9"/>
        <v>2.7423772983519151E-2</v>
      </c>
      <c r="M42" s="35">
        <f t="shared" si="10"/>
        <v>-20.607169386024037</v>
      </c>
      <c r="O42" s="29">
        <f t="shared" si="11"/>
        <v>3296.9737520139083</v>
      </c>
      <c r="P42" s="44"/>
      <c r="S42" s="3"/>
      <c r="T42" s="48">
        <v>0.72569444444444442</v>
      </c>
      <c r="U42" s="29">
        <v>2347.85050287391</v>
      </c>
      <c r="V42" s="29">
        <v>5214.6920447794</v>
      </c>
      <c r="W42" s="29">
        <v>3118.3816016219998</v>
      </c>
      <c r="X42" s="4">
        <v>-6.2781808298885702</v>
      </c>
      <c r="Y42" s="4">
        <v>0.60787287376862797</v>
      </c>
      <c r="Z42" s="4">
        <v>3.7240911071883103</v>
      </c>
      <c r="AA42" s="3">
        <f t="shared" si="16"/>
        <v>7.3248835170317292</v>
      </c>
      <c r="AB42" s="3">
        <f t="shared" si="20"/>
        <v>3.6838997924106059E-3</v>
      </c>
      <c r="AC42" s="3">
        <f t="shared" si="17"/>
        <v>6.9894202955877294</v>
      </c>
      <c r="AD42" s="48"/>
      <c r="AE42" s="46">
        <f t="shared" si="12"/>
        <v>28.761282974707193</v>
      </c>
      <c r="AF42" s="46">
        <f t="shared" si="13"/>
        <v>-281.30274542178364</v>
      </c>
      <c r="AG42" s="47">
        <f t="shared" si="14"/>
        <v>140594.44334928232</v>
      </c>
      <c r="AH42" s="45" t="str">
        <f t="shared" si="18"/>
        <v>-281.30275,28.76128,140594</v>
      </c>
      <c r="AI42" s="44">
        <f t="shared" si="21"/>
        <v>2487.7608877499215</v>
      </c>
    </row>
    <row r="43" spans="1:35" ht="18" customHeight="1" x14ac:dyDescent="0.25">
      <c r="A43" s="36">
        <f t="shared" si="15"/>
        <v>0.72575958332525237</v>
      </c>
      <c r="B43" s="42">
        <f t="shared" si="0"/>
        <v>28.971410829444661</v>
      </c>
      <c r="C43" s="43">
        <f t="shared" si="1"/>
        <v>79.01128068486814</v>
      </c>
      <c r="D43" s="18">
        <f t="shared" si="2"/>
        <v>140.67930466471262</v>
      </c>
      <c r="E43" s="21" t="str">
        <f t="shared" si="3"/>
        <v>Umbra</v>
      </c>
      <c r="F43" s="23">
        <f>IF($E43&lt;&gt;"Umbra",fracil2($S$2,$S$3,$S$4,$A43,$Q$2,$O$3,$Q$4,$U43,$V43,$W43),0)</f>
        <v>0</v>
      </c>
      <c r="G43" s="19">
        <f t="shared" si="4"/>
        <v>253.51445692493178</v>
      </c>
      <c r="H43" s="19">
        <f t="shared" si="5"/>
        <v>-12.224687913197384</v>
      </c>
      <c r="I43" s="19">
        <f t="shared" si="6"/>
        <v>-11.08912082705209</v>
      </c>
      <c r="J43" s="28">
        <f t="shared" si="7"/>
        <v>3.9047735555086893E-2</v>
      </c>
      <c r="K43" s="24">
        <f t="shared" si="8"/>
        <v>3265.9605819554058</v>
      </c>
      <c r="L43" s="32">
        <f t="shared" si="9"/>
        <v>2.7913691564203272E-2</v>
      </c>
      <c r="M43" s="35">
        <f t="shared" si="10"/>
        <v>-20.462238156671063</v>
      </c>
      <c r="O43" s="29">
        <f t="shared" si="11"/>
        <v>3258.4989478280477</v>
      </c>
      <c r="P43" s="44"/>
      <c r="S43" s="3"/>
      <c r="T43" s="48">
        <v>0.72575958332525237</v>
      </c>
      <c r="U43" s="29">
        <v>2312.4630278406598</v>
      </c>
      <c r="V43" s="29">
        <v>5217.9943108256402</v>
      </c>
      <c r="W43" s="29">
        <v>3139.26973304389</v>
      </c>
      <c r="X43" s="4">
        <v>-6.2970383357124398</v>
      </c>
      <c r="Y43" s="4">
        <v>0.56551627204759702</v>
      </c>
      <c r="Z43" s="4">
        <v>3.6985696139311597</v>
      </c>
      <c r="AA43" s="3">
        <f t="shared" si="16"/>
        <v>7.3247469338180959</v>
      </c>
      <c r="AB43" s="3">
        <f t="shared" si="20"/>
        <v>3.3064302728721944E-3</v>
      </c>
      <c r="AC43" s="3">
        <f t="shared" si="17"/>
        <v>6.9892378197809872</v>
      </c>
      <c r="AD43" s="48"/>
      <c r="AE43" s="46">
        <f t="shared" si="12"/>
        <v>28.971410829444661</v>
      </c>
      <c r="AF43" s="46">
        <f t="shared" si="13"/>
        <v>-280.98871931513185</v>
      </c>
      <c r="AG43" s="47">
        <f t="shared" si="14"/>
        <v>140679.30466471263</v>
      </c>
      <c r="AH43" s="45" t="str">
        <f t="shared" si="18"/>
        <v>-280.98872,28.97141,140679</v>
      </c>
      <c r="AI43" s="44">
        <f t="shared" si="21"/>
        <v>2526.2450653689421</v>
      </c>
    </row>
    <row r="44" spans="1:35" ht="18" customHeight="1" x14ac:dyDescent="0.25">
      <c r="A44" s="36">
        <f t="shared" si="15"/>
        <v>0.72581018518518514</v>
      </c>
      <c r="B44" s="42">
        <f t="shared" si="0"/>
        <v>29.134048413120599</v>
      </c>
      <c r="C44" s="43">
        <f t="shared" si="1"/>
        <v>79.256154024139789</v>
      </c>
      <c r="D44" s="18">
        <f t="shared" si="2"/>
        <v>140.71948358216923</v>
      </c>
      <c r="E44" s="21" t="str">
        <f t="shared" si="3"/>
        <v>Umbra</v>
      </c>
      <c r="F44" s="23">
        <f>IF($E44&lt;&gt;"Umbra",fracil2($S$2,$S$3,$S$4,$A44,$Q$2,$O$3,$Q$4,$U44,$V44,$W44),0)</f>
        <v>0</v>
      </c>
      <c r="G44" s="19">
        <f t="shared" si="4"/>
        <v>253.52768671633933</v>
      </c>
      <c r="H44" s="19">
        <f t="shared" si="5"/>
        <v>-12.066943233186084</v>
      </c>
      <c r="I44" s="19">
        <f t="shared" si="6"/>
        <v>-10.93137614704079</v>
      </c>
      <c r="J44" s="28">
        <f t="shared" si="7"/>
        <v>3.9058403051819728E-2</v>
      </c>
      <c r="K44" s="24">
        <f t="shared" si="8"/>
        <v>3236.7559107220927</v>
      </c>
      <c r="L44" s="32">
        <f t="shared" si="9"/>
        <v>2.8293680374077701E-2</v>
      </c>
      <c r="M44" s="35">
        <f t="shared" si="10"/>
        <v>-20.349483026897445</v>
      </c>
      <c r="O44" s="29">
        <f t="shared" si="11"/>
        <v>3228.612823092074</v>
      </c>
      <c r="P44" s="44"/>
      <c r="Q44" s="4"/>
      <c r="S44" s="3"/>
      <c r="T44" s="48">
        <v>0.72581018518518514</v>
      </c>
      <c r="U44" s="29">
        <v>2284.9006426346696</v>
      </c>
      <c r="V44" s="29">
        <v>5220.3948116499105</v>
      </c>
      <c r="W44" s="29">
        <v>3155.3963872992599</v>
      </c>
      <c r="X44" s="4">
        <v>-6.3115279858299598</v>
      </c>
      <c r="Y44" s="4">
        <v>0.532616068265788</v>
      </c>
      <c r="Z44" s="4">
        <v>3.67866828609628</v>
      </c>
      <c r="AA44" s="3">
        <f t="shared" si="16"/>
        <v>7.3247297391248667</v>
      </c>
      <c r="AB44" s="3">
        <f t="shared" si="20"/>
        <v>1.196980676971019E-3</v>
      </c>
      <c r="AC44" s="3">
        <f t="shared" si="17"/>
        <v>6.9891865030183018</v>
      </c>
      <c r="AD44" s="48"/>
      <c r="AE44" s="46">
        <f t="shared" si="12"/>
        <v>29.134048413120599</v>
      </c>
      <c r="AF44" s="46">
        <f t="shared" si="13"/>
        <v>-280.74384597586021</v>
      </c>
      <c r="AG44" s="47">
        <f t="shared" si="14"/>
        <v>140719.48358216922</v>
      </c>
      <c r="AH44" s="45" t="str">
        <f t="shared" si="18"/>
        <v>-280.74385,29.13405,140719</v>
      </c>
      <c r="AI44" s="44">
        <f t="shared" si="21"/>
        <v>2556.1383732792988</v>
      </c>
    </row>
    <row r="45" spans="1:35" ht="18" customHeight="1" x14ac:dyDescent="0.25">
      <c r="A45" s="36">
        <f t="shared" si="15"/>
        <v>0.72592592592592597</v>
      </c>
      <c r="B45" s="42">
        <f t="shared" si="0"/>
        <v>29.504081167366181</v>
      </c>
      <c r="C45" s="43">
        <f t="shared" si="1"/>
        <v>79.819365978094481</v>
      </c>
      <c r="D45" s="18">
        <f t="shared" si="2"/>
        <v>140.72797003611049</v>
      </c>
      <c r="E45" s="21" t="str">
        <f t="shared" si="3"/>
        <v>Umbra</v>
      </c>
      <c r="F45" s="23">
        <f>IF($E45&lt;&gt;"Umbra",fracil2($S$2,$S$3,$S$4,$A45,$Q$2,$O$3,$Q$4,$U45,$V45,$W45),0)</f>
        <v>0</v>
      </c>
      <c r="G45" s="19">
        <f t="shared" si="4"/>
        <v>253.55811803262804</v>
      </c>
      <c r="H45" s="19">
        <f t="shared" si="5"/>
        <v>-11.705958368859614</v>
      </c>
      <c r="I45" s="19">
        <f t="shared" si="6"/>
        <v>-10.57039128271432</v>
      </c>
      <c r="J45" s="28">
        <f t="shared" si="7"/>
        <v>3.9084544988647406E-2</v>
      </c>
      <c r="K45" s="24">
        <f t="shared" si="8"/>
        <v>3169.8678263134088</v>
      </c>
      <c r="L45" s="32">
        <f t="shared" si="9"/>
        <v>2.9160978767414702E-2</v>
      </c>
      <c r="M45" s="35">
        <f t="shared" si="10"/>
        <v>-20.090995688034258</v>
      </c>
      <c r="O45" s="29">
        <f t="shared" si="11"/>
        <v>3160.2580618322982</v>
      </c>
      <c r="P45" s="44"/>
      <c r="Q45" s="4"/>
      <c r="S45" s="3"/>
      <c r="T45" s="48">
        <v>0.72592592592592597</v>
      </c>
      <c r="U45" s="29">
        <v>2221.6221764981401</v>
      </c>
      <c r="V45" s="29">
        <v>5225.3444759260692</v>
      </c>
      <c r="W45" s="29">
        <v>3191.9539686784401</v>
      </c>
      <c r="X45" s="4">
        <v>-6.3440152547361199</v>
      </c>
      <c r="Y45" s="4">
        <v>0.45731063860037702</v>
      </c>
      <c r="Z45" s="4">
        <v>3.6327670013102202</v>
      </c>
      <c r="AA45" s="3">
        <f t="shared" si="16"/>
        <v>7.324797516539971</v>
      </c>
      <c r="AB45" s="3">
        <f t="shared" si="20"/>
        <v>5.5779216376158496E-5</v>
      </c>
      <c r="AC45" s="3">
        <f t="shared" si="17"/>
        <v>6.9891810333083439</v>
      </c>
      <c r="AD45" s="48"/>
      <c r="AE45" s="46">
        <f t="shared" si="12"/>
        <v>29.504081167366181</v>
      </c>
      <c r="AF45" s="46">
        <f t="shared" si="13"/>
        <v>-280.18063402190552</v>
      </c>
      <c r="AG45" s="47">
        <f t="shared" si="14"/>
        <v>140727.97003611049</v>
      </c>
      <c r="AH45" s="45" t="str">
        <f t="shared" si="18"/>
        <v>-280.18063,29.50408,140728</v>
      </c>
      <c r="AI45" s="44">
        <f t="shared" si="21"/>
        <v>2624.509241184131</v>
      </c>
    </row>
    <row r="46" spans="1:35" ht="18" customHeight="1" x14ac:dyDescent="0.25">
      <c r="A46" s="36">
        <f t="shared" si="15"/>
        <v>0.7260416666666667</v>
      </c>
      <c r="B46" s="42">
        <f t="shared" si="0"/>
        <v>29.871340156291527</v>
      </c>
      <c r="C46" s="43">
        <f t="shared" si="1"/>
        <v>80.386986645140567</v>
      </c>
      <c r="D46" s="18">
        <f t="shared" si="2"/>
        <v>140.62033748155682</v>
      </c>
      <c r="E46" s="21" t="str">
        <f t="shared" si="3"/>
        <v>Umbra</v>
      </c>
      <c r="F46" s="23">
        <f>IF($E46&lt;&gt;"Umbra",fracil2($S$2,$S$3,$S$4,$A46,$Q$2,$O$3,$Q$4,$U46,$V46,$W46),0)</f>
        <v>0</v>
      </c>
      <c r="G46" s="19">
        <f t="shared" si="4"/>
        <v>253.58879534773351</v>
      </c>
      <c r="H46" s="19">
        <f t="shared" si="5"/>
        <v>-11.344705515545913</v>
      </c>
      <c r="I46" s="19">
        <f t="shared" si="6"/>
        <v>-10.209138429400619</v>
      </c>
      <c r="J46" s="28">
        <f t="shared" si="7"/>
        <v>3.9113245715011881E-2</v>
      </c>
      <c r="K46" s="24">
        <f t="shared" si="8"/>
        <v>3102.8571119905596</v>
      </c>
      <c r="L46" s="32">
        <f t="shared" si="9"/>
        <v>3.0025770810736544E-2</v>
      </c>
      <c r="M46" s="35">
        <f t="shared" si="10"/>
        <v>-19.83168265556111</v>
      </c>
      <c r="O46" s="29">
        <f t="shared" si="11"/>
        <v>3091.9057511722026</v>
      </c>
      <c r="P46" s="44"/>
      <c r="Q46" s="4"/>
      <c r="S46" s="3"/>
      <c r="T46" s="48">
        <v>0.7260416666666667</v>
      </c>
      <c r="U46" s="29">
        <v>2158.0233930515001</v>
      </c>
      <c r="V46" s="29">
        <v>5229.54075910132</v>
      </c>
      <c r="W46" s="29">
        <v>3228.0499254718197</v>
      </c>
      <c r="X46" s="4">
        <v>-6.37558904980175</v>
      </c>
      <c r="Y46" s="4">
        <v>0.38193651890508196</v>
      </c>
      <c r="Z46" s="4">
        <v>3.5863384463046999</v>
      </c>
      <c r="AA46" s="3">
        <f t="shared" si="16"/>
        <v>7.3250143131511027</v>
      </c>
      <c r="AB46" s="3">
        <f t="shared" si="20"/>
        <v>-1.5324383208856175E-3</v>
      </c>
      <c r="AC46" s="3">
        <f t="shared" si="17"/>
        <v>6.98933130421009</v>
      </c>
      <c r="AD46" s="48"/>
      <c r="AE46" s="46">
        <f t="shared" si="12"/>
        <v>29.871340156291527</v>
      </c>
      <c r="AF46" s="46">
        <f t="shared" si="13"/>
        <v>-279.61301335485945</v>
      </c>
      <c r="AG46" s="47">
        <f t="shared" si="14"/>
        <v>140620.33748155681</v>
      </c>
      <c r="AH46" s="45" t="str">
        <f t="shared" si="18"/>
        <v>-279.61301,29.87134,140620</v>
      </c>
      <c r="AI46" s="44">
        <f t="shared" si="21"/>
        <v>2692.8772106808624</v>
      </c>
    </row>
    <row r="47" spans="1:35" ht="18" customHeight="1" x14ac:dyDescent="0.25">
      <c r="A47" s="36">
        <f t="shared" si="15"/>
        <v>0.72615740740740742</v>
      </c>
      <c r="B47" s="42">
        <f t="shared" si="0"/>
        <v>30.235776488623792</v>
      </c>
      <c r="C47" s="43">
        <f t="shared" si="1"/>
        <v>80.959102600632363</v>
      </c>
      <c r="D47" s="18">
        <f t="shared" si="2"/>
        <v>140.3965467944472</v>
      </c>
      <c r="E47" s="21" t="str">
        <f t="shared" si="3"/>
        <v>Umbra</v>
      </c>
      <c r="F47" s="23">
        <f>IF($E47&lt;&gt;"Umbra",fracil2($S$2,$S$3,$S$4,$A47,$Q$2,$O$3,$Q$4,$U47,$V47,$W47),0)</f>
        <v>0</v>
      </c>
      <c r="G47" s="19">
        <f t="shared" si="4"/>
        <v>253.61972928522235</v>
      </c>
      <c r="H47" s="19">
        <f t="shared" si="5"/>
        <v>-10.983158624774259</v>
      </c>
      <c r="I47" s="19">
        <f t="shared" si="6"/>
        <v>-9.847591538628965</v>
      </c>
      <c r="J47" s="28">
        <f t="shared" si="7"/>
        <v>3.9144686804776667E-2</v>
      </c>
      <c r="K47" s="24">
        <f t="shared" si="8"/>
        <v>3035.7248493077968</v>
      </c>
      <c r="L47" s="32">
        <f t="shared" si="9"/>
        <v>3.0888130069473507E-2</v>
      </c>
      <c r="M47" s="35">
        <f t="shared" si="10"/>
        <v>-19.571527109293026</v>
      </c>
      <c r="O47" s="29">
        <f t="shared" si="11"/>
        <v>3023.5533472758029</v>
      </c>
      <c r="P47" s="44"/>
      <c r="Q47" s="4"/>
      <c r="S47" s="3"/>
      <c r="T47" s="48">
        <v>0.72615740740740742</v>
      </c>
      <c r="U47" s="29">
        <v>2094.1134454949802</v>
      </c>
      <c r="V47" s="29">
        <v>5232.9830009915404</v>
      </c>
      <c r="W47" s="29">
        <v>3263.6789961692402</v>
      </c>
      <c r="X47" s="4">
        <v>-6.4062463263045801</v>
      </c>
      <c r="Y47" s="4">
        <v>0.30650058267215002</v>
      </c>
      <c r="Z47" s="4">
        <v>3.53938678079323</v>
      </c>
      <c r="AA47" s="3">
        <f t="shared" si="16"/>
        <v>7.3253800846456532</v>
      </c>
      <c r="AB47" s="3">
        <f t="shared" si="20"/>
        <v>-3.1207226798967052E-3</v>
      </c>
      <c r="AC47" s="3">
        <f t="shared" si="17"/>
        <v>6.9896373222760806</v>
      </c>
      <c r="AD47" s="48"/>
      <c r="AE47" s="46">
        <f t="shared" si="12"/>
        <v>30.235776488623792</v>
      </c>
      <c r="AF47" s="46">
        <f t="shared" si="13"/>
        <v>-279.04089739936762</v>
      </c>
      <c r="AG47" s="47">
        <f t="shared" si="14"/>
        <v>140396.5467944472</v>
      </c>
      <c r="AH47" s="45" t="str">
        <f t="shared" si="18"/>
        <v>-279.04090,30.23578,140397</v>
      </c>
      <c r="AI47" s="44">
        <f t="shared" si="21"/>
        <v>2761.2448265377657</v>
      </c>
    </row>
    <row r="48" spans="1:35" ht="18" customHeight="1" x14ac:dyDescent="0.25">
      <c r="A48" s="36">
        <f t="shared" si="15"/>
        <v>0.72627314814814814</v>
      </c>
      <c r="B48" s="42">
        <f t="shared" si="0"/>
        <v>30.597339988545134</v>
      </c>
      <c r="C48" s="43">
        <f t="shared" si="1"/>
        <v>81.535800207112047</v>
      </c>
      <c r="D48" s="18">
        <f t="shared" si="2"/>
        <v>140.05657120788874</v>
      </c>
      <c r="E48" s="21" t="str">
        <f t="shared" si="3"/>
        <v>Umbra</v>
      </c>
      <c r="F48" s="23">
        <f>IF($E48&lt;&gt;"Umbra",fracil2($S$2,$S$3,$S$4,$A48,$Q$2,$O$3,$Q$4,$U48,$V48,$W48),0)</f>
        <v>0</v>
      </c>
      <c r="G48" s="19">
        <f t="shared" si="4"/>
        <v>253.65093152777652</v>
      </c>
      <c r="H48" s="19">
        <f t="shared" si="5"/>
        <v>-10.621289734732906</v>
      </c>
      <c r="I48" s="19">
        <f t="shared" si="6"/>
        <v>-9.4857226485876129</v>
      </c>
      <c r="J48" s="28">
        <f t="shared" si="7"/>
        <v>3.9179071427040142E-2</v>
      </c>
      <c r="K48" s="24">
        <f t="shared" si="8"/>
        <v>2968.4721166661689</v>
      </c>
      <c r="L48" s="32">
        <f t="shared" si="9"/>
        <v>3.1748131656117139E-2</v>
      </c>
      <c r="M48" s="35">
        <f t="shared" si="10"/>
        <v>-19.310510041918306</v>
      </c>
      <c r="O48" s="29">
        <f t="shared" si="11"/>
        <v>2955.1983034662849</v>
      </c>
      <c r="P48" s="44"/>
      <c r="Q48" s="4"/>
      <c r="S48" s="3"/>
      <c r="T48" s="48">
        <v>0.72627314814814814</v>
      </c>
      <c r="U48" s="29">
        <v>2029.9015171559099</v>
      </c>
      <c r="V48" s="29">
        <v>5235.6706114048602</v>
      </c>
      <c r="W48" s="29">
        <v>3298.8359623537099</v>
      </c>
      <c r="X48" s="4">
        <v>-6.4359840243676301</v>
      </c>
      <c r="Y48" s="4">
        <v>0.23100970445389898</v>
      </c>
      <c r="Z48" s="4">
        <v>3.4919161571577702</v>
      </c>
      <c r="AA48" s="3">
        <f t="shared" si="16"/>
        <v>7.325894777710551</v>
      </c>
      <c r="AB48" s="3">
        <f t="shared" si="20"/>
        <v>-4.7089689022691136E-3</v>
      </c>
      <c r="AC48" s="3">
        <f t="shared" si="17"/>
        <v>6.990099083766637</v>
      </c>
      <c r="AD48" s="48"/>
      <c r="AE48" s="46">
        <f t="shared" si="12"/>
        <v>30.597339988545134</v>
      </c>
      <c r="AF48" s="46">
        <f t="shared" si="13"/>
        <v>-278.46419979288794</v>
      </c>
      <c r="AG48" s="47">
        <f t="shared" si="14"/>
        <v>140056.57120788874</v>
      </c>
      <c r="AH48" s="45" t="str">
        <f t="shared" si="18"/>
        <v>-278.46420,30.59734,140057</v>
      </c>
      <c r="AI48" s="44">
        <f t="shared" si="21"/>
        <v>2829.6146369382541</v>
      </c>
    </row>
    <row r="49" spans="1:35" ht="18" customHeight="1" x14ac:dyDescent="0.25">
      <c r="A49" s="36">
        <f t="shared" si="15"/>
        <v>0.72638888888888886</v>
      </c>
      <c r="B49" s="42">
        <f t="shared" si="0"/>
        <v>30.955979172013887</v>
      </c>
      <c r="C49" s="43">
        <f t="shared" si="1"/>
        <v>82.117165543659837</v>
      </c>
      <c r="D49" s="18">
        <f t="shared" si="2"/>
        <v>139.60039629217499</v>
      </c>
      <c r="E49" s="21" t="str">
        <f t="shared" si="3"/>
        <v>Umbra</v>
      </c>
      <c r="F49" s="23">
        <f>IF($E49&lt;&gt;"Umbra",fracil2($S$2,$S$3,$S$4,$A49,$Q$2,$O$3,$Q$4,$U49,$V49,$W49),0)</f>
        <v>0</v>
      </c>
      <c r="G49" s="19">
        <f t="shared" si="4"/>
        <v>253.68241494208866</v>
      </c>
      <c r="H49" s="19">
        <f t="shared" si="5"/>
        <v>-10.259068742728005</v>
      </c>
      <c r="I49" s="19">
        <f t="shared" si="6"/>
        <v>-9.123501656582711</v>
      </c>
      <c r="J49" s="28">
        <f t="shared" si="7"/>
        <v>3.9216627511344727E-2</v>
      </c>
      <c r="K49" s="24">
        <f t="shared" si="8"/>
        <v>2901.0999897864167</v>
      </c>
      <c r="L49" s="32">
        <f t="shared" si="9"/>
        <v>3.260585245195001E-2</v>
      </c>
      <c r="M49" s="35">
        <f t="shared" si="10"/>
        <v>-19.048610013947272</v>
      </c>
      <c r="O49" s="29">
        <f t="shared" si="11"/>
        <v>2886.8380701613914</v>
      </c>
      <c r="P49" s="44"/>
      <c r="Q49" s="4"/>
      <c r="S49" s="3"/>
      <c r="T49" s="48">
        <v>0.72638888888888886</v>
      </c>
      <c r="U49" s="29">
        <v>1965.39682161263</v>
      </c>
      <c r="V49" s="29">
        <v>5237.6030701104401</v>
      </c>
      <c r="W49" s="29">
        <v>3333.5156485883999</v>
      </c>
      <c r="X49" s="4">
        <v>-6.4647990680430203</v>
      </c>
      <c r="Y49" s="4">
        <v>0.155470761975187</v>
      </c>
      <c r="Z49" s="4">
        <v>3.4439307217158399</v>
      </c>
      <c r="AA49" s="3">
        <f t="shared" si="16"/>
        <v>7.3265583300740351</v>
      </c>
      <c r="AB49" s="3">
        <f t="shared" si="20"/>
        <v>-6.2970721176175727E-3</v>
      </c>
      <c r="AC49" s="3">
        <f t="shared" si="17"/>
        <v>6.9907165746584905</v>
      </c>
      <c r="AD49" s="48"/>
      <c r="AE49" s="46">
        <f t="shared" si="12"/>
        <v>30.955979172013887</v>
      </c>
      <c r="AF49" s="46">
        <f t="shared" si="13"/>
        <v>-277.88283445634016</v>
      </c>
      <c r="AG49" s="47">
        <f t="shared" si="14"/>
        <v>139600.39629217499</v>
      </c>
      <c r="AH49" s="45" t="str">
        <f t="shared" si="18"/>
        <v>-277.88283,30.95598,139600</v>
      </c>
      <c r="AI49" s="44">
        <f t="shared" si="21"/>
        <v>2897.9891935567912</v>
      </c>
    </row>
    <row r="50" spans="1:35" ht="18" customHeight="1" x14ac:dyDescent="0.25">
      <c r="A50" s="36">
        <f t="shared" si="15"/>
        <v>0.72650462962962958</v>
      </c>
      <c r="B50" s="42">
        <f t="shared" si="0"/>
        <v>31.311641223759207</v>
      </c>
      <c r="C50" s="43">
        <f t="shared" si="1"/>
        <v>82.703284329976569</v>
      </c>
      <c r="D50" s="18">
        <f t="shared" si="2"/>
        <v>139.02801993705089</v>
      </c>
      <c r="E50" s="21" t="str">
        <f t="shared" si="3"/>
        <v>Umbra</v>
      </c>
      <c r="F50" s="23">
        <f>IF($E50&lt;&gt;"Umbra",fracil2($S$2,$S$3,$S$4,$A50,$Q$2,$O$3,$Q$4,$U50,$V50,$W50),0)</f>
        <v>0</v>
      </c>
      <c r="G50" s="19">
        <f t="shared" si="4"/>
        <v>253.71419372218941</v>
      </c>
      <c r="H50" s="19">
        <f t="shared" si="5"/>
        <v>-9.8964631440633202</v>
      </c>
      <c r="I50" s="19">
        <f t="shared" si="6"/>
        <v>-8.7608960579180266</v>
      </c>
      <c r="J50" s="28">
        <f t="shared" si="7"/>
        <v>3.9257611467854836E-2</v>
      </c>
      <c r="K50" s="24">
        <f t="shared" si="8"/>
        <v>2833.609542188301</v>
      </c>
      <c r="L50" s="32">
        <f t="shared" si="9"/>
        <v>3.3461371361211197E-2</v>
      </c>
      <c r="M50" s="35">
        <f t="shared" si="10"/>
        <v>-18.785802872150185</v>
      </c>
      <c r="O50" s="29">
        <f t="shared" si="11"/>
        <v>2818.4700948063842</v>
      </c>
      <c r="P50" s="44"/>
      <c r="Q50" s="4"/>
      <c r="S50" s="3"/>
      <c r="T50" s="48">
        <v>0.72650462962962958</v>
      </c>
      <c r="U50" s="29">
        <v>1900.6086028273398</v>
      </c>
      <c r="V50" s="29">
        <v>5238.7799268304207</v>
      </c>
      <c r="W50" s="29">
        <v>3367.7129223158299</v>
      </c>
      <c r="X50" s="4">
        <v>-6.4926883644450202</v>
      </c>
      <c r="Y50" s="4">
        <v>7.9890638248383397E-2</v>
      </c>
      <c r="Z50" s="4">
        <v>3.3954346160184499</v>
      </c>
      <c r="AA50" s="3">
        <f t="shared" si="16"/>
        <v>7.3273706705431412</v>
      </c>
      <c r="AB50" s="3">
        <f t="shared" si="20"/>
        <v>-7.8849275043857935E-3</v>
      </c>
      <c r="AC50" s="3">
        <f t="shared" si="17"/>
        <v>6.9914897706495704</v>
      </c>
      <c r="AD50" s="48"/>
      <c r="AE50" s="46">
        <f t="shared" si="12"/>
        <v>31.311641223759207</v>
      </c>
      <c r="AF50" s="46">
        <f t="shared" si="13"/>
        <v>-277.29671567002345</v>
      </c>
      <c r="AG50" s="47">
        <f t="shared" si="14"/>
        <v>139028.01993705088</v>
      </c>
      <c r="AH50" s="45" t="str">
        <f t="shared" si="18"/>
        <v>-277.29672,31.31164,139028</v>
      </c>
      <c r="AI50" s="44">
        <f t="shared" si="21"/>
        <v>2966.3710516375072</v>
      </c>
    </row>
    <row r="51" spans="1:35" ht="18" customHeight="1" x14ac:dyDescent="0.25">
      <c r="A51" s="36">
        <f t="shared" si="15"/>
        <v>0.72662037037037042</v>
      </c>
      <c r="B51" s="42">
        <f t="shared" si="0"/>
        <v>31.664271975035611</v>
      </c>
      <c r="C51" s="43">
        <f t="shared" si="1"/>
        <v>83.294241844932444</v>
      </c>
      <c r="D51" s="18">
        <f t="shared" si="2"/>
        <v>138.33945233621034</v>
      </c>
      <c r="E51" s="21" t="str">
        <f t="shared" si="3"/>
        <v>Umbra</v>
      </c>
      <c r="F51" s="23">
        <f>IF($E51&lt;&gt;"Umbra",fracil2($S$2,$S$3,$S$4,$A51,$Q$2,$O$3,$Q$4,$U51,$V51,$W51),0)</f>
        <v>0</v>
      </c>
      <c r="G51" s="19">
        <f t="shared" si="4"/>
        <v>253.74628355454746</v>
      </c>
      <c r="H51" s="19">
        <f t="shared" si="5"/>
        <v>-9.533437731454649</v>
      </c>
      <c r="I51" s="19">
        <f t="shared" si="6"/>
        <v>-8.3978706453093555</v>
      </c>
      <c r="J51" s="28">
        <f t="shared" si="7"/>
        <v>3.9302312576599836E-2</v>
      </c>
      <c r="K51" s="24">
        <f t="shared" si="8"/>
        <v>2766.001845683199</v>
      </c>
      <c r="L51" s="32">
        <f t="shared" si="9"/>
        <v>3.4314769603173784E-2</v>
      </c>
      <c r="M51" s="35">
        <f t="shared" si="10"/>
        <v>-18.522061425006296</v>
      </c>
      <c r="O51" s="29">
        <f t="shared" si="11"/>
        <v>2750.0918218106876</v>
      </c>
      <c r="P51" s="44"/>
      <c r="Q51" s="4"/>
      <c r="S51" s="3"/>
      <c r="T51" s="48">
        <v>0.72662037037037042</v>
      </c>
      <c r="U51" s="29">
        <v>1835.5461352924499</v>
      </c>
      <c r="V51" s="29">
        <v>5239.2008012529905</v>
      </c>
      <c r="W51" s="29">
        <v>3401.4226937697304</v>
      </c>
      <c r="X51" s="4">
        <v>-6.5196488029322097</v>
      </c>
      <c r="Y51" s="4">
        <v>4.2762236973548197E-3</v>
      </c>
      <c r="Z51" s="4">
        <v>3.3464319781786398</v>
      </c>
      <c r="AA51" s="3">
        <f t="shared" si="16"/>
        <v>7.3283317190368171</v>
      </c>
      <c r="AB51" s="3">
        <f t="shared" si="20"/>
        <v>-9.4724302497851218E-3</v>
      </c>
      <c r="AC51" s="3">
        <f t="shared" si="17"/>
        <v>6.9924186371598651</v>
      </c>
      <c r="AD51" s="48"/>
      <c r="AE51" s="46">
        <f t="shared" si="12"/>
        <v>31.664271975035611</v>
      </c>
      <c r="AF51" s="46">
        <f t="shared" si="13"/>
        <v>-276.70575815506754</v>
      </c>
      <c r="AG51" s="47">
        <f t="shared" si="14"/>
        <v>138339.45233621035</v>
      </c>
      <c r="AH51" s="45" t="str">
        <f t="shared" si="18"/>
        <v>-276.70576,31.66427,138339</v>
      </c>
      <c r="AI51" s="44">
        <f t="shared" si="21"/>
        <v>3034.7627700713206</v>
      </c>
    </row>
    <row r="52" spans="1:35" ht="18" customHeight="1" x14ac:dyDescent="0.25">
      <c r="A52" s="36">
        <f t="shared" si="15"/>
        <v>0.72673611111111114</v>
      </c>
      <c r="B52" s="42">
        <f t="shared" si="0"/>
        <v>32.013815882226787</v>
      </c>
      <c r="C52" s="43">
        <f t="shared" si="1"/>
        <v>83.890122839485386</v>
      </c>
      <c r="D52" s="18">
        <f t="shared" si="2"/>
        <v>137.53471597400767</v>
      </c>
      <c r="E52" s="21" t="str">
        <f t="shared" si="3"/>
        <v>Umbra</v>
      </c>
      <c r="F52" s="23">
        <f>IF($E52&lt;&gt;"Umbra",fracil2($S$2,$S$3,$S$4,$A52,$Q$2,$O$3,$Q$4,$U52,$V52,$W52),0)</f>
        <v>0</v>
      </c>
      <c r="G52" s="19">
        <f t="shared" si="4"/>
        <v>253.77870180876656</v>
      </c>
      <c r="H52" s="19">
        <f t="shared" si="5"/>
        <v>-9.1699542477973708</v>
      </c>
      <c r="I52" s="19">
        <f t="shared" si="6"/>
        <v>-8.0343871616520772</v>
      </c>
      <c r="J52" s="28">
        <f t="shared" si="7"/>
        <v>3.9351058187015009E-2</v>
      </c>
      <c r="K52" s="24">
        <f t="shared" si="8"/>
        <v>2698.2779708741791</v>
      </c>
      <c r="L52" s="32">
        <f t="shared" si="9"/>
        <v>3.51661310491597E-2</v>
      </c>
      <c r="M52" s="35">
        <f t="shared" si="10"/>
        <v>-18.257355067447207</v>
      </c>
      <c r="O52" s="29">
        <f t="shared" si="11"/>
        <v>2681.70069248138</v>
      </c>
      <c r="P52" s="44"/>
      <c r="Q52" s="4"/>
      <c r="S52" s="3"/>
      <c r="T52" s="48">
        <v>0.72673611111111114</v>
      </c>
      <c r="U52" s="29">
        <v>1770.2187241843401</v>
      </c>
      <c r="V52" s="29">
        <v>5238.8653830688299</v>
      </c>
      <c r="W52" s="29">
        <v>3434.6399158998001</v>
      </c>
      <c r="X52" s="4">
        <v>-6.5456772543392194</v>
      </c>
      <c r="Y52" s="4">
        <v>-7.1365581717001803E-2</v>
      </c>
      <c r="Z52" s="4">
        <v>3.2969269442307101</v>
      </c>
      <c r="AA52" s="3">
        <f t="shared" si="16"/>
        <v>7.3294413866148131</v>
      </c>
      <c r="AB52" s="3">
        <f t="shared" si="20"/>
        <v>-1.105947551170788E-2</v>
      </c>
      <c r="AC52" s="3">
        <f t="shared" si="17"/>
        <v>6.993503129328543</v>
      </c>
      <c r="AD52" s="48"/>
      <c r="AE52" s="46">
        <f t="shared" si="12"/>
        <v>32.013815882226787</v>
      </c>
      <c r="AF52" s="46">
        <f t="shared" si="13"/>
        <v>-276.1098771605146</v>
      </c>
      <c r="AG52" s="47">
        <f t="shared" si="14"/>
        <v>137534.71597400767</v>
      </c>
      <c r="AH52" s="45" t="str">
        <f t="shared" si="18"/>
        <v>-276.10988,32.01382,137535</v>
      </c>
      <c r="AI52" s="44">
        <f t="shared" si="21"/>
        <v>3103.1669114778488</v>
      </c>
    </row>
    <row r="53" spans="1:35" ht="18" customHeight="1" x14ac:dyDescent="0.25">
      <c r="A53" s="36">
        <f t="shared" si="15"/>
        <v>0.72685185185185186</v>
      </c>
      <c r="B53" s="42">
        <f t="shared" si="0"/>
        <v>32.360216006397046</v>
      </c>
      <c r="C53" s="43">
        <f t="shared" si="1"/>
        <v>84.491011443710704</v>
      </c>
      <c r="D53" s="18">
        <f t="shared" si="2"/>
        <v>136.61384561449358</v>
      </c>
      <c r="E53" s="21" t="str">
        <f t="shared" si="3"/>
        <v>Umbra</v>
      </c>
      <c r="F53" s="23">
        <f>IF($E53&lt;&gt;"Umbra",fracil2($S$2,$S$3,$S$4,$A53,$Q$2,$O$3,$Q$4,$U53,$V53,$W53),0)</f>
        <v>0</v>
      </c>
      <c r="G53" s="19">
        <f t="shared" si="4"/>
        <v>253.81146775872423</v>
      </c>
      <c r="H53" s="19">
        <f t="shared" si="5"/>
        <v>-8.8059709836585114</v>
      </c>
      <c r="I53" s="19">
        <f t="shared" si="6"/>
        <v>-7.6704038975132178</v>
      </c>
      <c r="J53" s="28">
        <f t="shared" si="7"/>
        <v>3.9404219903432083E-2</v>
      </c>
      <c r="K53" s="24">
        <f t="shared" si="8"/>
        <v>2630.4389876709288</v>
      </c>
      <c r="L53" s="32">
        <f t="shared" si="9"/>
        <v>3.6015542612599399E-2</v>
      </c>
      <c r="M53" s="35">
        <f t="shared" si="10"/>
        <v>-17.991649345435775</v>
      </c>
      <c r="O53" s="29">
        <f t="shared" si="11"/>
        <v>2613.2941449596374</v>
      </c>
      <c r="P53" s="44"/>
      <c r="Q53" s="4"/>
      <c r="S53" s="3"/>
      <c r="T53" s="48">
        <v>0.72685185185185186</v>
      </c>
      <c r="U53" s="29">
        <v>1704.63570552906</v>
      </c>
      <c r="V53" s="29">
        <v>5237.7734320291402</v>
      </c>
      <c r="W53" s="29">
        <v>3467.3595843098901</v>
      </c>
      <c r="X53" s="4">
        <v>-6.5707705702579293</v>
      </c>
      <c r="Y53" s="4">
        <v>-0.14702786636309198</v>
      </c>
      <c r="Z53" s="4">
        <v>3.2469236495199896</v>
      </c>
      <c r="AA53" s="3">
        <f t="shared" si="16"/>
        <v>7.3306995755021367</v>
      </c>
      <c r="AB53" s="3">
        <f t="shared" si="20"/>
        <v>-1.2645958378203852E-2</v>
      </c>
      <c r="AC53" s="3">
        <f t="shared" si="17"/>
        <v>6.9947431920071095</v>
      </c>
      <c r="AD53" s="48"/>
      <c r="AE53" s="46">
        <f t="shared" si="12"/>
        <v>32.360216006397046</v>
      </c>
      <c r="AF53" s="46">
        <f t="shared" si="13"/>
        <v>-275.5089885562893</v>
      </c>
      <c r="AG53" s="47">
        <f t="shared" si="14"/>
        <v>136613.84561449359</v>
      </c>
      <c r="AH53" s="45" t="str">
        <f t="shared" si="18"/>
        <v>-275.50899,32.36022,136614</v>
      </c>
      <c r="AI53" s="44">
        <f t="shared" si="21"/>
        <v>3171.5860422865253</v>
      </c>
    </row>
    <row r="54" spans="1:35" ht="18" customHeight="1" x14ac:dyDescent="0.25">
      <c r="A54" s="36">
        <f t="shared" si="15"/>
        <v>0.72696759259259258</v>
      </c>
      <c r="B54" s="42">
        <f t="shared" si="0"/>
        <v>32.703413993891516</v>
      </c>
      <c r="C54" s="43">
        <f t="shared" si="1"/>
        <v>85.09699106779675</v>
      </c>
      <c r="D54" s="18">
        <f t="shared" si="2"/>
        <v>135.57688829269409</v>
      </c>
      <c r="E54" s="21" t="str">
        <f t="shared" si="3"/>
        <v>Umbra</v>
      </c>
      <c r="F54" s="23">
        <f>IF($E54&lt;&gt;"Umbra",fracil2($S$2,$S$3,$S$4,$A54,$Q$2,$O$3,$Q$4,$U54,$V54,$W54),0)</f>
        <v>0</v>
      </c>
      <c r="G54" s="19">
        <f t="shared" si="4"/>
        <v>253.84460283991427</v>
      </c>
      <c r="H54" s="19">
        <f t="shared" si="5"/>
        <v>-8.4414423089350503</v>
      </c>
      <c r="I54" s="19">
        <f t="shared" si="6"/>
        <v>-7.3058752227897568</v>
      </c>
      <c r="J54" s="28">
        <f t="shared" si="7"/>
        <v>3.9462220976223691E-2</v>
      </c>
      <c r="K54" s="24">
        <f t="shared" si="8"/>
        <v>2562.4859658188666</v>
      </c>
      <c r="L54" s="32">
        <f t="shared" si="9"/>
        <v>3.6863094702372805E-2</v>
      </c>
      <c r="M54" s="35">
        <f t="shared" si="10"/>
        <v>-17.724905448932624</v>
      </c>
      <c r="O54" s="29">
        <f t="shared" si="11"/>
        <v>2544.8696141580253</v>
      </c>
      <c r="P54" s="44"/>
      <c r="Q54" s="4"/>
      <c r="S54" s="3"/>
      <c r="T54" s="48">
        <v>0.72696759259259258</v>
      </c>
      <c r="U54" s="29">
        <v>1638.8064463747501</v>
      </c>
      <c r="V54" s="29">
        <v>5235.9247780269807</v>
      </c>
      <c r="W54" s="29">
        <v>3499.5767372097803</v>
      </c>
      <c r="X54" s="4">
        <v>-6.5949255823685</v>
      </c>
      <c r="Y54" s="4">
        <v>-0.22270370480316398</v>
      </c>
      <c r="Z54" s="4">
        <v>3.1964262301232802</v>
      </c>
      <c r="AA54" s="3">
        <f t="shared" si="16"/>
        <v>7.3321061791092248</v>
      </c>
      <c r="AB54" s="3">
        <f t="shared" si="20"/>
        <v>-1.4231773829366589E-2</v>
      </c>
      <c r="AC54" s="3">
        <f t="shared" si="17"/>
        <v>6.9961387597488169</v>
      </c>
      <c r="AD54" s="48"/>
      <c r="AE54" s="46">
        <f t="shared" si="12"/>
        <v>32.703413993891516</v>
      </c>
      <c r="AF54" s="46">
        <f t="shared" si="13"/>
        <v>-274.90300893220325</v>
      </c>
      <c r="AG54" s="47">
        <f t="shared" si="14"/>
        <v>135576.88829269409</v>
      </c>
      <c r="AH54" s="45" t="str">
        <f t="shared" si="18"/>
        <v>-274.90301,32.70341,135577</v>
      </c>
      <c r="AI54" s="44">
        <f t="shared" si="21"/>
        <v>3240.0227328199016</v>
      </c>
    </row>
    <row r="55" spans="1:35" ht="18" customHeight="1" x14ac:dyDescent="0.25">
      <c r="A55" s="36">
        <f t="shared" si="15"/>
        <v>0.7270833333333333</v>
      </c>
      <c r="B55" s="42">
        <f t="shared" si="0"/>
        <v>33.043350058094781</v>
      </c>
      <c r="C55" s="43">
        <f t="shared" si="1"/>
        <v>85.70814429680631</v>
      </c>
      <c r="D55" s="18">
        <f t="shared" si="2"/>
        <v>134.4239033082049</v>
      </c>
      <c r="E55" s="21" t="str">
        <f t="shared" si="3"/>
        <v>Umbra</v>
      </c>
      <c r="F55" s="23">
        <f>IF($E55&lt;&gt;"Umbra",fracil2($S$2,$S$3,$S$4,$A55,$Q$2,$O$3,$Q$4,$U55,$V55,$W55),0)</f>
        <v>0</v>
      </c>
      <c r="G55" s="19">
        <f t="shared" si="4"/>
        <v>253.87813095012922</v>
      </c>
      <c r="H55" s="19">
        <f t="shared" si="5"/>
        <v>-8.0763181257813184</v>
      </c>
      <c r="I55" s="19">
        <f t="shared" si="6"/>
        <v>-6.9407510396360248</v>
      </c>
      <c r="J55" s="28">
        <f t="shared" si="7"/>
        <v>3.9525545174970797E-2</v>
      </c>
      <c r="K55" s="24">
        <f t="shared" si="8"/>
        <v>2494.4199754471656</v>
      </c>
      <c r="L55" s="32">
        <f t="shared" si="9"/>
        <v>3.7708881751606069E-2</v>
      </c>
      <c r="M55" s="35">
        <f t="shared" si="10"/>
        <v>-17.457079619191411</v>
      </c>
      <c r="O55" s="29">
        <f t="shared" si="11"/>
        <v>2476.4245317013074</v>
      </c>
      <c r="P55" s="44"/>
      <c r="Q55" s="4"/>
      <c r="S55" s="3"/>
      <c r="T55" s="48">
        <v>0.7270833333333333</v>
      </c>
      <c r="U55" s="29">
        <v>1572.7403449754502</v>
      </c>
      <c r="V55" s="29">
        <v>5233.3193212001897</v>
      </c>
      <c r="W55" s="29">
        <v>3531.28645538103</v>
      </c>
      <c r="X55" s="4">
        <v>-6.6181391018204803</v>
      </c>
      <c r="Y55" s="4">
        <v>-0.29838615564939197</v>
      </c>
      <c r="Z55" s="4">
        <v>3.1454388242998697</v>
      </c>
      <c r="AA55" s="3">
        <f t="shared" si="16"/>
        <v>7.3336610820477217</v>
      </c>
      <c r="AB55" s="3">
        <f t="shared" si="20"/>
        <v>-1.5816816697561797E-2</v>
      </c>
      <c r="AC55" s="3">
        <f t="shared" si="17"/>
        <v>6.9976897567941796</v>
      </c>
      <c r="AD55" s="48"/>
      <c r="AE55" s="46">
        <f t="shared" si="12"/>
        <v>33.043350058094781</v>
      </c>
      <c r="AF55" s="46">
        <f t="shared" si="13"/>
        <v>-274.29185570319368</v>
      </c>
      <c r="AG55" s="47">
        <f t="shared" si="14"/>
        <v>134423.9033082049</v>
      </c>
      <c r="AH55" s="45" t="str">
        <f t="shared" si="18"/>
        <v>-274.29186,33.04335,134424</v>
      </c>
      <c r="AI55" s="44">
        <f t="shared" si="21"/>
        <v>3308.4795573764482</v>
      </c>
    </row>
    <row r="56" spans="1:35" ht="18" customHeight="1" x14ac:dyDescent="0.25">
      <c r="A56" s="36">
        <f t="shared" si="15"/>
        <v>0.72719907407407403</v>
      </c>
      <c r="B56" s="42">
        <f t="shared" si="0"/>
        <v>33.379962962463637</v>
      </c>
      <c r="C56" s="43">
        <f t="shared" si="1"/>
        <v>86.324552779083646</v>
      </c>
      <c r="D56" s="18">
        <f t="shared" si="2"/>
        <v>133.15496222111597</v>
      </c>
      <c r="E56" s="21" t="str">
        <f t="shared" si="3"/>
        <v>Umbra</v>
      </c>
      <c r="F56" s="23">
        <f>IF($E56&lt;&gt;"Umbra",fracil2($S$2,$S$3,$S$4,$A56,$Q$2,$O$3,$Q$4,$U56,$V56,$W56),0)</f>
        <v>0</v>
      </c>
      <c r="G56" s="19">
        <f t="shared" si="4"/>
        <v>253.91207880217556</v>
      </c>
      <c r="H56" s="19">
        <f t="shared" si="5"/>
        <v>-7.7105432268993122</v>
      </c>
      <c r="I56" s="19">
        <f t="shared" si="6"/>
        <v>-6.5749761407540177</v>
      </c>
      <c r="J56" s="28">
        <f t="shared" si="7"/>
        <v>3.9594747493430615E-2</v>
      </c>
      <c r="K56" s="24">
        <f t="shared" si="8"/>
        <v>2426.2420876351425</v>
      </c>
      <c r="L56" s="32">
        <f t="shared" si="9"/>
        <v>3.8553002837304721E-2</v>
      </c>
      <c r="M56" s="35">
        <f t="shared" si="10"/>
        <v>-17.188122453128273</v>
      </c>
      <c r="O56" s="29">
        <f t="shared" si="11"/>
        <v>2407.9563258680187</v>
      </c>
      <c r="P56" s="44"/>
      <c r="Q56" s="4"/>
      <c r="S56" s="3"/>
      <c r="T56" s="48">
        <v>0.72719907407407403</v>
      </c>
      <c r="U56" s="29">
        <v>1506.44683098014</v>
      </c>
      <c r="V56" s="29">
        <v>5229.9570320578405</v>
      </c>
      <c r="W56" s="29">
        <v>3562.4838621572899</v>
      </c>
      <c r="X56" s="4">
        <v>-6.6404079186642804</v>
      </c>
      <c r="Y56" s="4">
        <v>-0.37406825941892902</v>
      </c>
      <c r="Z56" s="4">
        <v>3.09396557397314</v>
      </c>
      <c r="AA56" s="3">
        <f t="shared" si="16"/>
        <v>7.3353641601419444</v>
      </c>
      <c r="AB56" s="3">
        <f t="shared" si="20"/>
        <v>-1.7400981629322462E-2</v>
      </c>
      <c r="AC56" s="3">
        <f t="shared" si="17"/>
        <v>6.9993960970527507</v>
      </c>
      <c r="AD56" s="48"/>
      <c r="AE56" s="46">
        <f t="shared" si="12"/>
        <v>33.379962962463637</v>
      </c>
      <c r="AF56" s="46">
        <f t="shared" si="13"/>
        <v>-273.67544722091634</v>
      </c>
      <c r="AG56" s="47">
        <f t="shared" si="14"/>
        <v>133154.96222111597</v>
      </c>
      <c r="AH56" s="45" t="str">
        <f t="shared" si="18"/>
        <v>-273.67545,33.37996,133155</v>
      </c>
      <c r="AI56" s="44">
        <f t="shared" si="21"/>
        <v>3376.9590943174207</v>
      </c>
    </row>
    <row r="57" spans="1:35" ht="18" customHeight="1" x14ac:dyDescent="0.25">
      <c r="A57" s="36">
        <f t="shared" si="15"/>
        <v>0.72731481481481486</v>
      </c>
      <c r="B57" s="42">
        <f t="shared" si="0"/>
        <v>33.713190004952708</v>
      </c>
      <c r="C57" s="43">
        <f t="shared" si="1"/>
        <v>86.946297108087194</v>
      </c>
      <c r="D57" s="18">
        <f t="shared" si="2"/>
        <v>131.77014885021981</v>
      </c>
      <c r="E57" s="21" t="str">
        <f t="shared" si="3"/>
        <v>Umbra</v>
      </c>
      <c r="F57" s="23">
        <f>IF($E57&lt;&gt;"Umbra",fracil2($S$2,$S$3,$S$4,$A57,$Q$2,$O$3,$Q$4,$U57,$V57,$W57),0)</f>
        <v>0</v>
      </c>
      <c r="G57" s="19">
        <f t="shared" si="4"/>
        <v>253.94647633951294</v>
      </c>
      <c r="H57" s="19">
        <f t="shared" si="5"/>
        <v>-7.3440565395688937</v>
      </c>
      <c r="I57" s="19">
        <f t="shared" si="6"/>
        <v>-6.2084894534235993</v>
      </c>
      <c r="J57" s="28">
        <f t="shared" si="7"/>
        <v>3.9670467131741917E-2</v>
      </c>
      <c r="K57" s="24">
        <f t="shared" si="8"/>
        <v>2357.9533750062674</v>
      </c>
      <c r="L57" s="32">
        <f t="shared" si="9"/>
        <v>3.9395562409456568E-2</v>
      </c>
      <c r="M57" s="35">
        <f t="shared" si="10"/>
        <v>-16.917978083350864</v>
      </c>
      <c r="O57" s="29">
        <f t="shared" si="11"/>
        <v>2339.4624215390659</v>
      </c>
      <c r="P57" s="44"/>
      <c r="Q57" s="4"/>
      <c r="S57" s="3"/>
      <c r="T57" s="48">
        <v>0.72731481481481486</v>
      </c>
      <c r="U57" s="29">
        <v>1439.9353656309802</v>
      </c>
      <c r="V57" s="29">
        <v>5225.8379516288396</v>
      </c>
      <c r="W57" s="29">
        <v>3593.1641234192098</v>
      </c>
      <c r="X57" s="4">
        <v>-6.6617288013332399</v>
      </c>
      <c r="Y57" s="4">
        <v>-0.44974303638222102</v>
      </c>
      <c r="Z57" s="4">
        <v>3.042010626243</v>
      </c>
      <c r="AA57" s="3">
        <f t="shared" si="16"/>
        <v>7.3372152804359247</v>
      </c>
      <c r="AB57" s="3">
        <f t="shared" si="20"/>
        <v>-1.8984163045649729E-2</v>
      </c>
      <c r="AC57" s="3">
        <f t="shared" si="17"/>
        <v>7.0012576840810086</v>
      </c>
      <c r="AD57" s="48"/>
      <c r="AE57" s="46">
        <f t="shared" si="12"/>
        <v>33.713190004952708</v>
      </c>
      <c r="AF57" s="46">
        <f t="shared" si="13"/>
        <v>-273.05370289191279</v>
      </c>
      <c r="AG57" s="47">
        <f t="shared" si="14"/>
        <v>131770.14885021982</v>
      </c>
      <c r="AH57" s="45" t="str">
        <f t="shared" si="18"/>
        <v>-273.05370,33.71319,131770</v>
      </c>
      <c r="AI57" s="44">
        <f t="shared" si="21"/>
        <v>3445.463926150619</v>
      </c>
    </row>
    <row r="58" spans="1:35" ht="18" customHeight="1" x14ac:dyDescent="0.25">
      <c r="A58" s="36">
        <f t="shared" si="15"/>
        <v>0.72743055555555558</v>
      </c>
      <c r="B58" s="42">
        <f t="shared" si="0"/>
        <v>34.04296700396425</v>
      </c>
      <c r="C58" s="43">
        <f t="shared" si="1"/>
        <v>87.573456697565021</v>
      </c>
      <c r="D58" s="18">
        <f t="shared" si="2"/>
        <v>130.26955927364452</v>
      </c>
      <c r="E58" s="21" t="str">
        <f t="shared" si="3"/>
        <v>Umbra</v>
      </c>
      <c r="F58" s="23">
        <f>IF($E58&lt;&gt;"Umbra",fracil2($S$2,$S$3,$S$4,$A58,$Q$2,$O$3,$Q$4,$U58,$V58,$W58),0)</f>
        <v>0</v>
      </c>
      <c r="G58" s="19">
        <f t="shared" si="4"/>
        <v>253.98135722823028</v>
      </c>
      <c r="H58" s="19">
        <f t="shared" si="5"/>
        <v>-6.9767902309228207</v>
      </c>
      <c r="I58" s="19">
        <f t="shared" si="6"/>
        <v>-5.8412231447775262</v>
      </c>
      <c r="J58" s="28">
        <f t="shared" si="7"/>
        <v>3.975344332707284E-2</v>
      </c>
      <c r="K58" s="24">
        <f t="shared" si="8"/>
        <v>2289.5549123498572</v>
      </c>
      <c r="L58" s="32">
        <f t="shared" si="9"/>
        <v>4.0236671153092422E-2</v>
      </c>
      <c r="M58" s="35">
        <f t="shared" si="10"/>
        <v>-16.646583207257091</v>
      </c>
      <c r="O58" s="29">
        <f t="shared" si="11"/>
        <v>2270.9402401497132</v>
      </c>
      <c r="P58" s="44"/>
      <c r="Q58" s="4"/>
      <c r="S58" s="3"/>
      <c r="T58" s="48">
        <v>0.72743055555555558</v>
      </c>
      <c r="U58" s="29">
        <v>1373.2154419676301</v>
      </c>
      <c r="V58" s="29">
        <v>5220.9621916335</v>
      </c>
      <c r="W58" s="29">
        <v>3623.3224476046703</v>
      </c>
      <c r="X58" s="4">
        <v>-6.6820984961767396</v>
      </c>
      <c r="Y58" s="4">
        <v>-0.52540348440805096</v>
      </c>
      <c r="Z58" s="4">
        <v>2.9895781349288599</v>
      </c>
      <c r="AA58" s="3">
        <f t="shared" si="16"/>
        <v>7.3392143011960265</v>
      </c>
      <c r="AB58" s="3">
        <f t="shared" si="20"/>
        <v>-2.0566255103111424E-2</v>
      </c>
      <c r="AC58" s="3">
        <f t="shared" si="17"/>
        <v>7.0032744110564193</v>
      </c>
      <c r="AD58" s="48"/>
      <c r="AE58" s="46">
        <f t="shared" si="12"/>
        <v>34.04296700396425</v>
      </c>
      <c r="AF58" s="46">
        <f t="shared" si="13"/>
        <v>-272.42654330243499</v>
      </c>
      <c r="AG58" s="47">
        <f t="shared" si="14"/>
        <v>130269.55927364453</v>
      </c>
      <c r="AH58" s="45" t="str">
        <f t="shared" si="18"/>
        <v>-272.42654,34.04297,130270</v>
      </c>
      <c r="AI58" s="44">
        <f t="shared" si="21"/>
        <v>3513.996639617445</v>
      </c>
    </row>
    <row r="59" spans="1:35" ht="18" customHeight="1" x14ac:dyDescent="0.25">
      <c r="A59" s="36">
        <f t="shared" si="15"/>
        <v>0.7275462962962963</v>
      </c>
      <c r="B59" s="42">
        <f t="shared" si="0"/>
        <v>34.369228285951465</v>
      </c>
      <c r="C59" s="43">
        <f t="shared" si="1"/>
        <v>88.206109649910786</v>
      </c>
      <c r="D59" s="18">
        <f t="shared" si="2"/>
        <v>128.6533018317532</v>
      </c>
      <c r="E59" s="21" t="str">
        <f t="shared" si="3"/>
        <v>Umbra</v>
      </c>
      <c r="F59" s="23">
        <f>IF($E59&lt;&gt;"Umbra",fracil2($S$2,$S$3,$S$4,$A59,$Q$2,$O$3,$Q$4,$U59,$V59,$W59),0)</f>
        <v>0</v>
      </c>
      <c r="G59" s="19">
        <f t="shared" si="4"/>
        <v>254.01675944226312</v>
      </c>
      <c r="H59" s="19">
        <f t="shared" si="5"/>
        <v>-6.6086686438498683</v>
      </c>
      <c r="I59" s="19">
        <f t="shared" si="6"/>
        <v>-5.4731015577045738</v>
      </c>
      <c r="J59" s="28">
        <f t="shared" si="7"/>
        <v>3.9844534770265047E-2</v>
      </c>
      <c r="K59" s="24">
        <f t="shared" si="8"/>
        <v>2221.0477772795289</v>
      </c>
      <c r="L59" s="32">
        <f t="shared" si="9"/>
        <v>4.1076447012534927E-2</v>
      </c>
      <c r="M59" s="35">
        <f t="shared" si="10"/>
        <v>-16.373865931860994</v>
      </c>
      <c r="O59" s="29">
        <f t="shared" si="11"/>
        <v>2202.3871996494909</v>
      </c>
      <c r="P59" s="44"/>
      <c r="Q59" s="4"/>
      <c r="S59" s="3"/>
      <c r="T59" s="48">
        <v>0.7275462962962963</v>
      </c>
      <c r="U59" s="29">
        <v>1306.29658503876</v>
      </c>
      <c r="V59" s="29">
        <v>5215.3299346777203</v>
      </c>
      <c r="W59" s="29">
        <v>3652.9540857342299</v>
      </c>
      <c r="X59" s="4">
        <v>-6.7015137270447802</v>
      </c>
      <c r="Y59" s="4">
        <v>-0.601042576803412</v>
      </c>
      <c r="Z59" s="4">
        <v>2.9366722621435604</v>
      </c>
      <c r="AA59" s="3">
        <f t="shared" si="16"/>
        <v>7.3413610719091782</v>
      </c>
      <c r="AB59" s="3">
        <f t="shared" si="20"/>
        <v>-2.2147151654911958E-2</v>
      </c>
      <c r="AC59" s="3">
        <f t="shared" si="17"/>
        <v>7.0054461607476997</v>
      </c>
      <c r="AD59" s="48"/>
      <c r="AE59" s="46">
        <f t="shared" si="12"/>
        <v>34.369228285951465</v>
      </c>
      <c r="AF59" s="46">
        <f t="shared" si="13"/>
        <v>-271.79389035008921</v>
      </c>
      <c r="AG59" s="47">
        <f t="shared" si="14"/>
        <v>128653.3018317532</v>
      </c>
      <c r="AH59" s="45" t="str">
        <f t="shared" si="18"/>
        <v>-271.79389,34.36923,128653</v>
      </c>
      <c r="AI59" s="44">
        <f t="shared" si="21"/>
        <v>3582.5598257796491</v>
      </c>
    </row>
    <row r="60" spans="1:35" ht="18" customHeight="1" x14ac:dyDescent="0.25">
      <c r="A60" s="36">
        <f t="shared" si="15"/>
        <v>0.72766203703703702</v>
      </c>
      <c r="B60" s="42">
        <f t="shared" si="0"/>
        <v>34.691906674819712</v>
      </c>
      <c r="C60" s="43">
        <f t="shared" si="1"/>
        <v>88.844332617606</v>
      </c>
      <c r="D60" s="18">
        <f t="shared" si="2"/>
        <v>126.92149713246454</v>
      </c>
      <c r="E60" s="21" t="str">
        <f t="shared" si="3"/>
        <v>Umbra</v>
      </c>
      <c r="F60" s="23">
        <f>IF($E60&lt;&gt;"Umbra",fracil2($S$2,$S$3,$S$4,$A60,$Q$2,$O$3,$Q$4,$U60,$V60,$W60),0)</f>
        <v>0</v>
      </c>
      <c r="G60" s="19">
        <f t="shared" si="4"/>
        <v>254.05272596312045</v>
      </c>
      <c r="H60" s="19">
        <f t="shared" si="5"/>
        <v>-6.2396070248913205</v>
      </c>
      <c r="I60" s="19">
        <f t="shared" si="6"/>
        <v>-5.1040399387460269</v>
      </c>
      <c r="J60" s="28">
        <f t="shared" si="7"/>
        <v>3.9944743568150462E-2</v>
      </c>
      <c r="K60" s="24">
        <f t="shared" si="8"/>
        <v>2152.4330509347269</v>
      </c>
      <c r="L60" s="32">
        <f t="shared" si="9"/>
        <v>4.1915016414839197E-2</v>
      </c>
      <c r="M60" s="35">
        <f t="shared" si="10"/>
        <v>-16.099744392322837</v>
      </c>
      <c r="O60" s="29">
        <f t="shared" si="11"/>
        <v>2133.8007144703988</v>
      </c>
      <c r="P60" s="44"/>
      <c r="Q60" s="4"/>
      <c r="S60" s="3"/>
      <c r="T60" s="48">
        <v>0.72766203703703702</v>
      </c>
      <c r="U60" s="29">
        <v>1239.1883521173302</v>
      </c>
      <c r="V60" s="29">
        <v>5208.9414344704801</v>
      </c>
      <c r="W60" s="29">
        <v>3682.0543314526203</v>
      </c>
      <c r="X60" s="4">
        <v>-6.7199711949241898</v>
      </c>
      <c r="Y60" s="4">
        <v>-0.67665326015185889</v>
      </c>
      <c r="Z60" s="4">
        <v>2.8832971798981299</v>
      </c>
      <c r="AA60" s="3">
        <f t="shared" si="16"/>
        <v>7.3436554332766386</v>
      </c>
      <c r="AB60" s="3">
        <f t="shared" si="20"/>
        <v>-2.3726746211692431E-2</v>
      </c>
      <c r="AC60" s="3">
        <f t="shared" si="17"/>
        <v>7.0077728054812178</v>
      </c>
      <c r="AD60" s="48"/>
      <c r="AE60" s="46">
        <f t="shared" si="12"/>
        <v>34.691906674819712</v>
      </c>
      <c r="AF60" s="46">
        <f t="shared" si="13"/>
        <v>-271.15566738239397</v>
      </c>
      <c r="AG60" s="47">
        <f t="shared" si="14"/>
        <v>126921.49713246454</v>
      </c>
      <c r="AH60" s="45" t="str">
        <f t="shared" si="18"/>
        <v>-271.15567,34.69191,126921</v>
      </c>
      <c r="AI60" s="44">
        <f t="shared" si="21"/>
        <v>3651.1560801068363</v>
      </c>
    </row>
    <row r="61" spans="1:35" ht="18" customHeight="1" x14ac:dyDescent="0.25">
      <c r="A61" s="36">
        <f t="shared" si="15"/>
        <v>0.72777777777777775</v>
      </c>
      <c r="B61" s="42">
        <f t="shared" si="0"/>
        <v>35.010933483267216</v>
      </c>
      <c r="C61" s="43">
        <f t="shared" si="1"/>
        <v>89.488200657644768</v>
      </c>
      <c r="D61" s="18">
        <f t="shared" si="2"/>
        <v>125.07427805897714</v>
      </c>
      <c r="E61" s="21" t="str">
        <f t="shared" si="3"/>
        <v>Umbra</v>
      </c>
      <c r="F61" s="23">
        <f>IF($E61&lt;&gt;"Umbra",fracil2($S$2,$S$3,$S$4,$A61,$Q$2,$O$3,$Q$4,$U61,$V61,$W61),0)</f>
        <v>0</v>
      </c>
      <c r="G61" s="19">
        <f t="shared" si="4"/>
        <v>254.08930562114114</v>
      </c>
      <c r="H61" s="19">
        <f t="shared" si="5"/>
        <v>-5.8695099951146457</v>
      </c>
      <c r="I61" s="19">
        <f t="shared" si="6"/>
        <v>-4.7339429089693521</v>
      </c>
      <c r="J61" s="28">
        <f t="shared" si="7"/>
        <v>4.0055245010090348E-2</v>
      </c>
      <c r="K61" s="24">
        <f t="shared" si="8"/>
        <v>2083.7118187364576</v>
      </c>
      <c r="L61" s="32">
        <f t="shared" si="9"/>
        <v>4.2752515739128187E-2</v>
      </c>
      <c r="M61" s="35">
        <f t="shared" si="10"/>
        <v>-15.824125090842088</v>
      </c>
      <c r="O61" s="29">
        <f t="shared" si="11"/>
        <v>2065.178195507192</v>
      </c>
      <c r="P61" s="44"/>
      <c r="Q61" s="4"/>
      <c r="S61" s="3"/>
      <c r="T61" s="48">
        <v>0.72777777777777775</v>
      </c>
      <c r="U61" s="29">
        <v>1171.9003329242</v>
      </c>
      <c r="V61" s="29">
        <v>5201.7970160635805</v>
      </c>
      <c r="W61" s="29">
        <v>3710.61852108622</v>
      </c>
      <c r="X61" s="4">
        <v>-6.73746757762747</v>
      </c>
      <c r="Y61" s="4">
        <v>-0.75222845214416001</v>
      </c>
      <c r="Z61" s="4">
        <v>2.8294570717375298</v>
      </c>
      <c r="AA61" s="3">
        <f t="shared" si="16"/>
        <v>7.346097217203301</v>
      </c>
      <c r="AB61" s="3">
        <f t="shared" si="20"/>
        <v>-2.5304931902428933E-2</v>
      </c>
      <c r="AC61" s="3">
        <f t="shared" si="17"/>
        <v>7.0102542071035696</v>
      </c>
      <c r="AD61" s="48"/>
      <c r="AE61" s="46">
        <f t="shared" si="12"/>
        <v>35.010933483267216</v>
      </c>
      <c r="AF61" s="46">
        <f t="shared" si="13"/>
        <v>-270.51179934235523</v>
      </c>
      <c r="AG61" s="47">
        <f t="shared" si="14"/>
        <v>125074.27805897714</v>
      </c>
      <c r="AH61" s="45" t="str">
        <f t="shared" si="18"/>
        <v>-270.51180,35.01093,125074</v>
      </c>
      <c r="AI61" s="44">
        <f t="shared" si="21"/>
        <v>3719.7880025633513</v>
      </c>
    </row>
    <row r="62" spans="1:35" ht="18" customHeight="1" x14ac:dyDescent="0.25">
      <c r="A62" s="36">
        <f t="shared" si="15"/>
        <v>0.72789351851851847</v>
      </c>
      <c r="B62" s="42">
        <f t="shared" si="0"/>
        <v>35.326236680203586</v>
      </c>
      <c r="C62" s="43">
        <f t="shared" si="1"/>
        <v>90.137783239698862</v>
      </c>
      <c r="D62" s="18">
        <f t="shared" si="2"/>
        <v>123.11181270731231</v>
      </c>
      <c r="E62" s="21" t="str">
        <f t="shared" si="3"/>
        <v>Umbra</v>
      </c>
      <c r="F62" s="23">
        <f>IF($E62&lt;&gt;"Umbra",fracil2($S$2,$S$3,$S$4,$A62,$Q$2,$O$3,$Q$4,$U62,$V62,$W62),0)</f>
        <v>0</v>
      </c>
      <c r="G62" s="19">
        <f t="shared" si="4"/>
        <v>254.12655394362639</v>
      </c>
      <c r="H62" s="19">
        <f t="shared" si="5"/>
        <v>-5.4982715766238321</v>
      </c>
      <c r="I62" s="19">
        <f t="shared" si="6"/>
        <v>-4.3627044904785386</v>
      </c>
      <c r="J62" s="28">
        <f t="shared" si="7"/>
        <v>4.0177440657992863E-2</v>
      </c>
      <c r="K62" s="24">
        <f t="shared" si="8"/>
        <v>2014.8855778867521</v>
      </c>
      <c r="L62" s="32">
        <f t="shared" si="9"/>
        <v>4.3589089420956649E-2</v>
      </c>
      <c r="M62" s="35">
        <f t="shared" si="10"/>
        <v>-15.546902274903578</v>
      </c>
      <c r="O62" s="29">
        <f t="shared" si="11"/>
        <v>1996.5174532457659</v>
      </c>
      <c r="P62" s="44"/>
      <c r="Q62" s="4"/>
      <c r="S62" s="3"/>
      <c r="T62" s="48">
        <v>0.72789351851851847</v>
      </c>
      <c r="U62" s="29">
        <v>1104.44252660598</v>
      </c>
      <c r="V62" s="29">
        <v>5193.8971372082196</v>
      </c>
      <c r="W62" s="29">
        <v>3738.6418784855</v>
      </c>
      <c r="X62" s="4">
        <v>-6.7539818936036902</v>
      </c>
      <c r="Y62" s="4">
        <v>-0.82775513725004202</v>
      </c>
      <c r="Z62" s="4">
        <v>2.7751517106698502</v>
      </c>
      <c r="AA62" s="3">
        <f t="shared" si="16"/>
        <v>7.348667702625022</v>
      </c>
      <c r="AB62" s="3">
        <f t="shared" si="20"/>
        <v>-2.6692432371270967E-2</v>
      </c>
      <c r="AC62" s="3">
        <f t="shared" si="17"/>
        <v>7.012871667021896</v>
      </c>
      <c r="AD62" s="48"/>
      <c r="AE62" s="46">
        <f t="shared" si="12"/>
        <v>35.326236680203586</v>
      </c>
      <c r="AF62" s="46">
        <f t="shared" si="13"/>
        <v>-269.86221676030112</v>
      </c>
      <c r="AG62" s="47">
        <f t="shared" si="14"/>
        <v>123111.81270731232</v>
      </c>
      <c r="AH62" s="45" t="str">
        <f t="shared" si="18"/>
        <v>-269.86222,35.32624,123112</v>
      </c>
      <c r="AI62" s="44">
        <f t="shared" si="21"/>
        <v>3788.4577945426804</v>
      </c>
    </row>
    <row r="63" spans="1:35" ht="18" customHeight="1" x14ac:dyDescent="0.25">
      <c r="A63" s="36">
        <f t="shared" si="15"/>
        <v>0.7280092592592593</v>
      </c>
      <c r="B63" s="42">
        <f t="shared" si="0"/>
        <v>35.637748242450932</v>
      </c>
      <c r="C63" s="43">
        <f t="shared" si="1"/>
        <v>90.793159501389084</v>
      </c>
      <c r="D63" s="18">
        <f t="shared" si="2"/>
        <v>121.03406714540506</v>
      </c>
      <c r="E63" s="21" t="str">
        <f t="shared" si="3"/>
        <v>Umbra</v>
      </c>
      <c r="F63" s="23">
        <f>IF($E63&lt;&gt;"Umbra",fracil2($S$2,$S$3,$S$4,$A63,$Q$2,$O$3,$Q$4,$U63,$V63,$W63),0)</f>
        <v>0</v>
      </c>
      <c r="G63" s="19">
        <f t="shared" si="4"/>
        <v>254.16453501936655</v>
      </c>
      <c r="H63" s="19">
        <f t="shared" si="5"/>
        <v>-5.1257695906665939</v>
      </c>
      <c r="I63" s="19">
        <f t="shared" si="6"/>
        <v>-3.9902025045212999</v>
      </c>
      <c r="J63" s="28">
        <f t="shared" si="7"/>
        <v>4.0312898409942725E-2</v>
      </c>
      <c r="K63" s="24">
        <f t="shared" si="8"/>
        <v>1945.9545724584179</v>
      </c>
      <c r="L63" s="32">
        <f t="shared" si="9"/>
        <v>4.4424898079019809E-2</v>
      </c>
      <c r="M63" s="35">
        <f t="shared" si="10"/>
        <v>-15.267952779679071</v>
      </c>
      <c r="O63" s="29">
        <f t="shared" si="11"/>
        <v>1927.8150766000895</v>
      </c>
      <c r="P63" s="44"/>
      <c r="Q63" s="4"/>
      <c r="S63" s="3"/>
      <c r="T63" s="48">
        <v>0.7280092592592593</v>
      </c>
      <c r="U63" s="29">
        <v>1036.82380375149</v>
      </c>
      <c r="V63" s="29">
        <v>5185.2420316412799</v>
      </c>
      <c r="W63" s="29">
        <v>3766.1200568122699</v>
      </c>
      <c r="X63" s="4">
        <v>-6.7695495776153907</v>
      </c>
      <c r="Y63" s="4">
        <v>-0.90323985242583604</v>
      </c>
      <c r="Z63" s="4">
        <v>2.7203947692752899</v>
      </c>
      <c r="AA63" s="3">
        <f t="shared" si="16"/>
        <v>7.3514074445308308</v>
      </c>
      <c r="AB63" s="3">
        <f t="shared" si="20"/>
        <v>-2.8494048335913527E-2</v>
      </c>
      <c r="AC63" s="3">
        <f t="shared" si="17"/>
        <v>7.0156657934017179</v>
      </c>
      <c r="AD63" s="48"/>
      <c r="AE63" s="46">
        <f t="shared" si="12"/>
        <v>35.637748242450932</v>
      </c>
      <c r="AF63" s="46">
        <f t="shared" si="13"/>
        <v>-269.20684049861092</v>
      </c>
      <c r="AG63" s="47">
        <f t="shared" si="14"/>
        <v>121034.06714540506</v>
      </c>
      <c r="AH63" s="45" t="str">
        <f t="shared" si="18"/>
        <v>-269.20684,35.63775,121034</v>
      </c>
      <c r="AI63" s="44">
        <f t="shared" si="21"/>
        <v>3857.1688801838536</v>
      </c>
    </row>
    <row r="64" spans="1:35" ht="18" customHeight="1" x14ac:dyDescent="0.25">
      <c r="A64" s="36">
        <f t="shared" si="15"/>
        <v>0.72812500000000002</v>
      </c>
      <c r="B64" s="42">
        <f t="shared" si="0"/>
        <v>35.945392796898702</v>
      </c>
      <c r="C64" s="43">
        <f t="shared" si="1"/>
        <v>91.454394314681053</v>
      </c>
      <c r="D64" s="18">
        <f t="shared" si="2"/>
        <v>118.84132069779571</v>
      </c>
      <c r="E64" s="21" t="str">
        <f t="shared" si="3"/>
        <v>Umbra</v>
      </c>
      <c r="F64" s="23">
        <f>IF($E64&lt;&gt;"Umbra",fracil2($S$2,$S$3,$S$4,$A64,$Q$2,$O$3,$Q$4,$U64,$V64,$W64),0)</f>
        <v>0</v>
      </c>
      <c r="G64" s="19">
        <f t="shared" si="4"/>
        <v>254.20332214900012</v>
      </c>
      <c r="H64" s="19">
        <f t="shared" si="5"/>
        <v>-4.7518641505154724</v>
      </c>
      <c r="I64" s="19">
        <f t="shared" si="6"/>
        <v>-3.6162970643701784</v>
      </c>
      <c r="J64" s="28">
        <f t="shared" si="7"/>
        <v>4.0463610218604264E-2</v>
      </c>
      <c r="K64" s="24">
        <f t="shared" si="8"/>
        <v>1876.9203977165732</v>
      </c>
      <c r="L64" s="32">
        <f t="shared" si="9"/>
        <v>4.5260120142600974E-2</v>
      </c>
      <c r="M64" s="35">
        <f t="shared" si="10"/>
        <v>-14.987134506201336</v>
      </c>
      <c r="O64" s="29">
        <f t="shared" si="11"/>
        <v>1859.0689347080991</v>
      </c>
      <c r="P64" s="44"/>
      <c r="Q64" s="4"/>
      <c r="S64" s="3"/>
      <c r="T64" s="48">
        <v>0.72812500000000002</v>
      </c>
      <c r="U64" s="29">
        <v>969.05430826984605</v>
      </c>
      <c r="V64" s="29">
        <v>5175.8323735650101</v>
      </c>
      <c r="W64" s="29">
        <v>3793.04838672081</v>
      </c>
      <c r="X64" s="4">
        <v>-6.7841446648094195</v>
      </c>
      <c r="Y64" s="4">
        <v>-0.97866767576268499</v>
      </c>
      <c r="Z64" s="4">
        <v>2.6651847820879504</v>
      </c>
      <c r="AA64" s="3">
        <f t="shared" si="16"/>
        <v>7.35429256797131</v>
      </c>
      <c r="AB64" s="3">
        <f t="shared" si="20"/>
        <v>-3.0052289738228481E-2</v>
      </c>
      <c r="AC64" s="3">
        <f t="shared" si="17"/>
        <v>7.0186127209334481</v>
      </c>
      <c r="AD64" s="48"/>
      <c r="AE64" s="46">
        <f t="shared" si="12"/>
        <v>35.945392796898702</v>
      </c>
      <c r="AF64" s="46">
        <f t="shared" si="13"/>
        <v>-268.54560568531895</v>
      </c>
      <c r="AG64" s="47">
        <f t="shared" si="14"/>
        <v>118841.32069779572</v>
      </c>
      <c r="AH64" s="45" t="str">
        <f t="shared" si="18"/>
        <v>-268.54561,35.94539,118841</v>
      </c>
      <c r="AI64" s="44">
        <f t="shared" si="21"/>
        <v>3925.9234046663755</v>
      </c>
    </row>
    <row r="65" spans="1:35" ht="18" customHeight="1" x14ac:dyDescent="0.25">
      <c r="A65" s="36">
        <f t="shared" si="15"/>
        <v>0.72824074074074074</v>
      </c>
      <c r="B65" s="42">
        <f t="shared" si="0"/>
        <v>36.249094948146755</v>
      </c>
      <c r="C65" s="43">
        <f t="shared" si="1"/>
        <v>92.121553298748339</v>
      </c>
      <c r="D65" s="18">
        <f t="shared" si="2"/>
        <v>116.53376677372944</v>
      </c>
      <c r="E65" s="21" t="str">
        <f t="shared" si="3"/>
        <v>Umbra</v>
      </c>
      <c r="F65" s="23">
        <f>IF($E65&lt;&gt;"Umbra",fracil2($S$2,$S$3,$S$4,$A65,$Q$2,$O$3,$Q$4,$U65,$V65,$W65),0)</f>
        <v>0</v>
      </c>
      <c r="G65" s="19">
        <f t="shared" si="4"/>
        <v>254.24300022026739</v>
      </c>
      <c r="H65" s="19">
        <f t="shared" si="5"/>
        <v>-4.3763951986960814</v>
      </c>
      <c r="I65" s="19">
        <f t="shared" si="6"/>
        <v>-3.2408281125507874</v>
      </c>
      <c r="J65" s="28">
        <f t="shared" si="7"/>
        <v>4.0631920167698357E-2</v>
      </c>
      <c r="K65" s="24">
        <f t="shared" si="8"/>
        <v>1807.7843156089143</v>
      </c>
      <c r="L65" s="32">
        <f t="shared" si="9"/>
        <v>4.6094952148691089E-2</v>
      </c>
      <c r="M65" s="35">
        <f t="shared" si="10"/>
        <v>-14.704282986541633</v>
      </c>
      <c r="O65" s="29">
        <f t="shared" si="11"/>
        <v>1790.2765718313528</v>
      </c>
      <c r="P65" s="44"/>
      <c r="Q65" s="4"/>
      <c r="S65" s="3"/>
      <c r="T65" s="48">
        <v>0.72824074074074074</v>
      </c>
      <c r="U65" s="29">
        <v>901.14390316614492</v>
      </c>
      <c r="V65" s="29">
        <v>5165.6688058732807</v>
      </c>
      <c r="W65" s="29">
        <v>3819.4223258242596</v>
      </c>
      <c r="X65" s="4">
        <v>-6.7977571344567895</v>
      </c>
      <c r="Y65" s="4">
        <v>-1.0540293112472401</v>
      </c>
      <c r="Z65" s="4">
        <v>2.6095241924984096</v>
      </c>
      <c r="AA65" s="3">
        <f t="shared" si="16"/>
        <v>7.3573158393031486</v>
      </c>
      <c r="AB65" s="3">
        <f t="shared" si="20"/>
        <v>-3.1536970914271246E-2</v>
      </c>
      <c r="AC65" s="3">
        <f t="shared" si="17"/>
        <v>7.0217052363013011</v>
      </c>
      <c r="AD65" s="48"/>
      <c r="AE65" s="46">
        <f t="shared" si="12"/>
        <v>36.249094948146755</v>
      </c>
      <c r="AF65" s="46">
        <f t="shared" si="13"/>
        <v>-267.87844670125168</v>
      </c>
      <c r="AG65" s="47">
        <f t="shared" si="14"/>
        <v>116533.76677372944</v>
      </c>
      <c r="AH65" s="45" t="str">
        <f t="shared" si="18"/>
        <v>-267.87845,36.24909,116534</v>
      </c>
      <c r="AI65" s="44">
        <f t="shared" si="21"/>
        <v>3994.7238394573046</v>
      </c>
    </row>
    <row r="66" spans="1:35" ht="18" customHeight="1" x14ac:dyDescent="0.25">
      <c r="A66" s="36">
        <f t="shared" si="15"/>
        <v>0.72835648148148147</v>
      </c>
      <c r="B66" s="42">
        <f t="shared" si="0"/>
        <v>36.548778297679121</v>
      </c>
      <c r="C66" s="43">
        <f t="shared" si="1"/>
        <v>92.794700700325834</v>
      </c>
      <c r="D66" s="18">
        <f t="shared" si="2"/>
        <v>114.1115766493067</v>
      </c>
      <c r="E66" s="21" t="str">
        <f t="shared" si="3"/>
        <v>Umbra</v>
      </c>
      <c r="F66" s="23">
        <f>IF($E66&lt;&gt;"Umbra",fracil2($S$2,$S$3,$S$4,$A66,$Q$2,$O$3,$Q$4,$U66,$V66,$W66),0)</f>
        <v>0</v>
      </c>
      <c r="G66" s="19">
        <f t="shared" si="4"/>
        <v>254.28366798120916</v>
      </c>
      <c r="H66" s="19">
        <f t="shared" si="5"/>
        <v>-3.9991780007937385</v>
      </c>
      <c r="I66" s="19">
        <f t="shared" si="6"/>
        <v>-2.8636109146484445</v>
      </c>
      <c r="J66" s="28">
        <f t="shared" si="7"/>
        <v>4.0820642784946702E-2</v>
      </c>
      <c r="K66" s="24">
        <f t="shared" si="8"/>
        <v>1738.5474787834394</v>
      </c>
      <c r="L66" s="32">
        <f t="shared" si="9"/>
        <v>4.6929613503058E-2</v>
      </c>
      <c r="M66" s="35">
        <f t="shared" si="10"/>
        <v>-14.41920664156476</v>
      </c>
      <c r="O66" s="29">
        <f t="shared" si="11"/>
        <v>1721.4354167605452</v>
      </c>
      <c r="P66" s="44"/>
      <c r="Q66" s="4"/>
      <c r="S66" s="3"/>
      <c r="T66" s="48">
        <v>0.72835648148148147</v>
      </c>
      <c r="U66" s="29">
        <v>833.10237645249299</v>
      </c>
      <c r="V66" s="29">
        <v>5154.7520064001901</v>
      </c>
      <c r="W66" s="29">
        <v>3845.2374024785299</v>
      </c>
      <c r="X66" s="4">
        <v>-6.8103823286361704</v>
      </c>
      <c r="Y66" s="4">
        <v>-1.1293174610179799</v>
      </c>
      <c r="Z66" s="4">
        <v>2.5534166612686802</v>
      </c>
      <c r="AA66" s="3">
        <f t="shared" si="16"/>
        <v>7.3604756664229534</v>
      </c>
      <c r="AB66" s="3">
        <f t="shared" si="20"/>
        <v>-3.3005651716237816E-2</v>
      </c>
      <c r="AC66" s="3">
        <f t="shared" si="17"/>
        <v>7.0249417705085948</v>
      </c>
      <c r="AD66" s="48"/>
      <c r="AE66" s="46">
        <f t="shared" si="12"/>
        <v>36.548778297679121</v>
      </c>
      <c r="AF66" s="46">
        <f t="shared" si="13"/>
        <v>-267.20529929967415</v>
      </c>
      <c r="AG66" s="47">
        <f t="shared" si="14"/>
        <v>114111.57664930669</v>
      </c>
      <c r="AH66" s="45" t="str">
        <f t="shared" si="18"/>
        <v>-267.20530,36.54878,114112</v>
      </c>
      <c r="AI66" s="44">
        <f t="shared" si="21"/>
        <v>4063.5727730996805</v>
      </c>
    </row>
    <row r="67" spans="1:35" ht="18" customHeight="1" x14ac:dyDescent="0.25">
      <c r="A67" s="36">
        <f t="shared" si="15"/>
        <v>0.72847222222222219</v>
      </c>
      <c r="B67" s="42">
        <f t="shared" si="0"/>
        <v>36.844364853370344</v>
      </c>
      <c r="C67" s="43">
        <f t="shared" si="1"/>
        <v>93.473897919396151</v>
      </c>
      <c r="D67" s="18">
        <f t="shared" si="2"/>
        <v>111.57493076233732</v>
      </c>
      <c r="E67" s="21" t="str">
        <f t="shared" si="3"/>
        <v>Umbra</v>
      </c>
      <c r="F67" s="23">
        <f>IF($E67&lt;&gt;"Umbra",fracil2($S$2,$S$3,$S$4,$A67,$Q$2,$O$3,$Q$4,$U67,$V67,$W67),0)</f>
        <v>0</v>
      </c>
      <c r="G67" s="19">
        <f t="shared" si="4"/>
        <v>254.32544091193949</v>
      </c>
      <c r="H67" s="19">
        <f t="shared" si="5"/>
        <v>-3.6199978849435102</v>
      </c>
      <c r="I67" s="19">
        <f t="shared" si="6"/>
        <v>-2.4844307987982162</v>
      </c>
      <c r="J67" s="28">
        <f t="shared" si="7"/>
        <v>4.1033195764492388E-2</v>
      </c>
      <c r="K67" s="24">
        <f t="shared" si="8"/>
        <v>1669.2110724344914</v>
      </c>
      <c r="L67" s="32">
        <f t="shared" si="9"/>
        <v>4.776435157298204E-2</v>
      </c>
      <c r="M67" s="35">
        <f t="shared" si="10"/>
        <v>-14.131681080156264</v>
      </c>
      <c r="O67" s="29">
        <f t="shared" si="11"/>
        <v>1652.5429169262368</v>
      </c>
      <c r="P67" s="44"/>
      <c r="Q67" s="4"/>
      <c r="S67" s="3"/>
      <c r="T67" s="48">
        <v>0.72847222222222219</v>
      </c>
      <c r="U67" s="29">
        <v>764.93957102415004</v>
      </c>
      <c r="V67" s="29">
        <v>5143.0827282637401</v>
      </c>
      <c r="W67" s="29">
        <v>3870.4891790521801</v>
      </c>
      <c r="X67" s="4">
        <v>-6.8220143851038602</v>
      </c>
      <c r="Y67" s="4">
        <v>-1.2045245970332701</v>
      </c>
      <c r="Z67" s="4">
        <v>2.4968653783558103</v>
      </c>
      <c r="AA67" s="3">
        <f t="shared" si="16"/>
        <v>7.3637691770623874</v>
      </c>
      <c r="AB67" s="3">
        <f t="shared" si="20"/>
        <v>-3.4445260418225113E-2</v>
      </c>
      <c r="AC67" s="3">
        <f t="shared" si="17"/>
        <v>7.0283194727452054</v>
      </c>
      <c r="AD67" s="48"/>
      <c r="AE67" s="46">
        <f t="shared" si="12"/>
        <v>36.844364853370344</v>
      </c>
      <c r="AF67" s="46">
        <f t="shared" si="13"/>
        <v>-266.52610208060383</v>
      </c>
      <c r="AG67" s="47">
        <f t="shared" si="14"/>
        <v>111574.93076233732</v>
      </c>
      <c r="AH67" s="45" t="str">
        <f t="shared" si="18"/>
        <v>-266.52610,36.84436,111575</v>
      </c>
      <c r="AI67" s="44">
        <f t="shared" si="21"/>
        <v>4132.4727773393352</v>
      </c>
    </row>
    <row r="68" spans="1:35" ht="18" customHeight="1" x14ac:dyDescent="0.25">
      <c r="A68" s="36">
        <f t="shared" si="15"/>
        <v>0.72858796296296291</v>
      </c>
      <c r="B68" s="42">
        <f t="shared" si="0"/>
        <v>37.135774781777855</v>
      </c>
      <c r="C68" s="43">
        <f t="shared" si="1"/>
        <v>94.159202670528387</v>
      </c>
      <c r="D68" s="18">
        <f t="shared" si="2"/>
        <v>108.92402673248125</v>
      </c>
      <c r="E68" s="21" t="str">
        <f t="shared" si="3"/>
        <v>Umbra</v>
      </c>
      <c r="F68" s="23">
        <f>IF($E68&lt;&gt;"Umbra",fracil2($S$2,$S$3,$S$4,$A68,$Q$2,$O$3,$Q$4,$U68,$V68,$W68),0)</f>
        <v>0</v>
      </c>
      <c r="G68" s="19">
        <f t="shared" si="4"/>
        <v>254.36845488007904</v>
      </c>
      <c r="H68" s="19">
        <f t="shared" si="5"/>
        <v>-3.2386037928925968</v>
      </c>
      <c r="I68" s="19">
        <f t="shared" si="6"/>
        <v>-2.1030367067473028</v>
      </c>
      <c r="J68" s="28">
        <f t="shared" si="7"/>
        <v>4.1273759513025934E-2</v>
      </c>
      <c r="K68" s="24">
        <f t="shared" si="8"/>
        <v>1599.7763812364469</v>
      </c>
      <c r="L68" s="32">
        <f t="shared" si="9"/>
        <v>4.8599447650746773E-2</v>
      </c>
      <c r="M68" s="35">
        <f t="shared" si="10"/>
        <v>-13.841442009922966</v>
      </c>
      <c r="O68" s="29">
        <f t="shared" si="11"/>
        <v>1583.5966021427512</v>
      </c>
      <c r="P68" s="44"/>
      <c r="Q68" s="4"/>
      <c r="S68" s="3"/>
      <c r="T68" s="48">
        <v>0.72858796296296291</v>
      </c>
      <c r="U68" s="29">
        <v>696.66544530637793</v>
      </c>
      <c r="V68" s="29">
        <v>5130.6618177372602</v>
      </c>
      <c r="W68" s="29">
        <v>3895.1732338903698</v>
      </c>
      <c r="X68" s="4">
        <v>-6.8326431205164901</v>
      </c>
      <c r="Y68" s="4">
        <v>-1.2796419792926199</v>
      </c>
      <c r="Z68" s="4">
        <v>2.4398721926862801</v>
      </c>
      <c r="AA68" s="3">
        <f t="shared" si="16"/>
        <v>7.3671888752870327</v>
      </c>
      <c r="AB68" s="3">
        <f t="shared" si="20"/>
        <v>-3.5808613779149352E-2</v>
      </c>
      <c r="AC68" s="3">
        <f t="shared" si="17"/>
        <v>7.0318308654123882</v>
      </c>
      <c r="AD68" s="48"/>
      <c r="AE68" s="46">
        <f t="shared" si="12"/>
        <v>37.135774781777855</v>
      </c>
      <c r="AF68" s="46">
        <f t="shared" si="13"/>
        <v>-265.84079732947163</v>
      </c>
      <c r="AG68" s="47">
        <f t="shared" si="14"/>
        <v>108924.02673248126</v>
      </c>
      <c r="AH68" s="45" t="str">
        <f t="shared" si="18"/>
        <v>-265.84080,37.13577,108924</v>
      </c>
      <c r="AI68" s="44">
        <f t="shared" si="21"/>
        <v>4201.4263436803139</v>
      </c>
    </row>
    <row r="69" spans="1:35" ht="18" customHeight="1" x14ac:dyDescent="0.25">
      <c r="A69" s="36">
        <f t="shared" si="15"/>
        <v>0.72870370370370374</v>
      </c>
      <c r="B69" s="42">
        <f t="shared" si="0"/>
        <v>37.42292628119263</v>
      </c>
      <c r="C69" s="43">
        <f t="shared" si="1"/>
        <v>94.850668338845736</v>
      </c>
      <c r="D69" s="18">
        <f t="shared" si="2"/>
        <v>106.15907742965555</v>
      </c>
      <c r="E69" s="21" t="str">
        <f t="shared" si="3"/>
        <v>Umbra</v>
      </c>
      <c r="F69" s="23">
        <f>IF($E69&lt;&gt;"Umbra",fracil2($S$2,$S$3,$S$4,$A69,$Q$2,$O$3,$Q$4,$U69,$V69,$W69),0)</f>
        <v>0</v>
      </c>
      <c r="G69" s="19">
        <f t="shared" si="4"/>
        <v>254.41287081230132</v>
      </c>
      <c r="H69" s="19">
        <f t="shared" si="5"/>
        <v>-2.8547001904459219</v>
      </c>
      <c r="I69" s="19">
        <f t="shared" si="6"/>
        <v>-1.7191331043006279</v>
      </c>
      <c r="J69" s="28">
        <f t="shared" si="7"/>
        <v>4.1547479586734021E-2</v>
      </c>
      <c r="K69" s="24">
        <f t="shared" si="8"/>
        <v>1530.2448318194483</v>
      </c>
      <c r="L69" s="32">
        <f t="shared" si="9"/>
        <v>4.9435224259408529E-2</v>
      </c>
      <c r="M69" s="35">
        <f t="shared" si="10"/>
        <v>-13.548176281022098</v>
      </c>
      <c r="O69" s="29">
        <f t="shared" si="11"/>
        <v>1514.5941255233647</v>
      </c>
      <c r="P69" s="44"/>
      <c r="Q69" s="4"/>
      <c r="S69" s="3"/>
      <c r="T69" s="48">
        <v>0.72870370370370374</v>
      </c>
      <c r="U69" s="29">
        <v>628.290111268141</v>
      </c>
      <c r="V69" s="29">
        <v>5117.4902238463701</v>
      </c>
      <c r="W69" s="29">
        <v>3919.2851485493502</v>
      </c>
      <c r="X69" s="4">
        <v>-6.84225184531011</v>
      </c>
      <c r="Y69" s="4">
        <v>-1.35465909045911</v>
      </c>
      <c r="Z69" s="4">
        <v>2.3824368905759803</v>
      </c>
      <c r="AA69" s="3">
        <f t="shared" si="16"/>
        <v>7.370720256772092</v>
      </c>
      <c r="AB69" s="3">
        <f t="shared" si="20"/>
        <v>-3.7024208110578577E-2</v>
      </c>
      <c r="AC69" s="3">
        <f t="shared" si="17"/>
        <v>7.0354614592597144</v>
      </c>
      <c r="AD69" s="48"/>
      <c r="AE69" s="46">
        <f t="shared" si="12"/>
        <v>37.42292628119263</v>
      </c>
      <c r="AF69" s="46">
        <f t="shared" si="13"/>
        <v>-265.14933166115429</v>
      </c>
      <c r="AG69" s="47">
        <f t="shared" si="14"/>
        <v>106159.07742965556</v>
      </c>
      <c r="AH69" s="45" t="str">
        <f t="shared" si="18"/>
        <v>-265.14933,37.42293,106159</v>
      </c>
      <c r="AI69" s="44">
        <f t="shared" si="21"/>
        <v>4270.4358428503911</v>
      </c>
    </row>
    <row r="70" spans="1:35" ht="18" customHeight="1" x14ac:dyDescent="0.25">
      <c r="A70" s="36">
        <f t="shared" si="15"/>
        <v>0.72881944444444446</v>
      </c>
      <c r="B70" s="42">
        <f t="shared" ref="B70:B91" si="22">latitude($U70,$V70,$W70)</f>
        <v>37.705735371192084</v>
      </c>
      <c r="C70" s="43">
        <f t="shared" ref="C70:C91" si="23">longitude($S$2,$S$3,$S$4,$A70,$U70,$V70)</f>
        <v>95.548343050023178</v>
      </c>
      <c r="D70" s="18">
        <f t="shared" ref="D70:D91" si="24">altitude($U70,$V70,$W70)</f>
        <v>103.2803079321684</v>
      </c>
      <c r="E70" s="21" t="str">
        <f t="shared" ref="E70:E91" si="25">illum2($S$2,$S$3,$S$4,$A70,$U70,$V70,$W70)</f>
        <v>Umbra</v>
      </c>
      <c r="F70" s="23">
        <f>IF($E70&lt;&gt;"Umbra",fracil2($S$2,$S$3,$S$4,$A70,$Q$2,$O$3,$Q$4,$U70,$V70,$W70),0)</f>
        <v>0</v>
      </c>
      <c r="G70" s="19">
        <f t="shared" ref="G70:G91" si="26">azimuth($S$2,$S$3,$S$4,$A70,$Q$2,$O$3,$Q$4,$U70,$V70,$W70)</f>
        <v>254.45888070062122</v>
      </c>
      <c r="H70" s="19">
        <f t="shared" ref="H70:H91" si="27">elev($S$2,$S$3,$S$4,$A70,$Q$2,$O$3,$Q$4,$U70,$V70,$W70)</f>
        <v>-2.4679368239321811</v>
      </c>
      <c r="I70" s="19">
        <f t="shared" ref="I70:I91" si="28">elev($S$2,$S$3,$S$4,$A70,$Q$2,$O$3,$Q$4,$U70,$V70,$W70)+DEGREES(ACOS($Q$3/$Q$4))</f>
        <v>-1.3323697377868871</v>
      </c>
      <c r="J70" s="28">
        <f t="shared" ref="J70:J91" si="29">vang($S$2,$S$3,$S$4,$A70,$Q$2,$O$3,$Q$4,$U70,$V70,$W70,$X70,$Y70,$Z70)</f>
        <v>4.1860728558828969E-2</v>
      </c>
      <c r="K70" s="24">
        <f t="shared" ref="K70:K91" si="30">slant_rng($S$2,$S$3,$S$4,$A70,$Q$2,$O$3,$Q$4,$U70,$V70,$W70)</f>
        <v>1460.618061265523</v>
      </c>
      <c r="L70" s="32">
        <f t="shared" ref="L70:L91" si="31">radec2("ra",$S$2,$S$3,$S$4,$A70,$Q$2,$O$3,$Q$4,$U70,$V70,$W70)/24</f>
        <v>5.0272054221249994E-2</v>
      </c>
      <c r="M70" s="35">
        <f t="shared" ref="M70:M91" si="32">radec2("dec",$S$2,$S$3,$S$4,$A70,$Q$2,$O$3,$Q$4,$U70,$V70,$W70)</f>
        <v>-13.251510479245352</v>
      </c>
      <c r="O70" s="29">
        <f t="shared" ref="O70:O91" si="33">DEGREES(ACOS(SIN(RADIANS($B70))*SIN(RADIANS($O$2))+COS(RADIANS($B70))*COS(RADIANS($O$2))*COS(RADIANS($C70-$O$3))))*111.2</f>
        <v>1445.5333301393612</v>
      </c>
      <c r="P70" s="44"/>
      <c r="Q70" s="4"/>
      <c r="S70" s="3"/>
      <c r="T70" s="48">
        <v>0.72881944444444446</v>
      </c>
      <c r="U70" s="29">
        <v>559.82389640021302</v>
      </c>
      <c r="V70" s="29">
        <v>5103.5690138847103</v>
      </c>
      <c r="W70" s="29">
        <v>3942.8204868624803</v>
      </c>
      <c r="X70" s="4">
        <v>-6.8508135915171193</v>
      </c>
      <c r="Y70" s="4">
        <v>-1.42956265672856</v>
      </c>
      <c r="Z70" s="4">
        <v>2.3245559534904703</v>
      </c>
      <c r="AA70" s="3">
        <f t="shared" si="16"/>
        <v>7.3743377083055055</v>
      </c>
      <c r="AB70" s="3">
        <f t="shared" si="20"/>
        <v>-3.7978722492224296E-2</v>
      </c>
      <c r="AC70" s="3">
        <f t="shared" si="17"/>
        <v>7.0391856527873014</v>
      </c>
      <c r="AD70" s="48"/>
      <c r="AE70" s="46">
        <f t="shared" ref="AE70:AE91" si="34">$B70</f>
        <v>37.705735371192084</v>
      </c>
      <c r="AF70" s="46">
        <f t="shared" ref="AF70:AF91" si="35">$C70-360</f>
        <v>-264.45165694997684</v>
      </c>
      <c r="AG70" s="47">
        <f t="shared" ref="AG70:AG91" si="36">$D70*1000</f>
        <v>103280.30793216839</v>
      </c>
      <c r="AH70" s="45" t="str">
        <f t="shared" si="18"/>
        <v>-264.45166,37.70574,103280</v>
      </c>
      <c r="AI70" s="44">
        <f t="shared" si="21"/>
        <v>4339.5034586323436</v>
      </c>
    </row>
    <row r="71" spans="1:35" ht="18" customHeight="1" x14ac:dyDescent="0.25">
      <c r="A71" s="36">
        <f t="shared" ref="A71:A91" si="37">$T71+$S$5/86400</f>
        <v>0.72893518518518519</v>
      </c>
      <c r="B71" s="42">
        <f t="shared" si="22"/>
        <v>37.98411541563361</v>
      </c>
      <c r="C71" s="43">
        <f t="shared" si="23"/>
        <v>96.252267934879313</v>
      </c>
      <c r="D71" s="18">
        <f t="shared" si="24"/>
        <v>100.28795569289741</v>
      </c>
      <c r="E71" s="21" t="str">
        <f t="shared" si="25"/>
        <v>Umbra</v>
      </c>
      <c r="F71" s="23">
        <f>IF($E71&lt;&gt;"Umbra",fracil2($S$2,$S$3,$S$4,$A71,$Q$2,$O$3,$Q$4,$U71,$V71,$W71),0)</f>
        <v>0</v>
      </c>
      <c r="G71" s="19">
        <f t="shared" si="26"/>
        <v>254.50671538622353</v>
      </c>
      <c r="H71" s="19">
        <f t="shared" si="27"/>
        <v>-2.0778957218855894</v>
      </c>
      <c r="I71" s="19">
        <f t="shared" si="28"/>
        <v>-0.94232863574029535</v>
      </c>
      <c r="J71" s="28">
        <f t="shared" si="29"/>
        <v>4.2221444570206552E-2</v>
      </c>
      <c r="K71" s="24">
        <f t="shared" si="30"/>
        <v>1390.8980620312955</v>
      </c>
      <c r="L71" s="32">
        <f t="shared" si="31"/>
        <v>5.1110371838995271E-2</v>
      </c>
      <c r="M71" s="35">
        <f t="shared" si="32"/>
        <v>-12.95099633377899</v>
      </c>
      <c r="O71" s="29">
        <f t="shared" si="33"/>
        <v>1376.4123908276886</v>
      </c>
      <c r="P71" s="44"/>
      <c r="Q71" s="4"/>
      <c r="S71" s="3"/>
      <c r="T71" s="48">
        <v>0.72893518518518519</v>
      </c>
      <c r="U71" s="29">
        <v>491.27747625053303</v>
      </c>
      <c r="V71" s="29">
        <v>5088.8994090406995</v>
      </c>
      <c r="W71" s="29">
        <v>3965.7747524039301</v>
      </c>
      <c r="X71" s="4">
        <v>-6.8582832344755493</v>
      </c>
      <c r="Y71" s="4">
        <v>-1.50433442471842</v>
      </c>
      <c r="Z71" s="4">
        <v>2.2662201257182599</v>
      </c>
      <c r="AA71" s="3">
        <f t="shared" ref="AA71:AA91" si="38">SQRT($X71*$X71+$Y71*$Y71+$Z71*$Z71)</f>
        <v>7.3779959774922474</v>
      </c>
      <c r="AB71" s="3">
        <f t="shared" si="20"/>
        <v>-3.8471836906909744E-2</v>
      </c>
      <c r="AC71" s="3">
        <f t="shared" ref="AC71:AC91" si="39">vrel($S$2,$S$3,$S$4,$A71,$B71,$C71,$U71,$V71,$W71,$X71,$Y71,$Z71)</f>
        <v>7.0429582011143923</v>
      </c>
      <c r="AD71" s="48"/>
      <c r="AE71" s="46">
        <f t="shared" si="34"/>
        <v>37.98411541563361</v>
      </c>
      <c r="AF71" s="46">
        <f t="shared" si="35"/>
        <v>-263.74773206512066</v>
      </c>
      <c r="AG71" s="47">
        <f t="shared" si="36"/>
        <v>100287.95569289741</v>
      </c>
      <c r="AH71" s="45" t="str">
        <f t="shared" ref="AH71:AH91" si="40">CONCATENATE(TEXT($AF71,"00.00000"),",",TEXT($AE71,"00.00000"),",",TEXT($AG71,"00000"))</f>
        <v>-263.74773,37.98412,100288</v>
      </c>
      <c r="AI71" s="44">
        <f t="shared" si="21"/>
        <v>4408.6310466918812</v>
      </c>
    </row>
    <row r="72" spans="1:35" ht="18" customHeight="1" x14ac:dyDescent="0.25">
      <c r="A72" s="36">
        <f t="shared" si="37"/>
        <v>0.72905092592592591</v>
      </c>
      <c r="B72" s="42">
        <f t="shared" si="22"/>
        <v>38.257976214899621</v>
      </c>
      <c r="C72" s="43">
        <f t="shared" si="23"/>
        <v>96.962474016633706</v>
      </c>
      <c r="D72" s="18">
        <f t="shared" si="24"/>
        <v>97.182273875302599</v>
      </c>
      <c r="E72" s="21" t="str">
        <f t="shared" si="25"/>
        <v>Umbra</v>
      </c>
      <c r="F72" s="23">
        <f>IF($E72&lt;&gt;"Umbra",fracil2($S$2,$S$3,$S$4,$A72,$Q$2,$O$3,$Q$4,$U72,$V72,$W72),0)</f>
        <v>0</v>
      </c>
      <c r="G72" s="19">
        <f t="shared" si="26"/>
        <v>254.55665474385864</v>
      </c>
      <c r="H72" s="19">
        <f t="shared" si="27"/>
        <v>-1.6840747175237041</v>
      </c>
      <c r="I72" s="19">
        <f t="shared" si="28"/>
        <v>-0.54850763137841008</v>
      </c>
      <c r="J72" s="28">
        <f t="shared" si="29"/>
        <v>4.2639564139107917E-2</v>
      </c>
      <c r="K72" s="24">
        <f t="shared" si="30"/>
        <v>1321.0874550199078</v>
      </c>
      <c r="L72" s="32">
        <f t="shared" si="31"/>
        <v>5.1950686435512865E-2</v>
      </c>
      <c r="M72" s="35">
        <f t="shared" si="32"/>
        <v>-12.646091989395954</v>
      </c>
      <c r="O72" s="29">
        <f t="shared" si="33"/>
        <v>1307.230082628899</v>
      </c>
      <c r="P72" s="44"/>
      <c r="Q72" s="4"/>
      <c r="S72" s="3"/>
      <c r="T72" s="48">
        <v>0.72905092592592591</v>
      </c>
      <c r="U72" s="29">
        <v>422.662125461941</v>
      </c>
      <c r="V72" s="29">
        <v>5073.4828547761199</v>
      </c>
      <c r="W72" s="29">
        <v>3988.14331055819</v>
      </c>
      <c r="X72" s="4">
        <v>-6.8645828055851696</v>
      </c>
      <c r="Y72" s="4">
        <v>-1.5789468111140701</v>
      </c>
      <c r="Z72" s="4">
        <v>2.207410066859</v>
      </c>
      <c r="AA72" s="3">
        <f t="shared" si="38"/>
        <v>7.3816142767238455</v>
      </c>
      <c r="AB72" s="3">
        <f t="shared" ref="AB72:AB91" si="41">-($AC72-$AC71)/(($A72-$A71)*86400)*1000/9.806</f>
        <v>-3.8141109025487827E-2</v>
      </c>
      <c r="AC72" s="3">
        <f t="shared" si="39"/>
        <v>7.046698318265431</v>
      </c>
      <c r="AD72" s="48"/>
      <c r="AE72" s="46">
        <f t="shared" si="34"/>
        <v>38.257976214899621</v>
      </c>
      <c r="AF72" s="46">
        <f t="shared" si="35"/>
        <v>-263.03752598336632</v>
      </c>
      <c r="AG72" s="47">
        <f t="shared" si="36"/>
        <v>97182.273875302606</v>
      </c>
      <c r="AH72" s="45" t="str">
        <f t="shared" si="40"/>
        <v>-263.03753,38.25798,97182</v>
      </c>
      <c r="AI72" s="44">
        <f t="shared" si="21"/>
        <v>4477.8198669722042</v>
      </c>
    </row>
    <row r="73" spans="1:35" ht="18" customHeight="1" x14ac:dyDescent="0.25">
      <c r="A73" s="36">
        <f t="shared" si="37"/>
        <v>0.72916666666666663</v>
      </c>
      <c r="B73" s="42">
        <f t="shared" si="22"/>
        <v>38.527222370852101</v>
      </c>
      <c r="C73" s="43">
        <f t="shared" si="23"/>
        <v>97.678976675598747</v>
      </c>
      <c r="D73" s="18">
        <f t="shared" si="24"/>
        <v>93.963537634239401</v>
      </c>
      <c r="E73" s="21" t="str">
        <f t="shared" si="25"/>
        <v>Umbra</v>
      </c>
      <c r="F73" s="23">
        <f>IF($E73&lt;&gt;"Umbra",fracil2($S$2,$S$3,$S$4,$A73,$Q$2,$O$3,$Q$4,$U73,$V73,$W73),0)</f>
        <v>0</v>
      </c>
      <c r="G73" s="19">
        <f t="shared" si="26"/>
        <v>254.60904113042167</v>
      </c>
      <c r="H73" s="19">
        <f t="shared" si="27"/>
        <v>-1.2858667165506641</v>
      </c>
      <c r="I73" s="19">
        <f t="shared" si="28"/>
        <v>-0.15029963040537009</v>
      </c>
      <c r="J73" s="28">
        <f t="shared" si="29"/>
        <v>4.3127542204409737E-2</v>
      </c>
      <c r="K73" s="24">
        <f t="shared" si="30"/>
        <v>1251.1899850569796</v>
      </c>
      <c r="L73" s="32">
        <f t="shared" si="31"/>
        <v>5.2793598125071145E-2</v>
      </c>
      <c r="M73" s="35">
        <f t="shared" si="32"/>
        <v>-12.336137983600654</v>
      </c>
      <c r="O73" s="29">
        <f t="shared" si="33"/>
        <v>1237.9862697508324</v>
      </c>
      <c r="P73" s="44"/>
      <c r="Q73" s="4"/>
      <c r="S73" s="3"/>
      <c r="T73" s="48">
        <v>0.72916666666666663</v>
      </c>
      <c r="U73" s="29">
        <v>353.99017477466202</v>
      </c>
      <c r="V73" s="29">
        <v>5057.3211527142403</v>
      </c>
      <c r="W73" s="29">
        <v>4009.9212500803701</v>
      </c>
      <c r="X73" s="4">
        <v>-6.8695722867698095</v>
      </c>
      <c r="Y73" s="4">
        <v>-1.6533541198664199</v>
      </c>
      <c r="Z73" s="4">
        <v>2.14808782713737</v>
      </c>
      <c r="AA73" s="3">
        <f t="shared" si="38"/>
        <v>7.3850446553782465</v>
      </c>
      <c r="AB73" s="3">
        <f t="shared" si="41"/>
        <v>-3.6301527929618223E-2</v>
      </c>
      <c r="AC73" s="3">
        <f t="shared" si="39"/>
        <v>7.0502580460942088</v>
      </c>
      <c r="AD73" s="48"/>
      <c r="AE73" s="46">
        <f t="shared" si="34"/>
        <v>38.527222370852101</v>
      </c>
      <c r="AF73" s="46">
        <f t="shared" si="35"/>
        <v>-262.32102332440127</v>
      </c>
      <c r="AG73" s="47">
        <f t="shared" si="36"/>
        <v>93963.537634239401</v>
      </c>
      <c r="AH73" s="45" t="str">
        <f t="shared" si="40"/>
        <v>-262.32102,38.52722,93964</v>
      </c>
      <c r="AI73" s="44">
        <f t="shared" si="21"/>
        <v>4547.0700958276184</v>
      </c>
    </row>
    <row r="74" spans="1:35" ht="18" customHeight="1" x14ac:dyDescent="0.25">
      <c r="A74" s="36">
        <f t="shared" si="37"/>
        <v>0.72928240740740746</v>
      </c>
      <c r="B74" s="42">
        <f t="shared" si="22"/>
        <v>38.791750228929629</v>
      </c>
      <c r="C74" s="43">
        <f t="shared" si="23"/>
        <v>98.401765320088941</v>
      </c>
      <c r="D74" s="18">
        <f t="shared" si="24"/>
        <v>90.632058143556606</v>
      </c>
      <c r="E74" s="21" t="str">
        <f t="shared" si="25"/>
        <v>Umbra</v>
      </c>
      <c r="F74" s="23">
        <f>IF($E74&lt;&gt;"Umbra",fracil2($S$2,$S$3,$S$4,$A74,$Q$2,$O$3,$Q$4,$U74,$V74,$W74),0)</f>
        <v>0</v>
      </c>
      <c r="G74" s="19">
        <f t="shared" si="26"/>
        <v>254.66429726266472</v>
      </c>
      <c r="H74" s="19">
        <f t="shared" si="27"/>
        <v>-0.88253418874684531</v>
      </c>
      <c r="I74" s="19">
        <f t="shared" si="28"/>
        <v>0.2530328973984487</v>
      </c>
      <c r="J74" s="28">
        <f t="shared" si="29"/>
        <v>4.3700950248346769E-2</v>
      </c>
      <c r="K74" s="24">
        <f t="shared" si="30"/>
        <v>1181.2114550953117</v>
      </c>
      <c r="L74" s="32">
        <f t="shared" si="31"/>
        <v>5.3639814570470158E-2</v>
      </c>
      <c r="M74" s="35">
        <f t="shared" si="32"/>
        <v>-12.020326726252271</v>
      </c>
      <c r="O74" s="29">
        <f t="shared" si="33"/>
        <v>1168.6828298743756</v>
      </c>
      <c r="P74" s="44"/>
      <c r="Q74" s="4"/>
      <c r="S74" s="3"/>
      <c r="T74" s="48">
        <v>0.72928240740740746</v>
      </c>
      <c r="U74" s="29">
        <v>285.27587458589704</v>
      </c>
      <c r="V74" s="29">
        <v>5040.4167169898601</v>
      </c>
      <c r="W74" s="29">
        <v>4031.10312798223</v>
      </c>
      <c r="X74" s="4">
        <v>-6.8729967865039896</v>
      </c>
      <c r="Y74" s="4">
        <v>-1.72747601097917</v>
      </c>
      <c r="Z74" s="4">
        <v>2.0881820135618399</v>
      </c>
      <c r="AA74" s="3">
        <f t="shared" si="38"/>
        <v>7.388014775131805</v>
      </c>
      <c r="AB74" s="3">
        <f t="shared" si="41"/>
        <v>-3.1684463257351407E-2</v>
      </c>
      <c r="AC74" s="3">
        <f t="shared" si="39"/>
        <v>7.0533650245612272</v>
      </c>
      <c r="AD74" s="48"/>
      <c r="AE74" s="46">
        <f t="shared" si="34"/>
        <v>38.791750228929629</v>
      </c>
      <c r="AF74" s="46">
        <f t="shared" si="35"/>
        <v>-261.59823467991106</v>
      </c>
      <c r="AG74" s="47">
        <f t="shared" si="36"/>
        <v>90632.058143556613</v>
      </c>
      <c r="AH74" s="45" t="str">
        <f t="shared" si="40"/>
        <v>-261.59823,38.79175,90632</v>
      </c>
      <c r="AI74" s="44">
        <f t="shared" si="21"/>
        <v>4616.3799031749541</v>
      </c>
    </row>
    <row r="75" spans="1:35" ht="18" customHeight="1" x14ac:dyDescent="0.25">
      <c r="A75" s="36">
        <f t="shared" si="37"/>
        <v>0.72939814814814818</v>
      </c>
      <c r="B75" s="42">
        <f t="shared" si="22"/>
        <v>39.0514469334328</v>
      </c>
      <c r="C75" s="43">
        <f t="shared" si="23"/>
        <v>99.130797422042477</v>
      </c>
      <c r="D75" s="18">
        <f t="shared" si="24"/>
        <v>87.188155322995954</v>
      </c>
      <c r="E75" s="21" t="str">
        <f t="shared" si="25"/>
        <v>Umbra</v>
      </c>
      <c r="F75" s="23">
        <f>IF($E75&lt;&gt;"Umbra",fracil2($S$2,$S$3,$S$4,$A75,$Q$2,$O$3,$Q$4,$U75,$V75,$W75),0)</f>
        <v>0</v>
      </c>
      <c r="G75" s="19">
        <f t="shared" si="26"/>
        <v>254.72295121053332</v>
      </c>
      <c r="H75" s="19">
        <f t="shared" si="27"/>
        <v>-0.47317112219499369</v>
      </c>
      <c r="I75" s="19">
        <f t="shared" si="28"/>
        <v>0.66239596395030031</v>
      </c>
      <c r="J75" s="28">
        <f t="shared" si="29"/>
        <v>4.4382081504897489E-2</v>
      </c>
      <c r="K75" s="24">
        <f t="shared" si="30"/>
        <v>1111.1601989628516</v>
      </c>
      <c r="L75" s="32">
        <f t="shared" si="31"/>
        <v>5.4490179521331117E-2</v>
      </c>
      <c r="M75" s="35">
        <f t="shared" si="32"/>
        <v>-11.697658225977008</v>
      </c>
      <c r="O75" s="29">
        <f t="shared" si="33"/>
        <v>1099.3241229771781</v>
      </c>
      <c r="P75" s="44"/>
      <c r="Q75" s="4"/>
      <c r="S75" s="3"/>
      <c r="T75" s="48">
        <v>0.72939814814814818</v>
      </c>
      <c r="U75" s="29">
        <v>216.53582754064999</v>
      </c>
      <c r="V75" s="29">
        <v>5022.7727445107103</v>
      </c>
      <c r="W75" s="29">
        <v>4051.6828795556598</v>
      </c>
      <c r="X75" s="4">
        <v>-6.8748325079321404</v>
      </c>
      <c r="Y75" s="4">
        <v>-1.80128846466899</v>
      </c>
      <c r="Z75" s="4">
        <v>2.0277005930068199</v>
      </c>
      <c r="AA75" s="3">
        <f t="shared" si="38"/>
        <v>7.3905028137434803</v>
      </c>
      <c r="AB75" s="3">
        <f t="shared" si="41"/>
        <v>-2.6845400366755767E-2</v>
      </c>
      <c r="AC75" s="3">
        <f t="shared" si="39"/>
        <v>7.0559974845211908</v>
      </c>
      <c r="AD75" s="48"/>
      <c r="AE75" s="46">
        <f t="shared" si="34"/>
        <v>39.0514469334328</v>
      </c>
      <c r="AF75" s="46">
        <f t="shared" si="35"/>
        <v>-260.86920257795754</v>
      </c>
      <c r="AG75" s="47">
        <f t="shared" si="36"/>
        <v>87188.155322995954</v>
      </c>
      <c r="AH75" s="45" t="str">
        <f t="shared" si="40"/>
        <v>-260.86920,39.05145,87188</v>
      </c>
      <c r="AI75" s="44">
        <f t="shared" si="21"/>
        <v>4685.7449857295205</v>
      </c>
    </row>
    <row r="76" spans="1:35" ht="18" customHeight="1" x14ac:dyDescent="0.25">
      <c r="A76" s="36">
        <f t="shared" si="37"/>
        <v>0.72951388888888891</v>
      </c>
      <c r="B76" s="42">
        <f t="shared" si="22"/>
        <v>39.306215630001034</v>
      </c>
      <c r="C76" s="43">
        <f t="shared" si="23"/>
        <v>99.866068071485302</v>
      </c>
      <c r="D76" s="18">
        <f t="shared" si="24"/>
        <v>83.631842578402029</v>
      </c>
      <c r="E76" s="21" t="str">
        <f t="shared" si="25"/>
        <v>Umbra</v>
      </c>
      <c r="F76" s="23">
        <f>IF($E76&lt;&gt;"Umbra",fracil2($S$2,$S$3,$S$4,$A76,$Q$2,$O$3,$Q$4,$U76,$V76,$W76),0)</f>
        <v>0</v>
      </c>
      <c r="G76" s="19">
        <f t="shared" si="26"/>
        <v>254.78567823496471</v>
      </c>
      <c r="H76" s="19">
        <f t="shared" si="27"/>
        <v>-5.6601491881386266E-2</v>
      </c>
      <c r="I76" s="19">
        <f t="shared" si="28"/>
        <v>1.0789655942639078</v>
      </c>
      <c r="J76" s="28">
        <f t="shared" si="29"/>
        <v>4.5207023689317366E-2</v>
      </c>
      <c r="K76" s="24">
        <f t="shared" si="30"/>
        <v>1041.0403734239801</v>
      </c>
      <c r="L76" s="32">
        <f t="shared" si="31"/>
        <v>5.5345799241287436E-2</v>
      </c>
      <c r="M76" s="35">
        <f t="shared" si="32"/>
        <v>-11.366840086517842</v>
      </c>
      <c r="O76" s="29">
        <f t="shared" si="33"/>
        <v>1029.9103371790588</v>
      </c>
      <c r="P76" s="44"/>
      <c r="Q76" s="4"/>
      <c r="S76" s="3"/>
      <c r="T76" s="48">
        <v>0.72951388888888891</v>
      </c>
      <c r="U76" s="29">
        <v>147.782742273807</v>
      </c>
      <c r="V76" s="29">
        <v>5004.39153678413</v>
      </c>
      <c r="W76" s="29">
        <v>4071.6558224678101</v>
      </c>
      <c r="X76" s="4">
        <v>-6.8758066139473204</v>
      </c>
      <c r="Y76" s="4">
        <v>-1.8749765149908901</v>
      </c>
      <c r="Z76" s="4">
        <v>1.9668858776459999</v>
      </c>
      <c r="AA76" s="3">
        <f t="shared" si="38"/>
        <v>7.3933005876842559</v>
      </c>
      <c r="AB76" s="3">
        <f t="shared" si="41"/>
        <v>-3.0083266151577113E-2</v>
      </c>
      <c r="AC76" s="3">
        <f t="shared" si="39"/>
        <v>7.058947449600014</v>
      </c>
      <c r="AD76" s="48"/>
      <c r="AE76" s="46">
        <f t="shared" si="34"/>
        <v>39.306215630001034</v>
      </c>
      <c r="AF76" s="46">
        <f t="shared" si="35"/>
        <v>-260.1339319285147</v>
      </c>
      <c r="AG76" s="47">
        <f t="shared" si="36"/>
        <v>83631.842578402022</v>
      </c>
      <c r="AH76" s="45" t="str">
        <f t="shared" si="40"/>
        <v>-260.13393,39.30622,83632</v>
      </c>
      <c r="AI76" s="44">
        <f t="shared" si="21"/>
        <v>4755.1652247567117</v>
      </c>
    </row>
    <row r="77" spans="1:35" ht="18" customHeight="1" x14ac:dyDescent="0.25">
      <c r="A77" s="36">
        <f t="shared" si="37"/>
        <v>0.72962962962962963</v>
      </c>
      <c r="B77" s="42">
        <f t="shared" si="22"/>
        <v>39.555969394499549</v>
      </c>
      <c r="C77" s="43">
        <f t="shared" si="23"/>
        <v>100.60759740554296</v>
      </c>
      <c r="D77" s="18">
        <f t="shared" si="24"/>
        <v>79.962989050714896</v>
      </c>
      <c r="E77" s="21" t="str">
        <f t="shared" si="25"/>
        <v>Umbra</v>
      </c>
      <c r="F77" s="23">
        <f>IF($E77&lt;&gt;"Umbra",fracil2($S$2,$S$3,$S$4,$A77,$Q$2,$O$3,$Q$4,$U77,$V77,$W77),0)</f>
        <v>0</v>
      </c>
      <c r="G77" s="19">
        <f t="shared" si="26"/>
        <v>254.85335332155634</v>
      </c>
      <c r="H77" s="19">
        <f t="shared" si="27"/>
        <v>0.3687112074690912</v>
      </c>
      <c r="I77" s="19">
        <f t="shared" si="28"/>
        <v>1.5042782936143853</v>
      </c>
      <c r="J77" s="28">
        <f t="shared" si="29"/>
        <v>4.6216961878620559E-2</v>
      </c>
      <c r="K77" s="24">
        <f t="shared" si="30"/>
        <v>970.85331588032932</v>
      </c>
      <c r="L77" s="32">
        <f t="shared" si="31"/>
        <v>5.6208123463257188E-2</v>
      </c>
      <c r="M77" s="35">
        <f t="shared" si="32"/>
        <v>-11.026187155189739</v>
      </c>
      <c r="O77" s="29">
        <f t="shared" si="33"/>
        <v>960.43880261002062</v>
      </c>
      <c r="P77" s="44"/>
      <c r="Q77" s="4"/>
      <c r="S77" s="3"/>
      <c r="T77" s="48">
        <v>0.72962962962962963</v>
      </c>
      <c r="U77" s="29">
        <v>79.026672703284106</v>
      </c>
      <c r="V77" s="29">
        <v>4985.2747599881995</v>
      </c>
      <c r="W77" s="29">
        <v>4091.0181931031002</v>
      </c>
      <c r="X77" s="4">
        <v>-6.8755729856560297</v>
      </c>
      <c r="Y77" s="4">
        <v>-1.9484399224045401</v>
      </c>
      <c r="Z77" s="4">
        <v>1.90563300994095</v>
      </c>
      <c r="AA77" s="3">
        <f t="shared" si="38"/>
        <v>7.3960367211689384</v>
      </c>
      <c r="AB77" s="3">
        <f t="shared" si="41"/>
        <v>-2.9533594308320928E-2</v>
      </c>
      <c r="AC77" s="3">
        <f t="shared" si="39"/>
        <v>7.0618435138578874</v>
      </c>
      <c r="AD77" s="48"/>
      <c r="AE77" s="46">
        <f t="shared" si="34"/>
        <v>39.555969394499549</v>
      </c>
      <c r="AF77" s="46">
        <f t="shared" si="35"/>
        <v>-259.39240259445705</v>
      </c>
      <c r="AG77" s="47">
        <f t="shared" si="36"/>
        <v>79962.989050714896</v>
      </c>
      <c r="AH77" s="45" t="str">
        <f t="shared" si="40"/>
        <v>-259.39240,39.55597,79963</v>
      </c>
      <c r="AI77" s="44">
        <f t="shared" si="21"/>
        <v>4824.6433764970488</v>
      </c>
    </row>
    <row r="78" spans="1:35" ht="18" customHeight="1" x14ac:dyDescent="0.25">
      <c r="A78" s="36">
        <f t="shared" si="37"/>
        <v>0.72974537037037035</v>
      </c>
      <c r="B78" s="42">
        <f t="shared" si="22"/>
        <v>39.800620498899328</v>
      </c>
      <c r="C78" s="43">
        <f t="shared" si="23"/>
        <v>101.35540137272513</v>
      </c>
      <c r="D78" s="18">
        <f t="shared" si="24"/>
        <v>76.181478581183001</v>
      </c>
      <c r="E78" s="21" t="str">
        <f t="shared" si="25"/>
        <v>Umbra</v>
      </c>
      <c r="F78" s="23">
        <f>IF($E78&lt;&gt;"Umbra",fracil2($S$2,$S$3,$S$4,$A78,$Q$2,$O$3,$Q$4,$U78,$V78,$W78),0)</f>
        <v>0</v>
      </c>
      <c r="G78" s="19">
        <f t="shared" si="26"/>
        <v>254.92712675315133</v>
      </c>
      <c r="H78" s="19">
        <f t="shared" si="27"/>
        <v>0.80478441723483563</v>
      </c>
      <c r="I78" s="19">
        <f t="shared" si="28"/>
        <v>1.9403515033801297</v>
      </c>
      <c r="J78" s="28">
        <f t="shared" si="29"/>
        <v>4.746766284572973E-2</v>
      </c>
      <c r="K78" s="24">
        <f t="shared" si="30"/>
        <v>900.6003974135466</v>
      </c>
      <c r="L78" s="32">
        <f t="shared" si="31"/>
        <v>5.7079042099324233E-2</v>
      </c>
      <c r="M78" s="35">
        <f t="shared" si="32"/>
        <v>-10.673483862545213</v>
      </c>
      <c r="O78" s="29">
        <f t="shared" si="33"/>
        <v>890.90679251611527</v>
      </c>
      <c r="P78" s="44"/>
      <c r="Q78" s="4"/>
      <c r="S78" s="3"/>
      <c r="T78" s="48">
        <v>0.72974537037037035</v>
      </c>
      <c r="U78" s="29">
        <v>10.277642853016399</v>
      </c>
      <c r="V78" s="29">
        <v>4965.42414016573</v>
      </c>
      <c r="W78" s="29">
        <v>4109.7662952372502</v>
      </c>
      <c r="X78" s="4">
        <v>-6.8735820866994599</v>
      </c>
      <c r="Y78" s="4">
        <v>-2.02152349309902</v>
      </c>
      <c r="Z78" s="4">
        <v>1.8437721308365602</v>
      </c>
      <c r="AA78" s="3">
        <f t="shared" si="38"/>
        <v>7.3981202751912969</v>
      </c>
      <c r="AB78" s="3">
        <f t="shared" si="41"/>
        <v>-2.2957603031255058E-2</v>
      </c>
      <c r="AC78" s="3">
        <f t="shared" si="39"/>
        <v>7.0640947364111319</v>
      </c>
      <c r="AD78" s="48"/>
      <c r="AE78" s="46">
        <f t="shared" si="34"/>
        <v>39.800620498899328</v>
      </c>
      <c r="AF78" s="46">
        <f t="shared" si="35"/>
        <v>-258.64459862727489</v>
      </c>
      <c r="AG78" s="47">
        <f t="shared" si="36"/>
        <v>76181.478581183008</v>
      </c>
      <c r="AH78" s="45" t="str">
        <f t="shared" si="40"/>
        <v>-258.64460,39.80062,76181</v>
      </c>
      <c r="AI78" s="44">
        <f t="shared" ref="AI78:AI91" si="42">ACOS(SIN(RADIANS($B77))*SIN(RADIANS($B78))+COS(RADIANS($B77))*COS(RADIANS($B78))*COS(RADIANS($C77-$C78)))*6371+AI77</f>
        <v>4894.1822772433379</v>
      </c>
    </row>
    <row r="79" spans="1:35" ht="18" customHeight="1" x14ac:dyDescent="0.25">
      <c r="A79" s="36">
        <f t="shared" si="37"/>
        <v>0.72986111111111107</v>
      </c>
      <c r="B79" s="42">
        <f t="shared" si="22"/>
        <v>40.040079711276555</v>
      </c>
      <c r="C79" s="43">
        <f t="shared" si="23"/>
        <v>102.10948922323735</v>
      </c>
      <c r="D79" s="18">
        <f t="shared" si="24"/>
        <v>72.287212033944343</v>
      </c>
      <c r="E79" s="21" t="str">
        <f t="shared" si="25"/>
        <v>Umbra</v>
      </c>
      <c r="F79" s="23">
        <f>IF($E79&lt;&gt;"Umbra",fracil2($S$2,$S$3,$S$4,$A79,$Q$2,$O$3,$Q$4,$U79,$V79,$W79),0)</f>
        <v>0</v>
      </c>
      <c r="G79" s="19">
        <f t="shared" si="26"/>
        <v>255.00854126982193</v>
      </c>
      <c r="H79" s="19">
        <f t="shared" si="27"/>
        <v>1.2543190034446079</v>
      </c>
      <c r="I79" s="19">
        <f t="shared" si="28"/>
        <v>2.3898860895899019</v>
      </c>
      <c r="J79" s="28">
        <f t="shared" si="29"/>
        <v>4.9045566613232019E-2</v>
      </c>
      <c r="K79" s="24">
        <f t="shared" si="30"/>
        <v>830.28327673044907</v>
      </c>
      <c r="L79" s="32">
        <f t="shared" si="31"/>
        <v>5.79610683052025E-2</v>
      </c>
      <c r="M79" s="35">
        <f t="shared" si="32"/>
        <v>-10.305760118233136</v>
      </c>
      <c r="O79" s="29">
        <f t="shared" si="33"/>
        <v>821.31174564892819</v>
      </c>
      <c r="P79" s="44"/>
      <c r="Q79" s="4"/>
      <c r="S79" s="3"/>
      <c r="T79" s="48">
        <v>0.72986111111111107</v>
      </c>
      <c r="U79" s="29">
        <v>-58.454153854103303</v>
      </c>
      <c r="V79" s="29">
        <v>4944.8415174983102</v>
      </c>
      <c r="W79" s="29">
        <v>4127.89643668794</v>
      </c>
      <c r="X79" s="4">
        <v>-6.8697978799389201</v>
      </c>
      <c r="Y79" s="4">
        <v>-2.0942106354262999</v>
      </c>
      <c r="Z79" s="4">
        <v>1.7812975560613999</v>
      </c>
      <c r="AA79" s="3">
        <f t="shared" si="38"/>
        <v>7.3995176923888915</v>
      </c>
      <c r="AB79" s="3">
        <f t="shared" si="41"/>
        <v>-1.6040590623440532E-2</v>
      </c>
      <c r="AC79" s="3">
        <f t="shared" si="39"/>
        <v>7.0656676767276663</v>
      </c>
      <c r="AD79" s="48"/>
      <c r="AE79" s="46">
        <f t="shared" si="34"/>
        <v>40.040079711276555</v>
      </c>
      <c r="AF79" s="46">
        <f t="shared" si="35"/>
        <v>-257.89051077676265</v>
      </c>
      <c r="AG79" s="47">
        <f t="shared" si="36"/>
        <v>72287.21203394435</v>
      </c>
      <c r="AH79" s="45" t="str">
        <f t="shared" si="40"/>
        <v>-257.89051,40.04008,72287</v>
      </c>
      <c r="AI79" s="44">
        <f t="shared" si="42"/>
        <v>4963.7846306330275</v>
      </c>
    </row>
    <row r="80" spans="1:35" ht="18" customHeight="1" x14ac:dyDescent="0.25">
      <c r="A80" s="36">
        <f t="shared" si="37"/>
        <v>0.7299768518518519</v>
      </c>
      <c r="B80" s="42">
        <f t="shared" si="22"/>
        <v>40.274256257793191</v>
      </c>
      <c r="C80" s="43">
        <f t="shared" si="23"/>
        <v>102.86986273930523</v>
      </c>
      <c r="D80" s="18">
        <f t="shared" si="24"/>
        <v>68.280098007853667</v>
      </c>
      <c r="E80" s="21" t="str">
        <f t="shared" si="25"/>
        <v>Umbra</v>
      </c>
      <c r="F80" s="23">
        <f>IF($E80&lt;&gt;"Umbra",fracil2($S$2,$S$3,$S$4,$A80,$Q$2,$O$3,$Q$4,$U80,$V80,$W80),0)</f>
        <v>0</v>
      </c>
      <c r="G80" s="19">
        <f t="shared" si="26"/>
        <v>255.09971497495644</v>
      </c>
      <c r="H80" s="19">
        <f t="shared" si="27"/>
        <v>1.7210160462867405</v>
      </c>
      <c r="I80" s="19">
        <f t="shared" si="28"/>
        <v>2.8565831324320348</v>
      </c>
      <c r="J80" s="28">
        <f t="shared" si="29"/>
        <v>5.1089435510695703E-2</v>
      </c>
      <c r="K80" s="24">
        <f t="shared" si="30"/>
        <v>759.90400613720067</v>
      </c>
      <c r="L80" s="32">
        <f t="shared" si="31"/>
        <v>5.8857625884428451E-2</v>
      </c>
      <c r="M80" s="35">
        <f t="shared" si="32"/>
        <v>-9.9189410684242656</v>
      </c>
      <c r="O80" s="29">
        <f t="shared" si="33"/>
        <v>751.65132599490107</v>
      </c>
      <c r="P80" s="44"/>
      <c r="Q80" s="4"/>
      <c r="S80" s="3"/>
      <c r="T80" s="48">
        <v>0.7299768518518519</v>
      </c>
      <c r="U80" s="29">
        <v>-127.15831299003</v>
      </c>
      <c r="V80" s="29">
        <v>4923.5288580187907</v>
      </c>
      <c r="W80" s="29">
        <v>4145.4049163815398</v>
      </c>
      <c r="X80" s="4">
        <v>-6.8648519374374199</v>
      </c>
      <c r="Y80" s="4">
        <v>-2.1666649681751102</v>
      </c>
      <c r="Z80" s="4">
        <v>1.7184170395507001</v>
      </c>
      <c r="AA80" s="3">
        <f t="shared" si="38"/>
        <v>7.4009179382745316</v>
      </c>
      <c r="AB80" s="3">
        <f t="shared" si="41"/>
        <v>-1.615097076752809E-2</v>
      </c>
      <c r="AC80" s="3">
        <f t="shared" si="39"/>
        <v>7.0672514409211313</v>
      </c>
      <c r="AD80" s="48"/>
      <c r="AE80" s="46">
        <f t="shared" si="34"/>
        <v>40.274256257793191</v>
      </c>
      <c r="AF80" s="46">
        <f t="shared" si="35"/>
        <v>-257.13013726069477</v>
      </c>
      <c r="AG80" s="47">
        <f t="shared" si="36"/>
        <v>68280.098007853667</v>
      </c>
      <c r="AH80" s="45" t="str">
        <f t="shared" si="40"/>
        <v>-257.13014,40.27426,68280</v>
      </c>
      <c r="AI80" s="44">
        <f t="shared" si="42"/>
        <v>5033.452963042474</v>
      </c>
    </row>
    <row r="81" spans="1:35" ht="18" customHeight="1" x14ac:dyDescent="0.25">
      <c r="A81" s="36">
        <f t="shared" si="37"/>
        <v>0.73009259259259263</v>
      </c>
      <c r="B81" s="42">
        <f t="shared" si="22"/>
        <v>40.50305818237608</v>
      </c>
      <c r="C81" s="43">
        <f t="shared" si="23"/>
        <v>103.63651669408122</v>
      </c>
      <c r="D81" s="18">
        <f t="shared" si="24"/>
        <v>64.160043866752858</v>
      </c>
      <c r="E81" s="21" t="str">
        <f t="shared" si="25"/>
        <v>Umbra</v>
      </c>
      <c r="F81" s="23">
        <f>IF($E81&lt;&gt;"Umbra",fracil2($S$2,$S$3,$S$4,$A81,$Q$2,$O$3,$Q$4,$U81,$V81,$W81),0)</f>
        <v>0</v>
      </c>
      <c r="G81" s="19">
        <f t="shared" si="26"/>
        <v>255.20363728039817</v>
      </c>
      <c r="H81" s="19">
        <f t="shared" si="27"/>
        <v>2.2100898804449667</v>
      </c>
      <c r="I81" s="19">
        <f t="shared" si="28"/>
        <v>3.3456569665902607</v>
      </c>
      <c r="J81" s="28">
        <f t="shared" si="29"/>
        <v>5.3822482109883552E-2</v>
      </c>
      <c r="K81" s="24">
        <f t="shared" si="30"/>
        <v>689.46506245441674</v>
      </c>
      <c r="L81" s="32">
        <f t="shared" si="31"/>
        <v>5.9773515671163784E-2</v>
      </c>
      <c r="M81" s="35">
        <f t="shared" si="32"/>
        <v>-9.5072802255909128</v>
      </c>
      <c r="O81" s="29">
        <f t="shared" si="33"/>
        <v>681.9233787087237</v>
      </c>
      <c r="P81" s="44"/>
      <c r="Q81" s="4"/>
      <c r="S81" s="3"/>
      <c r="T81" s="48">
        <v>0.73009259259259263</v>
      </c>
      <c r="U81" s="29">
        <v>-195.82428305406401</v>
      </c>
      <c r="V81" s="29">
        <v>4901.48823681876</v>
      </c>
      <c r="W81" s="29">
        <v>4162.28804514888</v>
      </c>
      <c r="X81" s="4">
        <v>-6.85980472920361</v>
      </c>
      <c r="Y81" s="4">
        <v>-2.2391658648450696</v>
      </c>
      <c r="Z81" s="4">
        <v>1.6554754715703</v>
      </c>
      <c r="AA81" s="3">
        <f t="shared" si="38"/>
        <v>7.4034710595816131</v>
      </c>
      <c r="AB81" s="3">
        <f t="shared" si="41"/>
        <v>-2.7989567742597463E-2</v>
      </c>
      <c r="AC81" s="3">
        <f t="shared" si="39"/>
        <v>7.06999609793397</v>
      </c>
      <c r="AD81" s="48"/>
      <c r="AE81" s="46">
        <f t="shared" si="34"/>
        <v>40.50305818237608</v>
      </c>
      <c r="AF81" s="46">
        <f t="shared" si="35"/>
        <v>-256.36348330591875</v>
      </c>
      <c r="AG81" s="47">
        <f t="shared" si="36"/>
        <v>64160.043866752858</v>
      </c>
      <c r="AH81" s="45" t="str">
        <f t="shared" si="40"/>
        <v>-256.36348,40.50306,64160</v>
      </c>
      <c r="AI81" s="44">
        <f t="shared" si="42"/>
        <v>5103.189692134185</v>
      </c>
    </row>
    <row r="82" spans="1:35" ht="18" customHeight="1" x14ac:dyDescent="0.25">
      <c r="A82" s="36">
        <f t="shared" si="37"/>
        <v>0.73020833333333335</v>
      </c>
      <c r="B82" s="42">
        <f t="shared" si="22"/>
        <v>40.72639289294866</v>
      </c>
      <c r="C82" s="43">
        <f t="shared" si="23"/>
        <v>104.40944007760459</v>
      </c>
      <c r="D82" s="18">
        <f t="shared" si="24"/>
        <v>59.92695435440055</v>
      </c>
      <c r="E82" s="21" t="str">
        <f t="shared" si="25"/>
        <v>Umbra</v>
      </c>
      <c r="F82" s="23">
        <f>IF($E82&lt;&gt;"Umbra",fracil2($S$2,$S$3,$S$4,$A82,$Q$2,$O$3,$Q$4,$U82,$V82,$W82),0)</f>
        <v>0</v>
      </c>
      <c r="G82" s="19">
        <f t="shared" si="26"/>
        <v>255.3246685681535</v>
      </c>
      <c r="H82" s="19">
        <f t="shared" si="27"/>
        <v>2.7291340374790596</v>
      </c>
      <c r="I82" s="19">
        <f t="shared" si="28"/>
        <v>3.8647011236243536</v>
      </c>
      <c r="J82" s="28">
        <f t="shared" si="29"/>
        <v>5.7606227904792549E-2</v>
      </c>
      <c r="K82" s="24">
        <f t="shared" si="30"/>
        <v>618.96938185068143</v>
      </c>
      <c r="L82" s="32">
        <f t="shared" si="31"/>
        <v>6.0715703266394028E-2</v>
      </c>
      <c r="M82" s="35">
        <f t="shared" si="32"/>
        <v>-9.0624028729321449</v>
      </c>
      <c r="O82" s="29">
        <f t="shared" si="33"/>
        <v>612.1258369961397</v>
      </c>
      <c r="P82" s="44"/>
      <c r="Q82" s="4"/>
      <c r="S82" s="3"/>
      <c r="T82" s="48">
        <v>0.73020833333333335</v>
      </c>
      <c r="U82" s="29">
        <v>-264.44149057751298</v>
      </c>
      <c r="V82" s="29">
        <v>4878.72180479906</v>
      </c>
      <c r="W82" s="29">
        <v>4178.5421861302502</v>
      </c>
      <c r="X82" s="4">
        <v>-6.8556792054502207</v>
      </c>
      <c r="Y82" s="4">
        <v>-2.31198251589649</v>
      </c>
      <c r="Z82" s="4">
        <v>1.5928057904504</v>
      </c>
      <c r="AA82" s="3">
        <f t="shared" si="38"/>
        <v>7.4082812316991555</v>
      </c>
      <c r="AB82" s="3">
        <f t="shared" si="41"/>
        <v>-5.1086577150167664E-2</v>
      </c>
      <c r="AC82" s="3">
        <f t="shared" si="39"/>
        <v>7.0750056476893146</v>
      </c>
      <c r="AD82" s="48"/>
      <c r="AE82" s="46">
        <f t="shared" si="34"/>
        <v>40.72639289294866</v>
      </c>
      <c r="AF82" s="46">
        <f t="shared" si="35"/>
        <v>-255.59055992239541</v>
      </c>
      <c r="AG82" s="47">
        <f t="shared" si="36"/>
        <v>59926.95435440055</v>
      </c>
      <c r="AH82" s="45" t="str">
        <f t="shared" si="40"/>
        <v>-255.59056,40.72639,59927</v>
      </c>
      <c r="AI82" s="44">
        <f t="shared" si="42"/>
        <v>5172.9972613150558</v>
      </c>
    </row>
    <row r="83" spans="1:35" ht="18" customHeight="1" x14ac:dyDescent="0.25">
      <c r="A83" s="36">
        <f t="shared" si="37"/>
        <v>0.73032407407407407</v>
      </c>
      <c r="B83" s="42">
        <f t="shared" si="22"/>
        <v>40.94416770790604</v>
      </c>
      <c r="C83" s="43">
        <f t="shared" si="23"/>
        <v>105.18861759360519</v>
      </c>
      <c r="D83" s="18">
        <f t="shared" si="24"/>
        <v>55.580740438704197</v>
      </c>
      <c r="E83" s="21" t="str">
        <f t="shared" si="25"/>
        <v>Umbra</v>
      </c>
      <c r="F83" s="23">
        <f>IF($E83&lt;&gt;"Umbra",fracil2($S$2,$S$3,$S$4,$A83,$Q$2,$O$3,$Q$4,$U83,$V83,$W83),0)</f>
        <v>0</v>
      </c>
      <c r="G83" s="19">
        <f t="shared" si="26"/>
        <v>255.46942816675991</v>
      </c>
      <c r="H83" s="19">
        <f t="shared" si="27"/>
        <v>3.2896578989355687</v>
      </c>
      <c r="I83" s="19">
        <f t="shared" si="28"/>
        <v>4.4252249850808631</v>
      </c>
      <c r="J83" s="28">
        <f t="shared" si="29"/>
        <v>6.3042375258498637E-2</v>
      </c>
      <c r="K83" s="24">
        <f t="shared" si="30"/>
        <v>548.42050881481282</v>
      </c>
      <c r="L83" s="32">
        <f t="shared" si="31"/>
        <v>6.1694716378567799E-2</v>
      </c>
      <c r="M83" s="35">
        <f t="shared" si="32"/>
        <v>-8.5716083042777349</v>
      </c>
      <c r="O83" s="29">
        <f t="shared" si="33"/>
        <v>542.25664282748369</v>
      </c>
      <c r="P83" s="44"/>
      <c r="Q83" s="4"/>
      <c r="S83" s="3"/>
      <c r="T83" s="48">
        <v>0.73032407407407407</v>
      </c>
      <c r="U83" s="29">
        <v>-332.99948205706198</v>
      </c>
      <c r="V83" s="29">
        <v>4855.2317508325805</v>
      </c>
      <c r="W83" s="29">
        <v>4194.1638005227496</v>
      </c>
      <c r="X83" s="4">
        <v>-6.8529317868744402</v>
      </c>
      <c r="Y83" s="4">
        <v>-2.3852310908987699</v>
      </c>
      <c r="Z83" s="4">
        <v>1.5305598867721202</v>
      </c>
      <c r="AA83" s="3">
        <f t="shared" si="38"/>
        <v>7.4158354215516491</v>
      </c>
      <c r="AB83" s="3">
        <f t="shared" si="41"/>
        <v>-7.9146343423688301E-2</v>
      </c>
      <c r="AC83" s="3">
        <f t="shared" si="39"/>
        <v>7.0827667381254402</v>
      </c>
      <c r="AD83" s="48"/>
      <c r="AE83" s="46">
        <f t="shared" si="34"/>
        <v>40.94416770790604</v>
      </c>
      <c r="AF83" s="46">
        <f t="shared" si="35"/>
        <v>-254.81138240639481</v>
      </c>
      <c r="AG83" s="47">
        <f t="shared" si="36"/>
        <v>55580.740438704197</v>
      </c>
      <c r="AH83" s="45" t="str">
        <f t="shared" si="40"/>
        <v>-254.81138,40.94417,55581</v>
      </c>
      <c r="AI83" s="44">
        <f t="shared" si="42"/>
        <v>5242.8782925047835</v>
      </c>
    </row>
    <row r="84" spans="1:35" ht="18" customHeight="1" x14ac:dyDescent="0.25">
      <c r="A84" s="36">
        <f t="shared" si="37"/>
        <v>0.73043981481481479</v>
      </c>
      <c r="B84" s="42">
        <f t="shared" si="22"/>
        <v>41.156290244255061</v>
      </c>
      <c r="C84" s="43">
        <f t="shared" si="23"/>
        <v>105.97403089784308</v>
      </c>
      <c r="D84" s="18">
        <f t="shared" si="24"/>
        <v>51.121336908910962</v>
      </c>
      <c r="E84" s="21" t="str">
        <f t="shared" si="25"/>
        <v>Umbra</v>
      </c>
      <c r="F84" s="23">
        <f>IF($E84&lt;&gt;"Umbra",fracil2($S$2,$S$3,$S$4,$A84,$Q$2,$O$3,$Q$4,$U84,$V84,$W84),0)</f>
        <v>0</v>
      </c>
      <c r="G84" s="19">
        <f t="shared" si="26"/>
        <v>255.64847486580678</v>
      </c>
      <c r="H84" s="19">
        <f t="shared" si="27"/>
        <v>3.909987442083152</v>
      </c>
      <c r="I84" s="19">
        <f t="shared" si="28"/>
        <v>5.045554528228446</v>
      </c>
      <c r="J84" s="28">
        <f t="shared" si="29"/>
        <v>7.1187665967491792E-2</v>
      </c>
      <c r="K84" s="24">
        <f t="shared" si="30"/>
        <v>477.82304286921243</v>
      </c>
      <c r="L84" s="32">
        <f t="shared" si="31"/>
        <v>6.2727279745440664E-2</v>
      </c>
      <c r="M84" s="35">
        <f t="shared" si="32"/>
        <v>-8.0146636302219338</v>
      </c>
      <c r="O84" s="29">
        <f t="shared" si="33"/>
        <v>472.31376278590784</v>
      </c>
      <c r="P84" s="44"/>
      <c r="Q84" s="4"/>
      <c r="S84" s="3"/>
      <c r="T84" s="48">
        <v>0.73043981481481479</v>
      </c>
      <c r="U84" s="29">
        <v>-401.48803834312901</v>
      </c>
      <c r="V84" s="29">
        <v>4831.02027143133</v>
      </c>
      <c r="W84" s="29">
        <v>4209.1494845888901</v>
      </c>
      <c r="X84" s="4">
        <v>-6.8510258777423694</v>
      </c>
      <c r="Y84" s="4">
        <v>-2.45875958258276</v>
      </c>
      <c r="Z84" s="4">
        <v>1.4685722789532698</v>
      </c>
      <c r="AA84" s="3">
        <f t="shared" si="38"/>
        <v>7.4255477105024488</v>
      </c>
      <c r="AB84" s="3">
        <f t="shared" si="41"/>
        <v>-0.10122833936915962</v>
      </c>
      <c r="AC84" s="3">
        <f t="shared" si="39"/>
        <v>7.0926931890839784</v>
      </c>
      <c r="AD84" s="48"/>
      <c r="AE84" s="46">
        <f t="shared" si="34"/>
        <v>41.156290244255061</v>
      </c>
      <c r="AF84" s="46">
        <f t="shared" si="35"/>
        <v>-254.02596910215692</v>
      </c>
      <c r="AG84" s="47">
        <f t="shared" si="36"/>
        <v>51121.336908910962</v>
      </c>
      <c r="AH84" s="45" t="str">
        <f t="shared" si="40"/>
        <v>-254.02597,41.15629,51121</v>
      </c>
      <c r="AI84" s="44">
        <f t="shared" si="42"/>
        <v>5312.8357093701597</v>
      </c>
    </row>
    <row r="85" spans="1:35" ht="18" customHeight="1" x14ac:dyDescent="0.25">
      <c r="A85" s="36">
        <f t="shared" si="37"/>
        <v>0.73055555555555551</v>
      </c>
      <c r="B85" s="42">
        <f t="shared" si="22"/>
        <v>41.362668519385956</v>
      </c>
      <c r="C85" s="43">
        <f t="shared" si="23"/>
        <v>106.76565901954214</v>
      </c>
      <c r="D85" s="18">
        <f t="shared" si="24"/>
        <v>46.548722600946348</v>
      </c>
      <c r="E85" s="21" t="str">
        <f t="shared" si="25"/>
        <v>Umbra</v>
      </c>
      <c r="F85" s="23">
        <f>IF($E85&lt;&gt;"Umbra",fracil2($S$2,$S$3,$S$4,$A85,$Q$2,$O$3,$Q$4,$U85,$V85,$W85),0)</f>
        <v>0</v>
      </c>
      <c r="G85" s="19">
        <f t="shared" si="26"/>
        <v>255.87974906586919</v>
      </c>
      <c r="H85" s="19">
        <f t="shared" si="27"/>
        <v>4.6211848178492403</v>
      </c>
      <c r="I85" s="19">
        <f t="shared" si="28"/>
        <v>5.7567519039945338</v>
      </c>
      <c r="J85" s="28">
        <f t="shared" si="29"/>
        <v>8.4057415592214135E-2</v>
      </c>
      <c r="K85" s="24">
        <f t="shared" si="30"/>
        <v>407.18375493788074</v>
      </c>
      <c r="L85" s="32">
        <f t="shared" si="31"/>
        <v>6.3841684427920986E-2</v>
      </c>
      <c r="M85" s="35">
        <f t="shared" si="32"/>
        <v>-7.3572566666597856</v>
      </c>
      <c r="O85" s="29">
        <f t="shared" si="33"/>
        <v>402.29542710778611</v>
      </c>
      <c r="P85" s="44"/>
      <c r="Q85" s="4"/>
      <c r="S85" s="3"/>
      <c r="T85" s="48">
        <v>0.73055555555555551</v>
      </c>
      <c r="U85" s="29">
        <v>-469.89721713642297</v>
      </c>
      <c r="V85" s="29">
        <v>4806.0895598377201</v>
      </c>
      <c r="W85" s="29">
        <v>4223.4959836988201</v>
      </c>
      <c r="X85" s="4">
        <v>-6.8482730163872905</v>
      </c>
      <c r="Y85" s="4">
        <v>-2.5321049147251702</v>
      </c>
      <c r="Z85" s="4">
        <v>1.40630933908318</v>
      </c>
      <c r="AA85" s="3">
        <f t="shared" si="38"/>
        <v>7.4355971221782999</v>
      </c>
      <c r="AB85" s="3">
        <f t="shared" si="41"/>
        <v>-0.10474117218336088</v>
      </c>
      <c r="AC85" s="3">
        <f t="shared" si="39"/>
        <v>7.1029641084282771</v>
      </c>
      <c r="AD85" s="48"/>
      <c r="AE85" s="46">
        <f t="shared" si="34"/>
        <v>41.362668519385956</v>
      </c>
      <c r="AF85" s="46">
        <f t="shared" si="35"/>
        <v>-253.23434098045786</v>
      </c>
      <c r="AG85" s="47">
        <f t="shared" si="36"/>
        <v>46548.722600946348</v>
      </c>
      <c r="AH85" s="45" t="str">
        <f t="shared" si="40"/>
        <v>-253.23434,41.36267,46549</v>
      </c>
      <c r="AI85" s="44">
        <f t="shared" si="42"/>
        <v>5382.8727832048799</v>
      </c>
    </row>
    <row r="86" spans="1:35" ht="18" customHeight="1" x14ac:dyDescent="0.25">
      <c r="A86" s="36">
        <f t="shared" si="37"/>
        <v>0.73067129629629635</v>
      </c>
      <c r="B86" s="42">
        <f t="shared" si="22"/>
        <v>41.563210671627317</v>
      </c>
      <c r="C86" s="43">
        <f t="shared" si="23"/>
        <v>107.56347738171478</v>
      </c>
      <c r="D86" s="18">
        <f t="shared" si="24"/>
        <v>41.862932761128832</v>
      </c>
      <c r="E86" s="21" t="str">
        <f t="shared" si="25"/>
        <v>Umbra</v>
      </c>
      <c r="F86" s="23">
        <f>IF($E86&lt;&gt;"Umbra",fracil2($S$2,$S$3,$S$4,$A86,$Q$2,$O$3,$Q$4,$U86,$V86,$W86),0)</f>
        <v>0</v>
      </c>
      <c r="G86" s="19">
        <f t="shared" si="26"/>
        <v>256.19638624820493</v>
      </c>
      <c r="H86" s="19">
        <f t="shared" si="27"/>
        <v>5.4804153613733799</v>
      </c>
      <c r="I86" s="19">
        <f t="shared" si="28"/>
        <v>6.6159824475186735</v>
      </c>
      <c r="J86" s="28">
        <f t="shared" si="29"/>
        <v>0.10595640864768788</v>
      </c>
      <c r="K86" s="24">
        <f t="shared" si="30"/>
        <v>336.51429062861894</v>
      </c>
      <c r="L86" s="32">
        <f t="shared" si="31"/>
        <v>6.5089893784177691E-2</v>
      </c>
      <c r="M86" s="35">
        <f t="shared" si="32"/>
        <v>-6.5361988200640475</v>
      </c>
      <c r="O86" s="29">
        <f t="shared" si="33"/>
        <v>332.20085567616155</v>
      </c>
      <c r="P86" s="44"/>
      <c r="Q86" s="4"/>
      <c r="S86" s="3"/>
      <c r="T86" s="48">
        <v>0.73067129629629635</v>
      </c>
      <c r="U86" s="29">
        <v>-538.21727923217406</v>
      </c>
      <c r="V86" s="29">
        <v>4780.4418265115401</v>
      </c>
      <c r="W86" s="29">
        <v>4237.20016921776</v>
      </c>
      <c r="X86" s="4">
        <v>-6.8421067777367002</v>
      </c>
      <c r="Y86" s="4">
        <v>-2.6045668958341999</v>
      </c>
      <c r="Z86" s="4">
        <v>1.3429568479014899</v>
      </c>
      <c r="AA86" s="3">
        <f t="shared" si="38"/>
        <v>7.443233636542077</v>
      </c>
      <c r="AB86" s="3">
        <f t="shared" si="41"/>
        <v>-8.0216580850653904E-2</v>
      </c>
      <c r="AC86" s="3">
        <f t="shared" si="39"/>
        <v>7.1108301463464985</v>
      </c>
      <c r="AD86" s="48"/>
      <c r="AE86" s="46">
        <f t="shared" si="34"/>
        <v>41.563210671627317</v>
      </c>
      <c r="AF86" s="46">
        <f t="shared" si="35"/>
        <v>-252.43652261828521</v>
      </c>
      <c r="AG86" s="47">
        <f t="shared" si="36"/>
        <v>41862.932761128832</v>
      </c>
      <c r="AH86" s="45" t="str">
        <f t="shared" si="40"/>
        <v>-252.43652,41.56321,41863</v>
      </c>
      <c r="AI86" s="44">
        <f t="shared" si="42"/>
        <v>5452.9930538081562</v>
      </c>
    </row>
    <row r="87" spans="1:35" ht="18" customHeight="1" x14ac:dyDescent="0.25">
      <c r="A87" s="36">
        <f t="shared" si="37"/>
        <v>0.73078703703703707</v>
      </c>
      <c r="B87" s="42">
        <f t="shared" si="22"/>
        <v>41.757824240581201</v>
      </c>
      <c r="C87" s="43">
        <f t="shared" si="23"/>
        <v>108.3674548146394</v>
      </c>
      <c r="D87" s="18">
        <f t="shared" si="24"/>
        <v>37.064048935534629</v>
      </c>
      <c r="E87" s="21" t="str">
        <f t="shared" si="25"/>
        <v>Umbra</v>
      </c>
      <c r="F87" s="23">
        <f>IF($E87&lt;&gt;"Umbra",fracil2($S$2,$S$3,$S$4,$A87,$Q$2,$O$3,$Q$4,$U87,$V87,$W87),0)</f>
        <v>0</v>
      </c>
      <c r="G87" s="19">
        <f t="shared" si="26"/>
        <v>256.66711348701961</v>
      </c>
      <c r="H87" s="19">
        <f t="shared" si="27"/>
        <v>6.6055700044134342</v>
      </c>
      <c r="I87" s="19">
        <f t="shared" si="28"/>
        <v>7.7411370905587287</v>
      </c>
      <c r="J87" s="28">
        <f t="shared" si="29"/>
        <v>0.14760486029765998</v>
      </c>
      <c r="K87" s="24">
        <f t="shared" si="30"/>
        <v>265.83822852755912</v>
      </c>
      <c r="L87" s="32">
        <f t="shared" si="31"/>
        <v>6.6578862419216817E-2</v>
      </c>
      <c r="M87" s="35">
        <f t="shared" si="32"/>
        <v>-5.4210505771386881</v>
      </c>
      <c r="O87" s="29">
        <f t="shared" si="33"/>
        <v>262.0321985571062</v>
      </c>
      <c r="P87" s="44"/>
      <c r="Q87" s="4"/>
      <c r="S87" s="3"/>
      <c r="T87" s="48">
        <v>0.73078703703703707</v>
      </c>
      <c r="U87" s="29">
        <v>-606.43845414278405</v>
      </c>
      <c r="V87" s="29">
        <v>4754.0793632027007</v>
      </c>
      <c r="W87" s="29">
        <v>4250.2589642697094</v>
      </c>
      <c r="X87" s="4">
        <v>-6.8299545428136899</v>
      </c>
      <c r="Y87" s="4">
        <v>-2.6754436006472102</v>
      </c>
      <c r="Z87" s="4">
        <v>1.2776986579027501</v>
      </c>
      <c r="AA87" s="3">
        <f t="shared" si="38"/>
        <v>7.4457230258418798</v>
      </c>
      <c r="AB87" s="3">
        <f t="shared" si="41"/>
        <v>-2.7821435250319066E-2</v>
      </c>
      <c r="AC87" s="3">
        <f t="shared" si="39"/>
        <v>7.1135583162871443</v>
      </c>
      <c r="AD87" s="48"/>
      <c r="AE87" s="46">
        <f t="shared" si="34"/>
        <v>41.757824240581201</v>
      </c>
      <c r="AF87" s="46">
        <f t="shared" si="35"/>
        <v>-251.63254518536058</v>
      </c>
      <c r="AG87" s="47">
        <f t="shared" si="36"/>
        <v>37064.048935534629</v>
      </c>
      <c r="AH87" s="45" t="str">
        <f t="shared" si="40"/>
        <v>-251.63255,41.75782,37064</v>
      </c>
      <c r="AI87" s="44">
        <f t="shared" si="42"/>
        <v>5523.2000780763565</v>
      </c>
    </row>
    <row r="88" spans="1:35" ht="18" customHeight="1" x14ac:dyDescent="0.25">
      <c r="A88" s="36">
        <f t="shared" si="37"/>
        <v>0.73090277777777779</v>
      </c>
      <c r="B88" s="42">
        <f t="shared" si="22"/>
        <v>41.946414985886761</v>
      </c>
      <c r="C88" s="43">
        <f t="shared" si="23"/>
        <v>109.177547942901</v>
      </c>
      <c r="D88" s="18">
        <f t="shared" si="24"/>
        <v>32.152146090648785</v>
      </c>
      <c r="E88" s="21" t="str">
        <f t="shared" si="25"/>
        <v>Umbra</v>
      </c>
      <c r="F88" s="23">
        <f>IF($E88&lt;&gt;"Umbra",fracil2($S$2,$S$3,$S$4,$A88,$Q$2,$O$3,$Q$4,$U88,$V88,$W88),0)</f>
        <v>0</v>
      </c>
      <c r="G88" s="19">
        <f t="shared" si="26"/>
        <v>257.46151764446159</v>
      </c>
      <c r="H88" s="19">
        <f t="shared" si="27"/>
        <v>8.2846095326957609</v>
      </c>
      <c r="I88" s="19">
        <f t="shared" si="28"/>
        <v>9.4201766188410545</v>
      </c>
      <c r="J88" s="28">
        <f t="shared" si="29"/>
        <v>0.24233543483926381</v>
      </c>
      <c r="K88" s="24">
        <f t="shared" si="30"/>
        <v>195.21313080239531</v>
      </c>
      <c r="L88" s="32">
        <f t="shared" si="31"/>
        <v>6.856946332620871E-2</v>
      </c>
      <c r="M88" s="35">
        <f t="shared" si="32"/>
        <v>-3.6926855939485623</v>
      </c>
      <c r="O88" s="29">
        <f t="shared" si="33"/>
        <v>191.8004144725665</v>
      </c>
      <c r="P88" s="44"/>
      <c r="Q88" s="4"/>
      <c r="S88" s="3"/>
      <c r="T88" s="48">
        <v>0.73090277777777779</v>
      </c>
      <c r="U88" s="29">
        <v>-674.550500779554</v>
      </c>
      <c r="V88" s="29">
        <v>4727.0046618658398</v>
      </c>
      <c r="W88" s="29">
        <v>4262.6692035538899</v>
      </c>
      <c r="X88" s="4">
        <v>-6.81087224889027</v>
      </c>
      <c r="Y88" s="4">
        <v>-2.7444727611884101</v>
      </c>
      <c r="Z88" s="4">
        <v>1.2102392431453799</v>
      </c>
      <c r="AA88" s="3">
        <f t="shared" si="38"/>
        <v>7.4420958441327425</v>
      </c>
      <c r="AB88" s="3">
        <f t="shared" si="41"/>
        <v>3.4447319622429376E-2</v>
      </c>
      <c r="AC88" s="3">
        <f t="shared" si="39"/>
        <v>7.1101804121249694</v>
      </c>
      <c r="AD88" s="48"/>
      <c r="AE88" s="46">
        <f t="shared" si="34"/>
        <v>41.946414985886761</v>
      </c>
      <c r="AF88" s="46">
        <f t="shared" si="35"/>
        <v>-250.82245205709899</v>
      </c>
      <c r="AG88" s="47">
        <f t="shared" si="36"/>
        <v>32152.146090648785</v>
      </c>
      <c r="AH88" s="45" t="str">
        <f t="shared" si="40"/>
        <v>-250.82245,41.94641,32152</v>
      </c>
      <c r="AI88" s="44">
        <f t="shared" si="42"/>
        <v>5593.4969597475701</v>
      </c>
    </row>
    <row r="89" spans="1:35" ht="18" customHeight="1" x14ac:dyDescent="0.25">
      <c r="A89" s="36">
        <f t="shared" si="37"/>
        <v>0.73101851851851851</v>
      </c>
      <c r="B89" s="42">
        <f t="shared" si="22"/>
        <v>42.128885262743843</v>
      </c>
      <c r="C89" s="43">
        <f t="shared" si="23"/>
        <v>109.99369231255383</v>
      </c>
      <c r="D89" s="18">
        <f t="shared" si="24"/>
        <v>27.127175095045459</v>
      </c>
      <c r="E89" s="21" t="str">
        <f t="shared" si="25"/>
        <v>Umbra</v>
      </c>
      <c r="F89" s="23">
        <f>IF($E89&lt;&gt;"Umbra",fracil2($S$2,$S$3,$S$4,$A89,$Q$2,$O$3,$Q$4,$U89,$V89,$W89),0)</f>
        <v>0</v>
      </c>
      <c r="G89" s="19">
        <f t="shared" si="26"/>
        <v>259.14165730022438</v>
      </c>
      <c r="H89" s="19">
        <f t="shared" si="27"/>
        <v>11.450773095621066</v>
      </c>
      <c r="I89" s="19">
        <f t="shared" si="28"/>
        <v>12.58634018176636</v>
      </c>
      <c r="J89" s="28">
        <f t="shared" si="29"/>
        <v>0.5403622208057387</v>
      </c>
      <c r="K89" s="24">
        <f t="shared" si="30"/>
        <v>124.82593992581316</v>
      </c>
      <c r="L89" s="32">
        <f t="shared" si="31"/>
        <v>7.1908975531019589E-2</v>
      </c>
      <c r="M89" s="35">
        <f t="shared" si="32"/>
        <v>-0.31341792279464731</v>
      </c>
      <c r="O89" s="29">
        <f t="shared" si="33"/>
        <v>121.55020186122788</v>
      </c>
      <c r="P89" s="44"/>
      <c r="Q89" s="4"/>
      <c r="S89" s="3"/>
      <c r="T89" s="48">
        <v>0.73101851851851851</v>
      </c>
      <c r="U89" s="29">
        <v>-742.54201876114303</v>
      </c>
      <c r="V89" s="29">
        <v>4699.2206018347497</v>
      </c>
      <c r="W89" s="29">
        <v>4274.4274142616805</v>
      </c>
      <c r="X89" s="4">
        <v>-6.7881072369123601</v>
      </c>
      <c r="Y89" s="4">
        <v>-2.8125237497839697</v>
      </c>
      <c r="Z89" s="4">
        <v>1.14162291523348</v>
      </c>
      <c r="AA89" s="3">
        <f t="shared" si="38"/>
        <v>7.4358585639794832</v>
      </c>
      <c r="AB89" s="3">
        <f t="shared" si="41"/>
        <v>6.0961380016172483E-2</v>
      </c>
      <c r="AC89" s="3">
        <f t="shared" si="39"/>
        <v>7.1042025392005845</v>
      </c>
      <c r="AD89" s="48"/>
      <c r="AE89" s="46">
        <f t="shared" si="34"/>
        <v>42.128885262743843</v>
      </c>
      <c r="AF89" s="46">
        <f t="shared" si="35"/>
        <v>-250.00630768744617</v>
      </c>
      <c r="AG89" s="47">
        <f t="shared" si="36"/>
        <v>27127.175095045459</v>
      </c>
      <c r="AH89" s="45" t="str">
        <f t="shared" si="40"/>
        <v>-250.00631,42.12889,27127</v>
      </c>
      <c r="AI89" s="44">
        <f t="shared" si="42"/>
        <v>5663.8856141959859</v>
      </c>
    </row>
    <row r="90" spans="1:35" ht="18" customHeight="1" x14ac:dyDescent="0.25">
      <c r="A90" s="36">
        <f t="shared" si="37"/>
        <v>0.73113425925925923</v>
      </c>
      <c r="B90" s="42">
        <f t="shared" si="22"/>
        <v>42.305132005985357</v>
      </c>
      <c r="C90" s="43">
        <f t="shared" si="23"/>
        <v>110.81578962882745</v>
      </c>
      <c r="D90" s="18">
        <f t="shared" si="24"/>
        <v>21.988750099062599</v>
      </c>
      <c r="E90" s="21" t="str">
        <f t="shared" si="25"/>
        <v>Umbra</v>
      </c>
      <c r="F90" s="23">
        <f>IF($E90&lt;&gt;"Umbra",fracil2($S$2,$S$3,$S$4,$A90,$Q$2,$O$3,$Q$4,$U90,$V90,$W90),0)</f>
        <v>0</v>
      </c>
      <c r="G90" s="19">
        <f t="shared" si="26"/>
        <v>265.32499040442241</v>
      </c>
      <c r="H90" s="19">
        <f t="shared" si="27"/>
        <v>21.59360138671838</v>
      </c>
      <c r="I90" s="19">
        <f t="shared" si="28"/>
        <v>22.729168472863673</v>
      </c>
      <c r="J90" s="28">
        <f t="shared" si="29"/>
        <v>2.5677263142189464</v>
      </c>
      <c r="K90" s="24">
        <f t="shared" si="30"/>
        <v>55.803777709292852</v>
      </c>
      <c r="L90" s="32">
        <f t="shared" si="31"/>
        <v>8.178358351164125E-2</v>
      </c>
      <c r="M90" s="35">
        <f t="shared" si="32"/>
        <v>10.898350271392303</v>
      </c>
      <c r="O90" s="29">
        <f t="shared" si="33"/>
        <v>51.583335119795656</v>
      </c>
      <c r="P90" s="44"/>
      <c r="Q90" s="4"/>
      <c r="S90" s="3"/>
      <c r="T90" s="48">
        <v>0.73113425925925923</v>
      </c>
      <c r="U90" s="29">
        <v>-810.39946608568403</v>
      </c>
      <c r="V90" s="29">
        <v>4670.7307154330201</v>
      </c>
      <c r="W90" s="29">
        <v>4285.5295024215102</v>
      </c>
      <c r="X90" s="4">
        <v>-6.7727543083311401</v>
      </c>
      <c r="Y90" s="4">
        <v>-2.8825847354460401</v>
      </c>
      <c r="Z90" s="4">
        <v>1.0754024836678999</v>
      </c>
      <c r="AA90" s="3">
        <f t="shared" si="38"/>
        <v>7.4388161813506066</v>
      </c>
      <c r="AB90" s="3">
        <f t="shared" si="41"/>
        <v>-3.2856065029610242E-2</v>
      </c>
      <c r="AC90" s="3">
        <f t="shared" si="39"/>
        <v>7.1074244049373876</v>
      </c>
      <c r="AD90" s="48"/>
      <c r="AE90" s="46">
        <f t="shared" si="34"/>
        <v>42.305132005985357</v>
      </c>
      <c r="AF90" s="46">
        <f t="shared" si="35"/>
        <v>-249.18421037117255</v>
      </c>
      <c r="AG90" s="47">
        <f t="shared" si="36"/>
        <v>21988.750099062599</v>
      </c>
      <c r="AH90" s="45" t="str">
        <f t="shared" si="40"/>
        <v>-249.18421,42.30513,21989</v>
      </c>
      <c r="AI90" s="44">
        <f t="shared" si="42"/>
        <v>5734.3657234534512</v>
      </c>
    </row>
    <row r="91" spans="1:35" ht="18" customHeight="1" x14ac:dyDescent="0.25">
      <c r="A91" s="36">
        <f t="shared" si="37"/>
        <v>0.73116898148148146</v>
      </c>
      <c r="B91" s="42">
        <f t="shared" si="22"/>
        <v>42.356776130176264</v>
      </c>
      <c r="C91" s="43">
        <f t="shared" si="23"/>
        <v>111.06355900789822</v>
      </c>
      <c r="D91" s="18">
        <f t="shared" si="24"/>
        <v>20.424965879874435</v>
      </c>
      <c r="E91" s="21" t="str">
        <f t="shared" si="25"/>
        <v>Umbra</v>
      </c>
      <c r="F91" s="23">
        <f>IF($E91&lt;&gt;"Umbra",fracil2($S$2,$S$3,$S$4,$A91,$Q$2,$O$3,$Q$4,$U91,$V91,$W91),0)</f>
        <v>0</v>
      </c>
      <c r="G91" s="19">
        <f t="shared" si="26"/>
        <v>272.57331616502489</v>
      </c>
      <c r="H91" s="19">
        <f t="shared" si="27"/>
        <v>31.447159921125948</v>
      </c>
      <c r="I91" s="19">
        <f t="shared" si="28"/>
        <v>32.582727007271245</v>
      </c>
      <c r="J91" s="28">
        <f t="shared" si="29"/>
        <v>5.9349828230123283</v>
      </c>
      <c r="K91" s="24">
        <f t="shared" si="30"/>
        <v>36.587993519790146</v>
      </c>
      <c r="L91" s="32">
        <f t="shared" si="31"/>
        <v>9.2072664122004613E-2</v>
      </c>
      <c r="M91" s="35">
        <f t="shared" si="32"/>
        <v>22.145103988028268</v>
      </c>
      <c r="O91" s="29">
        <f t="shared" si="33"/>
        <v>31.031230299586667</v>
      </c>
      <c r="P91" s="44"/>
      <c r="Q91" s="4"/>
      <c r="S91" s="3"/>
      <c r="T91" s="48">
        <v>0.73116898148148146</v>
      </c>
      <c r="U91" s="29">
        <v>-830.72813237660398</v>
      </c>
      <c r="V91" s="29">
        <v>4662.0467586729801</v>
      </c>
      <c r="W91" s="29">
        <v>4288.7314531081402</v>
      </c>
      <c r="X91" s="4">
        <v>-6.7727244961834305</v>
      </c>
      <c r="Y91" s="4">
        <v>-2.9048391626882797</v>
      </c>
      <c r="Z91" s="4">
        <v>1.0570052429655601</v>
      </c>
      <c r="AA91" s="3">
        <f t="shared" si="38"/>
        <v>7.4448067635061781</v>
      </c>
      <c r="AB91" s="3">
        <f t="shared" si="41"/>
        <v>-0.20629724359022958</v>
      </c>
      <c r="AC91" s="3">
        <f t="shared" si="39"/>
        <v>7.1134932572493259</v>
      </c>
      <c r="AD91" s="48"/>
      <c r="AE91" s="46">
        <f t="shared" si="34"/>
        <v>42.356776130176264</v>
      </c>
      <c r="AF91" s="46">
        <f t="shared" si="35"/>
        <v>-248.93644099210178</v>
      </c>
      <c r="AG91" s="47">
        <f t="shared" si="36"/>
        <v>20424.965879874435</v>
      </c>
      <c r="AH91" s="45" t="str">
        <f t="shared" si="40"/>
        <v>-248.93644,42.35678,20425</v>
      </c>
      <c r="AI91" s="44">
        <f t="shared" si="42"/>
        <v>5755.5271245015392</v>
      </c>
    </row>
  </sheetData>
  <mergeCells count="8">
    <mergeCell ref="R1:S1"/>
    <mergeCell ref="H4:I4"/>
    <mergeCell ref="U3:Z3"/>
    <mergeCell ref="A1:M1"/>
    <mergeCell ref="A2:M2"/>
    <mergeCell ref="B3:D3"/>
    <mergeCell ref="G3:M3"/>
    <mergeCell ref="N1:P1"/>
  </mergeCells>
  <conditionalFormatting sqref="F14:G24 I14:M24 F6:G11 I6:M11 H6:H91 F33:M91">
    <cfRule type="expression" dxfId="13" priority="23">
      <formula>$I6&gt;=0</formula>
    </cfRule>
  </conditionalFormatting>
  <conditionalFormatting sqref="F34:G34 I34:M34">
    <cfRule type="expression" dxfId="12" priority="22">
      <formula>$I34&gt;=0</formula>
    </cfRule>
  </conditionalFormatting>
  <conditionalFormatting sqref="F32:G32 I32:M32">
    <cfRule type="expression" dxfId="11" priority="21">
      <formula>$I32&gt;=0</formula>
    </cfRule>
  </conditionalFormatting>
  <conditionalFormatting sqref="F26:G31 I26:M31">
    <cfRule type="expression" dxfId="10" priority="19">
      <formula>$I26&gt;=0</formula>
    </cfRule>
  </conditionalFormatting>
  <conditionalFormatting sqref="F25:G28 I25:M28">
    <cfRule type="expression" dxfId="9" priority="18">
      <formula>$I25&gt;=0</formula>
    </cfRule>
  </conditionalFormatting>
  <conditionalFormatting sqref="F13:G13 I13:M13">
    <cfRule type="expression" dxfId="8" priority="17">
      <formula>$I13&gt;=0</formula>
    </cfRule>
  </conditionalFormatting>
  <conditionalFormatting sqref="F12:G12 I12:M12">
    <cfRule type="expression" dxfId="7" priority="16">
      <formula>$I12&gt;=0</formula>
    </cfRule>
  </conditionalFormatting>
  <conditionalFormatting sqref="H14:H24">
    <cfRule type="expression" dxfId="6" priority="14">
      <formula>$I14&gt;=0</formula>
    </cfRule>
  </conditionalFormatting>
  <conditionalFormatting sqref="H34">
    <cfRule type="expression" dxfId="5" priority="13">
      <formula>$I34&gt;=0</formula>
    </cfRule>
  </conditionalFormatting>
  <conditionalFormatting sqref="H32">
    <cfRule type="expression" dxfId="4" priority="12">
      <formula>$I32&gt;=0</formula>
    </cfRule>
  </conditionalFormatting>
  <conditionalFormatting sqref="H26:H31">
    <cfRule type="expression" dxfId="3" priority="10">
      <formula>$I26&gt;=0</formula>
    </cfRule>
  </conditionalFormatting>
  <conditionalFormatting sqref="H25:H28">
    <cfRule type="expression" dxfId="2" priority="9">
      <formula>$I25&gt;=0</formula>
    </cfRule>
  </conditionalFormatting>
  <conditionalFormatting sqref="H13">
    <cfRule type="expression" dxfId="1" priority="8">
      <formula>$I13&gt;=0</formula>
    </cfRule>
  </conditionalFormatting>
  <conditionalFormatting sqref="H12">
    <cfRule type="expression" dxfId="0" priority="7">
      <formula>$I12&gt;=0</formula>
    </cfRule>
  </conditionalFormatting>
  <printOptions horizontalCentered="1" verticalCentered="1"/>
  <pageMargins left="0.35433070866141736" right="0.35433070866141736" top="0.39370078740157483" bottom="0.39370078740157483" header="0.51181102362204722" footer="0.51181102362204722"/>
  <pageSetup orientation="landscape" horizontalDpi="4294967294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C9"/>
  <sheetViews>
    <sheetView workbookViewId="0">
      <selection activeCell="A7" sqref="A7"/>
    </sheetView>
  </sheetViews>
  <sheetFormatPr defaultRowHeight="15.6" x14ac:dyDescent="0.3"/>
  <cols>
    <col min="1" max="1" width="15" style="27" bestFit="1" customWidth="1"/>
    <col min="2" max="2" width="17.33203125" style="27" bestFit="1" customWidth="1"/>
    <col min="3" max="3" width="15.6640625" style="27" customWidth="1"/>
    <col min="4" max="16384" width="8.88671875" style="27"/>
  </cols>
  <sheetData>
    <row r="1" spans="1:3" x14ac:dyDescent="0.3">
      <c r="A1" s="25" t="s">
        <v>22</v>
      </c>
      <c r="B1" s="26">
        <v>3.3528099999999999E-3</v>
      </c>
      <c r="C1" s="27" t="s">
        <v>26</v>
      </c>
    </row>
    <row r="2" spans="1:3" x14ac:dyDescent="0.3">
      <c r="A2" s="25" t="s">
        <v>23</v>
      </c>
      <c r="B2" s="26">
        <f>(1-B$1)^2</f>
        <v>0.99330562133489608</v>
      </c>
    </row>
    <row r="3" spans="1:3" x14ac:dyDescent="0.3">
      <c r="A3" s="25" t="s">
        <v>24</v>
      </c>
      <c r="B3" s="26">
        <f>2*B$1-B$1*B$1</f>
        <v>6.6943786651038999E-3</v>
      </c>
    </row>
    <row r="5" spans="1:3" x14ac:dyDescent="0.3">
      <c r="A5" s="71" t="s">
        <v>25</v>
      </c>
      <c r="B5" s="71"/>
      <c r="C5" s="71"/>
    </row>
    <row r="7" spans="1:3" x14ac:dyDescent="0.3">
      <c r="B7" s="34"/>
    </row>
    <row r="8" spans="1:3" x14ac:dyDescent="0.3">
      <c r="B8" s="33"/>
      <c r="C8" s="33"/>
    </row>
    <row r="9" spans="1:3" x14ac:dyDescent="0.3">
      <c r="B9" s="33"/>
    </row>
  </sheetData>
  <mergeCells count="1">
    <mergeCell ref="A5:C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8392C-8C63-45A7-943E-EAB2DAF8AED8}">
  <dimension ref="A1:E8"/>
  <sheetViews>
    <sheetView workbookViewId="0">
      <selection activeCell="G1" sqref="G1"/>
    </sheetView>
  </sheetViews>
  <sheetFormatPr defaultRowHeight="14.4" x14ac:dyDescent="0.3"/>
  <cols>
    <col min="1" max="1" width="4.5546875" style="58" customWidth="1"/>
    <col min="2" max="2" width="24.33203125" style="58" bestFit="1" customWidth="1"/>
    <col min="3" max="16384" width="8.88671875" style="58"/>
  </cols>
  <sheetData>
    <row r="1" spans="1:5" x14ac:dyDescent="0.3">
      <c r="A1" s="59">
        <v>1</v>
      </c>
      <c r="B1" s="58" t="s">
        <v>53</v>
      </c>
      <c r="C1" s="58">
        <v>42.345430999999998</v>
      </c>
      <c r="D1" s="58">
        <v>111.44084700000001</v>
      </c>
      <c r="E1" s="58">
        <v>1251</v>
      </c>
    </row>
    <row r="2" spans="1:5" x14ac:dyDescent="0.3">
      <c r="A2" s="59">
        <v>2</v>
      </c>
      <c r="B2" s="58" t="s">
        <v>55</v>
      </c>
      <c r="C2" s="58">
        <v>28.459499999999998</v>
      </c>
      <c r="D2" s="58">
        <v>77.026600000000002</v>
      </c>
      <c r="E2" s="58">
        <v>217</v>
      </c>
    </row>
    <row r="3" spans="1:5" x14ac:dyDescent="0.3">
      <c r="A3" s="59">
        <v>3</v>
      </c>
      <c r="B3" s="58" t="s">
        <v>56</v>
      </c>
      <c r="C3" s="58">
        <v>24.86</v>
      </c>
      <c r="D3" s="58">
        <v>67.010000000000005</v>
      </c>
      <c r="E3" s="58">
        <v>10</v>
      </c>
    </row>
    <row r="4" spans="1:5" x14ac:dyDescent="0.3">
      <c r="A4" s="59">
        <v>4</v>
      </c>
      <c r="B4" s="58" t="s">
        <v>57</v>
      </c>
      <c r="C4" s="58">
        <v>23.03</v>
      </c>
      <c r="D4" s="58">
        <v>72.58</v>
      </c>
      <c r="E4" s="58">
        <v>48</v>
      </c>
    </row>
    <row r="5" spans="1:5" x14ac:dyDescent="0.3">
      <c r="A5" s="59">
        <v>5</v>
      </c>
      <c r="B5" s="58" t="s">
        <v>58</v>
      </c>
      <c r="C5" s="58">
        <v>22.3</v>
      </c>
      <c r="D5" s="58">
        <v>70.783299999999997</v>
      </c>
      <c r="E5" s="58">
        <v>139</v>
      </c>
    </row>
    <row r="6" spans="1:5" x14ac:dyDescent="0.3">
      <c r="A6" s="59">
        <v>6</v>
      </c>
      <c r="B6" s="58" t="s">
        <v>59</v>
      </c>
      <c r="C6" s="58">
        <v>22.3</v>
      </c>
      <c r="D6" s="58">
        <v>73.2</v>
      </c>
      <c r="E6" s="58">
        <v>34</v>
      </c>
    </row>
    <row r="7" spans="1:5" x14ac:dyDescent="0.3">
      <c r="A7" s="59">
        <v>7</v>
      </c>
      <c r="B7" s="58" t="s">
        <v>60</v>
      </c>
      <c r="C7" s="58">
        <v>18.975000000000001</v>
      </c>
      <c r="D7" s="58">
        <v>72.825833333333307</v>
      </c>
      <c r="E7" s="58">
        <v>4</v>
      </c>
    </row>
    <row r="8" spans="1:5" x14ac:dyDescent="0.3">
      <c r="A8" s="59">
        <v>8</v>
      </c>
      <c r="B8" s="58" t="s">
        <v>61</v>
      </c>
      <c r="C8" s="58">
        <v>15.5</v>
      </c>
      <c r="D8" s="58">
        <v>73.83</v>
      </c>
      <c r="E8" s="58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Compute Ephemeris</vt:lpstr>
      <vt:lpstr>Const</vt:lpstr>
      <vt:lpstr>Sites</vt:lpstr>
      <vt:lpstr>Chart1</vt:lpstr>
      <vt:lpstr>Chart1a</vt:lpstr>
      <vt:lpstr>Chart2</vt:lpstr>
      <vt:lpstr>Chart3</vt:lpstr>
      <vt:lpstr>Chart4</vt:lpstr>
      <vt:lpstr>Chart5</vt:lpstr>
      <vt:lpstr>Chart6</vt:lpstr>
      <vt:lpstr>Chart7</vt:lpstr>
      <vt:lpstr>Chart8</vt:lpstr>
      <vt:lpstr>Chart9</vt:lpstr>
      <vt:lpstr>Chart10</vt:lpstr>
      <vt:lpstr>'Compute Ephemeris'!Print_Area</vt:lpstr>
      <vt:lpstr>'Compute Ephemeris'!Print_Titles</vt:lpstr>
    </vt:vector>
  </TitlesOfParts>
  <Company>Molczan Software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Molczan</dc:creator>
  <cp:lastModifiedBy>Ted</cp:lastModifiedBy>
  <cp:lastPrinted>2020-12-16T16:36:59Z</cp:lastPrinted>
  <dcterms:created xsi:type="dcterms:W3CDTF">2005-02-02T10:52:37Z</dcterms:created>
  <dcterms:modified xsi:type="dcterms:W3CDTF">2020-12-16T16:37:39Z</dcterms:modified>
</cp:coreProperties>
</file>