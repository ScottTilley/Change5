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tellites3\Re-entry\Sightings - natural\2020 12 16 UTC (20087A)\Trajectory\v6\"/>
    </mc:Choice>
  </mc:AlternateContent>
  <xr:revisionPtr revIDLastSave="0" documentId="13_ncr:1_{A2EDAB1A-E616-4ACC-81F7-31906EC5891C}" xr6:coauthVersionLast="45" xr6:coauthVersionMax="45" xr10:uidLastSave="{00000000-0000-0000-0000-000000000000}"/>
  <bookViews>
    <workbookView xWindow="-108" yWindow="-108" windowWidth="23256" windowHeight="13176" tabRatio="865" xr2:uid="{00000000-000D-0000-FFFF-FFFF00000000}"/>
  </bookViews>
  <sheets>
    <sheet name="Compute Ephemeris" sheetId="78" r:id="rId1"/>
    <sheet name="Const" sheetId="17" state="hidden" r:id="rId2"/>
    <sheet name="Sites" sheetId="94" r:id="rId3"/>
    <sheet name="Chart1" sheetId="82" r:id="rId4"/>
    <sheet name="Chart1a" sheetId="89" state="hidden" r:id="rId5"/>
    <sheet name="Chart2" sheetId="83" r:id="rId6"/>
    <sheet name="Chart3" sheetId="84" r:id="rId7"/>
    <sheet name="Chart4" sheetId="86" r:id="rId8"/>
    <sheet name="Chart5" sheetId="87" r:id="rId9"/>
    <sheet name="Chart6" sheetId="88" r:id="rId10"/>
    <sheet name="Chart7" sheetId="90" r:id="rId11"/>
    <sheet name="Chart8" sheetId="91" r:id="rId12"/>
    <sheet name="Chart9" sheetId="92" r:id="rId13"/>
    <sheet name="Chart10" sheetId="93" r:id="rId14"/>
  </sheets>
  <functionGroups builtInGroupCount="19"/>
  <definedNames>
    <definedName name="_xlnm.Print_Area" localSheetId="0">'Compute Ephemeris'!$A:$M</definedName>
    <definedName name="_xlnm.Print_Titles" localSheetId="0">'Compute Ephemeris'!$1:$5</definedName>
  </definedNames>
  <calcPr calcId="191029" refMode="R1C1" iterate="1" iterateCount="500" iterateDelta="1E-1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8" i="78" l="1"/>
  <c r="AI9" i="78" s="1"/>
  <c r="AI10" i="78" s="1"/>
  <c r="AI11" i="78" s="1"/>
  <c r="AI12" i="78" s="1"/>
  <c r="AI13" i="78" s="1"/>
  <c r="AI14" i="78" s="1"/>
  <c r="AI15" i="78" s="1"/>
  <c r="AI16" i="78" s="1"/>
  <c r="AI17" i="78" s="1"/>
  <c r="AI18" i="78" s="1"/>
  <c r="AI19" i="78" s="1"/>
  <c r="AI20" i="78" s="1"/>
  <c r="AI21" i="78" s="1"/>
  <c r="AI22" i="78" s="1"/>
  <c r="AI23" i="78" s="1"/>
  <c r="AI24" i="78" s="1"/>
  <c r="AI25" i="78" s="1"/>
  <c r="AI26" i="78" s="1"/>
  <c r="AI27" i="78" s="1"/>
  <c r="AI28" i="78" s="1"/>
  <c r="AI29" i="78" s="1"/>
  <c r="AI30" i="78" s="1"/>
  <c r="AI31" i="78" s="1"/>
  <c r="AI32" i="78" s="1"/>
  <c r="AI33" i="78" s="1"/>
  <c r="AI34" i="78" s="1"/>
  <c r="AI35" i="78" s="1"/>
  <c r="AI36" i="78" s="1"/>
  <c r="AI37" i="78" s="1"/>
  <c r="AI38" i="78" s="1"/>
  <c r="AI39" i="78" s="1"/>
  <c r="AI40" i="78" s="1"/>
  <c r="AI41" i="78" s="1"/>
  <c r="AI42" i="78" s="1"/>
  <c r="AI43" i="78" s="1"/>
  <c r="AI44" i="78" s="1"/>
  <c r="AI45" i="78" s="1"/>
  <c r="AI46" i="78" s="1"/>
  <c r="AI47" i="78" s="1"/>
  <c r="AI48" i="78" s="1"/>
  <c r="AI49" i="78" s="1"/>
  <c r="AI50" i="78" s="1"/>
  <c r="AI51" i="78" s="1"/>
  <c r="AI52" i="78" s="1"/>
  <c r="AI53" i="78" s="1"/>
  <c r="AI54" i="78" s="1"/>
  <c r="AI55" i="78" s="1"/>
  <c r="AI56" i="78" s="1"/>
  <c r="AI57" i="78" s="1"/>
  <c r="AI58" i="78" s="1"/>
  <c r="AI59" i="78" s="1"/>
  <c r="AI60" i="78" s="1"/>
  <c r="AI61" i="78" s="1"/>
  <c r="AI62" i="78" s="1"/>
  <c r="AI63" i="78" s="1"/>
  <c r="AI64" i="78" s="1"/>
  <c r="AI65" i="78" s="1"/>
  <c r="AI66" i="78" s="1"/>
  <c r="AI67" i="78" s="1"/>
  <c r="AI68" i="78" s="1"/>
  <c r="AI69" i="78" s="1"/>
  <c r="AI70" i="78" s="1"/>
  <c r="AI71" i="78" s="1"/>
  <c r="AI72" i="78" s="1"/>
  <c r="AI73" i="78" s="1"/>
  <c r="AI74" i="78" s="1"/>
  <c r="AI75" i="78" s="1"/>
  <c r="AI76" i="78" s="1"/>
  <c r="AI77" i="78" s="1"/>
  <c r="AI78" i="78" s="1"/>
  <c r="AI79" i="78" s="1"/>
  <c r="AI80" i="78" s="1"/>
  <c r="AI81" i="78" s="1"/>
  <c r="AI82" i="78" s="1"/>
  <c r="AI83" i="78" s="1"/>
  <c r="AI84" i="78" s="1"/>
  <c r="AI85" i="78" s="1"/>
  <c r="AI86" i="78" s="1"/>
  <c r="AI87" i="78" s="1"/>
  <c r="AI88" i="78" s="1"/>
  <c r="AI89" i="78" s="1"/>
  <c r="AI90" i="78" s="1"/>
  <c r="AI91" i="78" s="1"/>
  <c r="AI92" i="78" s="1"/>
  <c r="AI93" i="78" s="1"/>
  <c r="AI94" i="78" s="1"/>
  <c r="AI95" i="78" s="1"/>
  <c r="AI96" i="78" s="1"/>
  <c r="AI97" i="78" s="1"/>
  <c r="AI98" i="78" s="1"/>
  <c r="AI99" i="78" s="1"/>
  <c r="AI100" i="78" s="1"/>
  <c r="AI101" i="78" s="1"/>
  <c r="AI102" i="78" s="1"/>
  <c r="AI103" i="78" s="1"/>
  <c r="AI104" i="78" s="1"/>
  <c r="AI105" i="78" s="1"/>
  <c r="AI106" i="78" s="1"/>
  <c r="AI107" i="78" s="1"/>
  <c r="AI108" i="78" s="1"/>
  <c r="AI109" i="78" s="1"/>
  <c r="AI110" i="78" s="1"/>
  <c r="AI111" i="78" s="1"/>
  <c r="AI112" i="78" s="1"/>
  <c r="AI113" i="78" s="1"/>
  <c r="AI114" i="78" s="1"/>
  <c r="AI115" i="78" s="1"/>
  <c r="AI116" i="78" s="1"/>
  <c r="AI117" i="78" s="1"/>
  <c r="AI118" i="78" s="1"/>
  <c r="AI119" i="78" s="1"/>
  <c r="AI120" i="78" s="1"/>
  <c r="AI121" i="78" s="1"/>
  <c r="AI122" i="78" s="1"/>
  <c r="AI123" i="78" s="1"/>
  <c r="AI124" i="78" s="1"/>
  <c r="AI125" i="78" s="1"/>
  <c r="AI126" i="78" s="1"/>
  <c r="AI127" i="78" s="1"/>
  <c r="AI128" i="78" s="1"/>
  <c r="AI129" i="78" s="1"/>
  <c r="AI130" i="78" s="1"/>
  <c r="AI131" i="78" s="1"/>
  <c r="AI132" i="78" s="1"/>
  <c r="AI133" i="78" s="1"/>
  <c r="AI134" i="78" s="1"/>
  <c r="AI135" i="78" s="1"/>
  <c r="AI136" i="78" s="1"/>
  <c r="AI137" i="78" s="1"/>
  <c r="AI138" i="78" s="1"/>
  <c r="AI139" i="78" s="1"/>
  <c r="AI140" i="78" s="1"/>
  <c r="AI141" i="78" s="1"/>
  <c r="AI142" i="78" s="1"/>
  <c r="AI143" i="78" s="1"/>
  <c r="AI144" i="78" s="1"/>
  <c r="AI145" i="78" s="1"/>
  <c r="AI146" i="78" s="1"/>
  <c r="AI147" i="78" s="1"/>
  <c r="AI148" i="78" s="1"/>
  <c r="AI149" i="78" s="1"/>
  <c r="AI150" i="78" s="1"/>
  <c r="AI151" i="78" s="1"/>
  <c r="AI152" i="78" s="1"/>
  <c r="AI153" i="78" s="1"/>
  <c r="AI154" i="78" s="1"/>
  <c r="AI155" i="78" s="1"/>
  <c r="AI156" i="78" s="1"/>
  <c r="AI157" i="78" s="1"/>
  <c r="AI158" i="78" s="1"/>
  <c r="AI159" i="78" s="1"/>
  <c r="AI160" i="78" s="1"/>
  <c r="AI161" i="78" s="1"/>
  <c r="AI162" i="78" s="1"/>
  <c r="AI163" i="78" s="1"/>
  <c r="AI164" i="78" s="1"/>
  <c r="AI165" i="78" s="1"/>
  <c r="AI166" i="78" s="1"/>
  <c r="AI167" i="78" s="1"/>
  <c r="AI168" i="78" s="1"/>
  <c r="AI169" i="78" s="1"/>
  <c r="AI170" i="78" s="1"/>
  <c r="AI171" i="78" s="1"/>
  <c r="AI172" i="78" s="1"/>
  <c r="AI173" i="78" s="1"/>
  <c r="AI174" i="78" s="1"/>
  <c r="AI175" i="78" s="1"/>
  <c r="AI176" i="78" s="1"/>
  <c r="AI177" i="78" s="1"/>
  <c r="AI178" i="78" s="1"/>
  <c r="AI179" i="78" s="1"/>
  <c r="AI180" i="78" s="1"/>
  <c r="AI181" i="78" s="1"/>
  <c r="AI182" i="78" s="1"/>
  <c r="AI183" i="78" s="1"/>
  <c r="AI184" i="78" s="1"/>
  <c r="AI185" i="78" s="1"/>
  <c r="AI186" i="78" s="1"/>
  <c r="AI187" i="78" s="1"/>
  <c r="AI188" i="78" s="1"/>
  <c r="AI189" i="78" s="1"/>
  <c r="AI190" i="78" s="1"/>
  <c r="AI191" i="78" s="1"/>
  <c r="AI192" i="78" s="1"/>
  <c r="AI193" i="78" s="1"/>
  <c r="AI194" i="78" s="1"/>
  <c r="AI195" i="78" s="1"/>
  <c r="AI196" i="78" s="1"/>
  <c r="AI197" i="78" s="1"/>
  <c r="AI198" i="78" s="1"/>
  <c r="AI199" i="78" s="1"/>
  <c r="AI200" i="78" s="1"/>
  <c r="AI201" i="78" s="1"/>
  <c r="AI202" i="78" s="1"/>
  <c r="AI203" i="78" s="1"/>
  <c r="AI204" i="78" s="1"/>
  <c r="AI205" i="78" s="1"/>
  <c r="AI206" i="78" s="1"/>
  <c r="AI207" i="78" s="1"/>
  <c r="AI208" i="78" s="1"/>
  <c r="AI209" i="78" s="1"/>
  <c r="AI210" i="78" s="1"/>
  <c r="AI211" i="78" s="1"/>
  <c r="AI212" i="78" s="1"/>
  <c r="AI213" i="78" s="1"/>
  <c r="AI214" i="78" s="1"/>
  <c r="AI215" i="78" s="1"/>
  <c r="AI216" i="78" s="1"/>
  <c r="AI217" i="78" s="1"/>
  <c r="AI218" i="78" s="1"/>
  <c r="AI219" i="78" s="1"/>
  <c r="AI220" i="78" s="1"/>
  <c r="AI221" i="78" s="1"/>
  <c r="AI222" i="78" s="1"/>
  <c r="AI223" i="78" s="1"/>
  <c r="AI224" i="78" s="1"/>
  <c r="AI225" i="78" s="1"/>
  <c r="AI226" i="78" s="1"/>
  <c r="AI227" i="78" s="1"/>
  <c r="AI228" i="78" s="1"/>
  <c r="AI229" i="78" s="1"/>
  <c r="AI230" i="78" s="1"/>
  <c r="AI231" i="78" s="1"/>
  <c r="AI232" i="78" s="1"/>
  <c r="AI233" i="78" s="1"/>
  <c r="AI234" i="78" s="1"/>
  <c r="AI235" i="78" s="1"/>
  <c r="AI236" i="78" s="1"/>
  <c r="AI237" i="78" s="1"/>
  <c r="AI238" i="78" s="1"/>
  <c r="AI239" i="78" s="1"/>
  <c r="AI240" i="78" s="1"/>
  <c r="AI241" i="78" s="1"/>
  <c r="AI242" i="78" s="1"/>
  <c r="AI243" i="78" s="1"/>
  <c r="AI244" i="78" s="1"/>
  <c r="AI245" i="78" s="1"/>
  <c r="AI246" i="78" s="1"/>
  <c r="AI247" i="78" s="1"/>
  <c r="AI248" i="78" s="1"/>
  <c r="AI249" i="78" s="1"/>
  <c r="AI250" i="78" s="1"/>
  <c r="AI251" i="78" s="1"/>
  <c r="AI252" i="78" s="1"/>
  <c r="AI253" i="78" s="1"/>
  <c r="AI254" i="78" s="1"/>
  <c r="AI255" i="78" s="1"/>
  <c r="AI256" i="78" s="1"/>
  <c r="AI257" i="78" s="1"/>
  <c r="AI258" i="78" s="1"/>
  <c r="AI259" i="78" s="1"/>
  <c r="AI260" i="78" s="1"/>
  <c r="AI261" i="78" s="1"/>
  <c r="AI262" i="78" s="1"/>
  <c r="AI263" i="78" s="1"/>
  <c r="AI264" i="78" s="1"/>
  <c r="AI265" i="78" s="1"/>
  <c r="AI266" i="78" s="1"/>
  <c r="AI267" i="78" s="1"/>
  <c r="AI268" i="78" s="1"/>
  <c r="AI269" i="78" s="1"/>
  <c r="AI270" i="78" s="1"/>
  <c r="AI271" i="78" s="1"/>
  <c r="AI272" i="78" s="1"/>
  <c r="AI273" i="78" s="1"/>
  <c r="AI274" i="78" s="1"/>
  <c r="AI275" i="78" s="1"/>
  <c r="AI276" i="78" s="1"/>
  <c r="AI277" i="78" s="1"/>
  <c r="AI278" i="78" s="1"/>
  <c r="AI279" i="78" s="1"/>
  <c r="AI280" i="78" s="1"/>
  <c r="AI281" i="78" s="1"/>
  <c r="AI282" i="78" s="1"/>
  <c r="AI283" i="78" s="1"/>
  <c r="AI284" i="78" s="1"/>
  <c r="AI285" i="78" s="1"/>
  <c r="AI286" i="78" s="1"/>
  <c r="AI287" i="78" s="1"/>
  <c r="AI288" i="78" s="1"/>
  <c r="AI289" i="78" s="1"/>
  <c r="AI290" i="78" s="1"/>
  <c r="AI291" i="78" s="1"/>
  <c r="AI292" i="78" s="1"/>
  <c r="AI293" i="78" s="1"/>
  <c r="AI294" i="78" s="1"/>
  <c r="AI295" i="78" s="1"/>
  <c r="AI296" i="78" s="1"/>
  <c r="AI297" i="78" s="1"/>
  <c r="AI298" i="78" s="1"/>
  <c r="AI299" i="78" s="1"/>
  <c r="AI300" i="78" s="1"/>
  <c r="AI301" i="78" s="1"/>
  <c r="AI302" i="78" s="1"/>
  <c r="AI303" i="78" s="1"/>
  <c r="AI304" i="78" s="1"/>
  <c r="AI305" i="78" s="1"/>
  <c r="AI306" i="78" s="1"/>
  <c r="AI307" i="78" s="1"/>
  <c r="AI308" i="78" s="1"/>
  <c r="AI309" i="78" s="1"/>
  <c r="AI310" i="78" s="1"/>
  <c r="AI311" i="78" s="1"/>
  <c r="AI312" i="78" s="1"/>
  <c r="AI313" i="78" s="1"/>
  <c r="AI314" i="78" s="1"/>
  <c r="AI315" i="78" s="1"/>
  <c r="AI316" i="78" s="1"/>
  <c r="AI317" i="78" s="1"/>
  <c r="AI318" i="78" s="1"/>
  <c r="AI319" i="78" s="1"/>
  <c r="AI320" i="78" s="1"/>
  <c r="AI321" i="78" s="1"/>
  <c r="AI322" i="78" s="1"/>
  <c r="AI323" i="78" s="1"/>
  <c r="AI324" i="78" s="1"/>
  <c r="AI325" i="78" s="1"/>
  <c r="AI326" i="78" s="1"/>
  <c r="AI327" i="78" s="1"/>
  <c r="AI328" i="78" s="1"/>
  <c r="AI329" i="78" s="1"/>
  <c r="AI330" i="78" s="1"/>
  <c r="AI331" i="78" s="1"/>
  <c r="AI332" i="78" s="1"/>
  <c r="AI333" i="78" s="1"/>
  <c r="AI334" i="78" s="1"/>
  <c r="AI335" i="78" s="1"/>
  <c r="AI336" i="78" s="1"/>
  <c r="AI337" i="78" s="1"/>
  <c r="AI338" i="78" s="1"/>
  <c r="AI339" i="78" s="1"/>
  <c r="AI340" i="78" s="1"/>
  <c r="AI341" i="78" s="1"/>
  <c r="AI342" i="78" s="1"/>
  <c r="AI343" i="78" s="1"/>
  <c r="AI344" i="78" s="1"/>
  <c r="AI345" i="78" s="1"/>
  <c r="AI346" i="78" s="1"/>
  <c r="AI347" i="78" s="1"/>
  <c r="AI348" i="78" s="1"/>
  <c r="AI349" i="78" s="1"/>
  <c r="AI350" i="78" s="1"/>
  <c r="AI351" i="78" s="1"/>
  <c r="AI352" i="78" s="1"/>
  <c r="AI353" i="78" s="1"/>
  <c r="AI354" i="78" s="1"/>
  <c r="AI355" i="78" s="1"/>
  <c r="AI356" i="78" s="1"/>
  <c r="AI357" i="78" s="1"/>
  <c r="AI358" i="78" s="1"/>
  <c r="AI359" i="78" s="1"/>
  <c r="AI360" i="78" s="1"/>
  <c r="AI361" i="78" s="1"/>
  <c r="AI362" i="78" s="1"/>
  <c r="AI363" i="78" s="1"/>
  <c r="AI364" i="78" s="1"/>
  <c r="AI365" i="78" s="1"/>
  <c r="AI366" i="78" s="1"/>
  <c r="AI367" i="78" s="1"/>
  <c r="AI368" i="78" s="1"/>
  <c r="AI369" i="78" s="1"/>
  <c r="AI370" i="78" s="1"/>
  <c r="AI371" i="78" s="1"/>
  <c r="AI372" i="78" s="1"/>
  <c r="AI373" i="78" s="1"/>
  <c r="AI374" i="78" s="1"/>
  <c r="AI375" i="78" s="1"/>
  <c r="AI376" i="78" s="1"/>
  <c r="AI377" i="78" s="1"/>
  <c r="AI378" i="78" s="1"/>
  <c r="AI379" i="78" s="1"/>
  <c r="AI380" i="78" s="1"/>
  <c r="AI381" i="78" s="1"/>
  <c r="AI382" i="78" s="1"/>
  <c r="AI383" i="78" s="1"/>
  <c r="AI384" i="78" s="1"/>
  <c r="AI385" i="78" s="1"/>
  <c r="AI386" i="78" s="1"/>
  <c r="AI387" i="78" s="1"/>
  <c r="AI388" i="78" s="1"/>
  <c r="AI389" i="78" s="1"/>
  <c r="AI390" i="78" s="1"/>
  <c r="AI391" i="78" s="1"/>
  <c r="AI392" i="78" s="1"/>
  <c r="AI393" i="78" s="1"/>
  <c r="AI394" i="78" s="1"/>
  <c r="AI395" i="78" s="1"/>
  <c r="AI396" i="78" s="1"/>
  <c r="AI397" i="78" s="1"/>
  <c r="AI398" i="78" s="1"/>
  <c r="AI399" i="78" s="1"/>
  <c r="AI400" i="78" s="1"/>
  <c r="AI401" i="78" s="1"/>
  <c r="AI402" i="78" s="1"/>
  <c r="AI403" i="78" s="1"/>
  <c r="AI404" i="78" s="1"/>
  <c r="AI405" i="78" s="1"/>
  <c r="AI406" i="78" s="1"/>
  <c r="AI407" i="78" s="1"/>
  <c r="AI408" i="78" s="1"/>
  <c r="AI409" i="78" s="1"/>
  <c r="AI410" i="78" s="1"/>
  <c r="AI411" i="78" s="1"/>
  <c r="AI412" i="78" s="1"/>
  <c r="AI413" i="78" s="1"/>
  <c r="AI414" i="78" s="1"/>
  <c r="AI415" i="78" s="1"/>
  <c r="AI416" i="78" s="1"/>
  <c r="AI417" i="78" s="1"/>
  <c r="AI418" i="78" s="1"/>
  <c r="AI419" i="78" s="1"/>
  <c r="AI420" i="78" s="1"/>
  <c r="AI421" i="78" s="1"/>
  <c r="AI422" i="78" s="1"/>
  <c r="AI423" i="78" s="1"/>
  <c r="AI424" i="78" s="1"/>
  <c r="AI425" i="78" s="1"/>
  <c r="AI426" i="78" s="1"/>
  <c r="AI427" i="78" s="1"/>
  <c r="AI428" i="78" s="1"/>
  <c r="AI429" i="78" s="1"/>
  <c r="AI430" i="78" s="1"/>
  <c r="AI431" i="78" s="1"/>
  <c r="AI432" i="78" s="1"/>
  <c r="AI433" i="78" s="1"/>
  <c r="AI434" i="78" s="1"/>
  <c r="AI435" i="78" s="1"/>
  <c r="AI436" i="78" s="1"/>
  <c r="AI437" i="78" s="1"/>
  <c r="AI438" i="78" s="1"/>
  <c r="AI439" i="78" s="1"/>
  <c r="AI440" i="78" s="1"/>
  <c r="AI441" i="78" s="1"/>
  <c r="AI442" i="78" s="1"/>
  <c r="AI443" i="78" s="1"/>
  <c r="AI444" i="78" s="1"/>
  <c r="AI445" i="78" s="1"/>
  <c r="AI446" i="78" s="1"/>
  <c r="AI447" i="78" s="1"/>
  <c r="AI448" i="78" s="1"/>
  <c r="AI449" i="78" s="1"/>
  <c r="AI450" i="78" s="1"/>
  <c r="AI451" i="78" s="1"/>
  <c r="AI452" i="78" s="1"/>
  <c r="AI453" i="78" s="1"/>
  <c r="AI454" i="78" s="1"/>
  <c r="AI455" i="78" s="1"/>
  <c r="AI456" i="78" s="1"/>
  <c r="AI457" i="78" s="1"/>
  <c r="AI458" i="78" s="1"/>
  <c r="AI459" i="78" s="1"/>
  <c r="AI460" i="78" s="1"/>
  <c r="AI461" i="78" s="1"/>
  <c r="AI462" i="78" s="1"/>
  <c r="AI463" i="78" s="1"/>
  <c r="AI464" i="78" s="1"/>
  <c r="AI465" i="78" s="1"/>
  <c r="AI466" i="78" s="1"/>
  <c r="AI467" i="78" s="1"/>
  <c r="AI468" i="78" s="1"/>
  <c r="AI469" i="78" s="1"/>
  <c r="AI470" i="78" s="1"/>
  <c r="AI471" i="78" s="1"/>
  <c r="AI472" i="78" s="1"/>
  <c r="AI473" i="78" s="1"/>
  <c r="AI474" i="78" s="1"/>
  <c r="AI475" i="78" s="1"/>
  <c r="AI476" i="78" s="1"/>
  <c r="AI477" i="78" s="1"/>
  <c r="AI478" i="78" s="1"/>
  <c r="AI479" i="78" s="1"/>
  <c r="AI480" i="78" s="1"/>
  <c r="AI481" i="78" s="1"/>
  <c r="AI482" i="78" s="1"/>
  <c r="AI483" i="78" s="1"/>
  <c r="AI484" i="78" s="1"/>
  <c r="AI485" i="78" s="1"/>
  <c r="AI486" i="78" s="1"/>
  <c r="AI487" i="78" s="1"/>
  <c r="AI488" i="78" s="1"/>
  <c r="AI489" i="78" s="1"/>
  <c r="AI490" i="78" s="1"/>
  <c r="AI491" i="78" s="1"/>
  <c r="AI492" i="78" s="1"/>
  <c r="AI493" i="78" s="1"/>
  <c r="AI494" i="78" s="1"/>
  <c r="AI495" i="78" s="1"/>
  <c r="AI496" i="78" s="1"/>
  <c r="AI497" i="78" s="1"/>
  <c r="AI498" i="78" s="1"/>
  <c r="AI499" i="78" s="1"/>
  <c r="AI500" i="78" s="1"/>
  <c r="AI501" i="78" s="1"/>
  <c r="AI502" i="78" s="1"/>
  <c r="AI503" i="78" s="1"/>
  <c r="AI504" i="78" s="1"/>
  <c r="AI505" i="78" s="1"/>
  <c r="AI506" i="78" s="1"/>
  <c r="AI507" i="78" s="1"/>
  <c r="AI508" i="78" s="1"/>
  <c r="AI509" i="78" s="1"/>
  <c r="AI510" i="78" s="1"/>
  <c r="AI511" i="78" s="1"/>
  <c r="AI512" i="78" s="1"/>
  <c r="AI513" i="78" s="1"/>
  <c r="AI514" i="78" s="1"/>
  <c r="AI515" i="78" s="1"/>
  <c r="AI516" i="78" s="1"/>
  <c r="AI517" i="78" s="1"/>
  <c r="AI518" i="78" s="1"/>
  <c r="AI519" i="78" s="1"/>
  <c r="AI520" i="78" s="1"/>
  <c r="AI521" i="78" s="1"/>
  <c r="AI522" i="78" s="1"/>
  <c r="AI523" i="78" s="1"/>
  <c r="AI524" i="78" s="1"/>
  <c r="AI525" i="78" s="1"/>
  <c r="AI526" i="78" s="1"/>
  <c r="AI527" i="78" s="1"/>
  <c r="AI528" i="78" s="1"/>
  <c r="AI529" i="78" s="1"/>
  <c r="AI530" i="78" s="1"/>
  <c r="AI531" i="78" s="1"/>
  <c r="AI532" i="78" s="1"/>
  <c r="AI533" i="78" s="1"/>
  <c r="AI534" i="78" s="1"/>
  <c r="AI535" i="78" s="1"/>
  <c r="AI536" i="78" s="1"/>
  <c r="AI537" i="78" s="1"/>
  <c r="AI538" i="78" s="1"/>
  <c r="AI539" i="78" s="1"/>
  <c r="AI540" i="78" s="1"/>
  <c r="AI541" i="78" s="1"/>
  <c r="AI542" i="78" s="1"/>
  <c r="AI543" i="78" s="1"/>
  <c r="AI544" i="78" s="1"/>
  <c r="AI545" i="78" s="1"/>
  <c r="AI546" i="78" s="1"/>
  <c r="AI547" i="78" s="1"/>
  <c r="AI548" i="78" s="1"/>
  <c r="AI549" i="78" s="1"/>
  <c r="AI550" i="78" s="1"/>
  <c r="AI551" i="78" s="1"/>
  <c r="AI552" i="78" s="1"/>
  <c r="AI553" i="78" s="1"/>
  <c r="AI554" i="78" s="1"/>
  <c r="AI555" i="78" s="1"/>
  <c r="AI556" i="78" s="1"/>
  <c r="AI557" i="78" s="1"/>
  <c r="AI558" i="78" s="1"/>
  <c r="AI559" i="78" s="1"/>
  <c r="AI560" i="78" s="1"/>
  <c r="AI561" i="78" s="1"/>
  <c r="AI562" i="78" s="1"/>
  <c r="AI563" i="78" s="1"/>
  <c r="AI564" i="78" s="1"/>
  <c r="AI565" i="78" s="1"/>
  <c r="AI566" i="78" s="1"/>
  <c r="AI567" i="78" s="1"/>
  <c r="AI568" i="78" s="1"/>
  <c r="AI569" i="78" s="1"/>
  <c r="AI570" i="78" s="1"/>
  <c r="AI571" i="78" s="1"/>
  <c r="AI572" i="78" s="1"/>
  <c r="AI573" i="78" s="1"/>
  <c r="AI574" i="78" s="1"/>
  <c r="AI575" i="78" s="1"/>
  <c r="AI576" i="78" s="1"/>
  <c r="AI577" i="78" s="1"/>
  <c r="AI578" i="78" s="1"/>
  <c r="AI579" i="78" s="1"/>
  <c r="AI580" i="78" s="1"/>
  <c r="AI581" i="78" s="1"/>
  <c r="AI582" i="78" s="1"/>
  <c r="AI583" i="78" s="1"/>
  <c r="AI584" i="78" s="1"/>
  <c r="AI585" i="78" s="1"/>
  <c r="AI586" i="78" s="1"/>
  <c r="AI587" i="78" s="1"/>
  <c r="AI588" i="78" s="1"/>
  <c r="AI589" i="78" s="1"/>
  <c r="AI590" i="78" s="1"/>
  <c r="AI591" i="78" s="1"/>
  <c r="AI592" i="78" s="1"/>
  <c r="AI593" i="78" s="1"/>
  <c r="AI594" i="78" s="1"/>
  <c r="AI595" i="78" s="1"/>
  <c r="AI596" i="78" s="1"/>
  <c r="AI597" i="78" s="1"/>
  <c r="AI598" i="78" s="1"/>
  <c r="AI599" i="78" s="1"/>
  <c r="AI600" i="78" s="1"/>
  <c r="AI601" i="78" s="1"/>
  <c r="AI602" i="78" s="1"/>
  <c r="AI603" i="78" s="1"/>
  <c r="AI604" i="78" s="1"/>
  <c r="AI605" i="78" s="1"/>
  <c r="AI606" i="78" s="1"/>
  <c r="AI607" i="78" s="1"/>
  <c r="AI608" i="78" s="1"/>
  <c r="AI609" i="78" s="1"/>
  <c r="AI610" i="78" s="1"/>
  <c r="AI611" i="78" s="1"/>
  <c r="AI612" i="78" s="1"/>
  <c r="AI613" i="78" s="1"/>
  <c r="AI614" i="78" s="1"/>
  <c r="AI615" i="78" s="1"/>
  <c r="AI616" i="78" s="1"/>
  <c r="AI617" i="78" s="1"/>
  <c r="AI618" i="78" s="1"/>
  <c r="AI619" i="78" s="1"/>
  <c r="AI620" i="78" s="1"/>
  <c r="AI621" i="78" s="1"/>
  <c r="AI622" i="78" s="1"/>
  <c r="AI623" i="78" s="1"/>
  <c r="AI624" i="78" s="1"/>
  <c r="AI625" i="78" s="1"/>
  <c r="AI626" i="78" s="1"/>
  <c r="AI627" i="78" s="1"/>
  <c r="AI628" i="78" s="1"/>
  <c r="AI629" i="78" s="1"/>
  <c r="AI630" i="78" s="1"/>
  <c r="AI631" i="78" s="1"/>
  <c r="AI632" i="78" s="1"/>
  <c r="AI633" i="78" s="1"/>
  <c r="AI634" i="78" s="1"/>
  <c r="AI635" i="78" s="1"/>
  <c r="AI636" i="78" s="1"/>
  <c r="AI637" i="78" s="1"/>
  <c r="AI638" i="78" s="1"/>
  <c r="AI639" i="78" s="1"/>
  <c r="AI640" i="78" s="1"/>
  <c r="AI641" i="78" s="1"/>
  <c r="AI642" i="78" s="1"/>
  <c r="AI643" i="78" s="1"/>
  <c r="AI644" i="78" s="1"/>
  <c r="AI645" i="78" s="1"/>
  <c r="AI646" i="78" s="1"/>
  <c r="AI647" i="78" s="1"/>
  <c r="AI648" i="78" s="1"/>
  <c r="AI649" i="78" s="1"/>
  <c r="AI650" i="78" s="1"/>
  <c r="AI651" i="78" s="1"/>
  <c r="AI652" i="78" s="1"/>
  <c r="AI653" i="78" s="1"/>
  <c r="AI654" i="78" s="1"/>
  <c r="AI655" i="78" s="1"/>
  <c r="AI656" i="78" s="1"/>
  <c r="AI657" i="78" s="1"/>
  <c r="AI658" i="78" s="1"/>
  <c r="AI659" i="78" s="1"/>
  <c r="AI660" i="78" s="1"/>
  <c r="AI661" i="78" s="1"/>
  <c r="AI662" i="78" s="1"/>
  <c r="AI663" i="78" s="1"/>
  <c r="AI664" i="78" s="1"/>
  <c r="AI665" i="78" s="1"/>
  <c r="AI666" i="78" s="1"/>
  <c r="AI667" i="78" s="1"/>
  <c r="AI668" i="78" s="1"/>
  <c r="AI669" i="78" s="1"/>
  <c r="AI670" i="78" s="1"/>
  <c r="AI671" i="78" s="1"/>
  <c r="AI672" i="78" s="1"/>
  <c r="AI673" i="78" s="1"/>
  <c r="AI674" i="78" s="1"/>
  <c r="AI675" i="78" s="1"/>
  <c r="AI676" i="78" s="1"/>
  <c r="AI677" i="78" s="1"/>
  <c r="AI678" i="78" s="1"/>
  <c r="AI679" i="78" s="1"/>
  <c r="AI680" i="78" s="1"/>
  <c r="AI681" i="78" s="1"/>
  <c r="AI682" i="78" s="1"/>
  <c r="AI683" i="78" s="1"/>
  <c r="AI684" i="78" s="1"/>
  <c r="AI685" i="78" s="1"/>
  <c r="AI686" i="78" s="1"/>
  <c r="AI687" i="78" s="1"/>
  <c r="AI688" i="78" s="1"/>
  <c r="AI689" i="78" s="1"/>
  <c r="AI690" i="78" s="1"/>
  <c r="AI691" i="78" s="1"/>
  <c r="AI692" i="78" s="1"/>
  <c r="AI693" i="78" s="1"/>
  <c r="AI694" i="78" s="1"/>
  <c r="AI695" i="78" s="1"/>
  <c r="AI696" i="78" s="1"/>
  <c r="AI697" i="78" s="1"/>
  <c r="AI698" i="78" s="1"/>
  <c r="AI699" i="78" s="1"/>
  <c r="AI700" i="78" s="1"/>
  <c r="AI701" i="78" s="1"/>
  <c r="AI702" i="78" s="1"/>
  <c r="AI703" i="78" s="1"/>
  <c r="AI704" i="78" s="1"/>
  <c r="AI705" i="78" s="1"/>
  <c r="AI706" i="78" s="1"/>
  <c r="AI707" i="78" s="1"/>
  <c r="AI708" i="78" s="1"/>
  <c r="AI709" i="78" s="1"/>
  <c r="AI710" i="78" s="1"/>
  <c r="AI711" i="78" s="1"/>
  <c r="AI712" i="78" s="1"/>
  <c r="AI713" i="78" s="1"/>
  <c r="AI714" i="78" s="1"/>
  <c r="AI715" i="78" s="1"/>
  <c r="AI716" i="78" s="1"/>
  <c r="AI717" i="78" s="1"/>
  <c r="AI718" i="78" s="1"/>
  <c r="AI719" i="78" s="1"/>
  <c r="AI720" i="78" s="1"/>
  <c r="AI721" i="78" s="1"/>
  <c r="AI722" i="78" s="1"/>
  <c r="AI723" i="78" s="1"/>
  <c r="AI724" i="78" s="1"/>
  <c r="AI725" i="78" s="1"/>
  <c r="AI726" i="78" s="1"/>
  <c r="AI727" i="78" s="1"/>
  <c r="AI728" i="78" s="1"/>
  <c r="AI729" i="78" s="1"/>
  <c r="AI730" i="78" s="1"/>
  <c r="AI731" i="78" s="1"/>
  <c r="AI732" i="78" s="1"/>
  <c r="AI733" i="78" s="1"/>
  <c r="AI734" i="78" s="1"/>
  <c r="AI735" i="78" s="1"/>
  <c r="AI736" i="78" s="1"/>
  <c r="AI737" i="78" s="1"/>
  <c r="AI738" i="78" s="1"/>
  <c r="AI739" i="78" s="1"/>
  <c r="AI740" i="78" s="1"/>
  <c r="AI741" i="78" s="1"/>
  <c r="AI742" i="78" s="1"/>
  <c r="AI743" i="78" s="1"/>
  <c r="AI744" i="78" s="1"/>
  <c r="AI745" i="78" s="1"/>
  <c r="AI746" i="78" s="1"/>
  <c r="AI747" i="78" s="1"/>
  <c r="AI748" i="78" s="1"/>
  <c r="AI749" i="78" s="1"/>
  <c r="AI750" i="78" s="1"/>
  <c r="AI751" i="78" s="1"/>
  <c r="AI752" i="78" s="1"/>
  <c r="AI753" i="78" s="1"/>
  <c r="AI754" i="78" s="1"/>
  <c r="AI755" i="78" s="1"/>
  <c r="AI756" i="78" s="1"/>
  <c r="AI757" i="78" s="1"/>
  <c r="AI758" i="78" s="1"/>
  <c r="AI759" i="78" s="1"/>
  <c r="AI760" i="78" s="1"/>
  <c r="AI761" i="78" s="1"/>
  <c r="AI762" i="78" s="1"/>
  <c r="AI763" i="78" s="1"/>
  <c r="AI764" i="78" s="1"/>
  <c r="AI765" i="78" s="1"/>
  <c r="AI766" i="78" s="1"/>
  <c r="AI767" i="78" s="1"/>
  <c r="AI768" i="78" s="1"/>
  <c r="AI769" i="78" s="1"/>
  <c r="AI770" i="78" s="1"/>
  <c r="AI771" i="78" s="1"/>
  <c r="AI772" i="78" s="1"/>
  <c r="AI773" i="78" s="1"/>
  <c r="AI774" i="78" s="1"/>
  <c r="AI775" i="78" s="1"/>
  <c r="AI776" i="78" s="1"/>
  <c r="AI777" i="78" s="1"/>
  <c r="AI778" i="78" s="1"/>
  <c r="AI779" i="78" s="1"/>
  <c r="AI780" i="78" s="1"/>
  <c r="AI781" i="78" s="1"/>
  <c r="AI782" i="78" s="1"/>
  <c r="AI783" i="78" s="1"/>
  <c r="AI784" i="78" s="1"/>
  <c r="AI785" i="78" s="1"/>
  <c r="AI786" i="78" s="1"/>
  <c r="AI787" i="78" s="1"/>
  <c r="AI788" i="78" s="1"/>
  <c r="AI789" i="78" s="1"/>
  <c r="AI790" i="78" s="1"/>
  <c r="AI791" i="78" s="1"/>
  <c r="AI792" i="78" s="1"/>
  <c r="AI793" i="78" s="1"/>
  <c r="AI794" i="78" s="1"/>
  <c r="AI795" i="78" s="1"/>
  <c r="AI796" i="78" s="1"/>
  <c r="AI797" i="78" s="1"/>
  <c r="AI798" i="78" s="1"/>
  <c r="AI799" i="78" s="1"/>
  <c r="AI800" i="78" s="1"/>
  <c r="AI801" i="78" s="1"/>
  <c r="AI802" i="78" s="1"/>
  <c r="AI803" i="78" s="1"/>
  <c r="AI804" i="78" s="1"/>
  <c r="AI805" i="78" s="1"/>
  <c r="AI806" i="78" s="1"/>
  <c r="AI807" i="78" s="1"/>
  <c r="AI808" i="78" s="1"/>
  <c r="AI809" i="78" s="1"/>
  <c r="AI810" i="78" s="1"/>
  <c r="AI811" i="78" s="1"/>
  <c r="AI812" i="78" s="1"/>
  <c r="AI813" i="78" s="1"/>
  <c r="AI814" i="78" s="1"/>
  <c r="AI815" i="78" s="1"/>
  <c r="AI816" i="78" s="1"/>
  <c r="AI817" i="78" s="1"/>
  <c r="AI818" i="78" s="1"/>
  <c r="AI819" i="78" s="1"/>
  <c r="AI820" i="78" s="1"/>
  <c r="AI821" i="78" s="1"/>
  <c r="AI822" i="78" s="1"/>
  <c r="AI823" i="78" s="1"/>
  <c r="AI824" i="78" s="1"/>
  <c r="AI825" i="78" s="1"/>
  <c r="AI826" i="78" s="1"/>
  <c r="AI827" i="78" s="1"/>
  <c r="AI828" i="78" s="1"/>
  <c r="AI829" i="78" s="1"/>
  <c r="AI830" i="78" s="1"/>
  <c r="AI831" i="78" s="1"/>
  <c r="AI832" i="78" s="1"/>
  <c r="AI833" i="78" s="1"/>
  <c r="AI834" i="78" s="1"/>
  <c r="AI835" i="78" s="1"/>
  <c r="AI836" i="78" s="1"/>
  <c r="AI837" i="78" s="1"/>
  <c r="AI838" i="78" s="1"/>
  <c r="AI839" i="78" s="1"/>
  <c r="AI840" i="78" s="1"/>
  <c r="AI841" i="78" s="1"/>
  <c r="AI842" i="78" s="1"/>
  <c r="AI843" i="78" s="1"/>
  <c r="AI844" i="78" s="1"/>
  <c r="AI845" i="78" s="1"/>
  <c r="AI846" i="78" s="1"/>
  <c r="AI847" i="78" s="1"/>
  <c r="AI848" i="78" s="1"/>
  <c r="AI849" i="78" s="1"/>
  <c r="AI850" i="78" s="1"/>
  <c r="AI851" i="78" s="1"/>
  <c r="AI852" i="78" s="1"/>
  <c r="AI853" i="78" s="1"/>
  <c r="AI854" i="78" s="1"/>
  <c r="AI855" i="78" s="1"/>
  <c r="AI856" i="78" s="1"/>
  <c r="AI857" i="78" s="1"/>
  <c r="AI858" i="78" s="1"/>
  <c r="AI859" i="78" s="1"/>
  <c r="AI860" i="78" s="1"/>
  <c r="AI861" i="78" s="1"/>
  <c r="AI862" i="78" s="1"/>
  <c r="AI863" i="78" s="1"/>
  <c r="AI864" i="78" s="1"/>
  <c r="AI865" i="78" s="1"/>
  <c r="AI866" i="78" s="1"/>
  <c r="AI867" i="78" s="1"/>
  <c r="AI868" i="78" s="1"/>
  <c r="AI869" i="78" s="1"/>
  <c r="AI870" i="78" s="1"/>
  <c r="AI871" i="78" s="1"/>
  <c r="AI872" i="78" s="1"/>
  <c r="AI873" i="78" s="1"/>
  <c r="AI874" i="78" s="1"/>
  <c r="AI875" i="78" s="1"/>
  <c r="AI876" i="78" s="1"/>
  <c r="AI877" i="78" s="1"/>
  <c r="AI878" i="78" s="1"/>
  <c r="AI879" i="78" s="1"/>
  <c r="AI880" i="78" s="1"/>
  <c r="AI881" i="78" s="1"/>
  <c r="AI882" i="78" s="1"/>
  <c r="AI883" i="78" s="1"/>
  <c r="AI884" i="78" s="1"/>
  <c r="AI885" i="78" s="1"/>
  <c r="AI886" i="78" s="1"/>
  <c r="AI887" i="78" s="1"/>
  <c r="AI888" i="78" s="1"/>
  <c r="AI889" i="78" s="1"/>
  <c r="AI890" i="78" s="1"/>
  <c r="AI891" i="78" s="1"/>
  <c r="AI892" i="78" s="1"/>
  <c r="AI893" i="78" s="1"/>
  <c r="AI894" i="78" s="1"/>
  <c r="AI895" i="78" s="1"/>
  <c r="AI896" i="78" s="1"/>
  <c r="AI897" i="78" s="1"/>
  <c r="AI898" i="78" s="1"/>
  <c r="AI899" i="78" s="1"/>
  <c r="AI900" i="78" s="1"/>
  <c r="AI901" i="78" s="1"/>
  <c r="AI902" i="78" s="1"/>
  <c r="AI903" i="78" s="1"/>
  <c r="AI904" i="78" s="1"/>
  <c r="AI905" i="78" s="1"/>
  <c r="AI906" i="78" s="1"/>
  <c r="AI907" i="78" s="1"/>
  <c r="AI908" i="78" s="1"/>
  <c r="AI909" i="78" s="1"/>
  <c r="AI910" i="78" s="1"/>
  <c r="AI911" i="78" s="1"/>
  <c r="AI912" i="78" s="1"/>
  <c r="AI913" i="78" s="1"/>
  <c r="AI914" i="78" s="1"/>
  <c r="AI915" i="78" s="1"/>
  <c r="AI916" i="78" s="1"/>
  <c r="AI917" i="78" s="1"/>
  <c r="AI918" i="78" s="1"/>
  <c r="AI919" i="78" s="1"/>
  <c r="AI920" i="78" s="1"/>
  <c r="AI921" i="78" s="1"/>
  <c r="AI922" i="78" s="1"/>
  <c r="AI923" i="78" s="1"/>
  <c r="AI924" i="78" s="1"/>
  <c r="AI925" i="78" s="1"/>
  <c r="AI926" i="78" s="1"/>
  <c r="AI927" i="78" s="1"/>
  <c r="AI928" i="78" s="1"/>
  <c r="AI929" i="78" s="1"/>
  <c r="AI930" i="78" s="1"/>
  <c r="AI931" i="78" s="1"/>
  <c r="AI932" i="78" s="1"/>
  <c r="AI933" i="78" s="1"/>
  <c r="AI934" i="78" s="1"/>
  <c r="AI935" i="78" s="1"/>
  <c r="AI936" i="78" s="1"/>
  <c r="AI937" i="78" s="1"/>
  <c r="AI938" i="78" s="1"/>
  <c r="AI939" i="78" s="1"/>
  <c r="AI940" i="78" s="1"/>
  <c r="AI941" i="78" s="1"/>
  <c r="AI942" i="78" s="1"/>
  <c r="AI943" i="78" s="1"/>
  <c r="AI944" i="78" s="1"/>
  <c r="AI945" i="78" s="1"/>
  <c r="AI946" i="78" s="1"/>
  <c r="AI947" i="78" s="1"/>
  <c r="AI948" i="78" s="1"/>
  <c r="AI949" i="78" s="1"/>
  <c r="AI950" i="78" s="1"/>
  <c r="AI951" i="78" s="1"/>
  <c r="AI952" i="78" s="1"/>
  <c r="AI953" i="78" s="1"/>
  <c r="AI954" i="78" s="1"/>
  <c r="AI955" i="78" s="1"/>
  <c r="AI956" i="78" s="1"/>
  <c r="AI957" i="78" s="1"/>
  <c r="AI958" i="78" s="1"/>
  <c r="AI959" i="78" s="1"/>
  <c r="AI960" i="78" s="1"/>
  <c r="AI961" i="78" s="1"/>
  <c r="AI962" i="78" s="1"/>
  <c r="AI963" i="78" s="1"/>
  <c r="AI964" i="78" s="1"/>
  <c r="AI965" i="78" s="1"/>
  <c r="AI966" i="78" s="1"/>
  <c r="AI967" i="78" s="1"/>
  <c r="AI968" i="78" s="1"/>
  <c r="AI969" i="78" s="1"/>
  <c r="AI970" i="78" s="1"/>
  <c r="AI971" i="78" s="1"/>
  <c r="AI972" i="78" s="1"/>
  <c r="AI973" i="78" s="1"/>
  <c r="AI974" i="78" s="1"/>
  <c r="AI975" i="78" s="1"/>
  <c r="AI976" i="78" s="1"/>
  <c r="AI977" i="78" s="1"/>
  <c r="AI978" i="78" s="1"/>
  <c r="AI979" i="78" s="1"/>
  <c r="AI980" i="78" s="1"/>
  <c r="AI981" i="78" s="1"/>
  <c r="AI982" i="78" s="1"/>
  <c r="AI983" i="78" s="1"/>
  <c r="AI984" i="78" s="1"/>
  <c r="AI985" i="78" s="1"/>
  <c r="AI986" i="78" s="1"/>
  <c r="AI987" i="78" s="1"/>
  <c r="AI988" i="78" s="1"/>
  <c r="AI989" i="78" s="1"/>
  <c r="AI990" i="78" s="1"/>
  <c r="AI991" i="78" s="1"/>
  <c r="AI992" i="78" s="1"/>
  <c r="AI993" i="78" s="1"/>
  <c r="AI994" i="78" s="1"/>
  <c r="AI995" i="78" s="1"/>
  <c r="AI996" i="78" s="1"/>
  <c r="AI997" i="78" s="1"/>
  <c r="AI998" i="78" s="1"/>
  <c r="AI999" i="78" s="1"/>
  <c r="AI1000" i="78" s="1"/>
  <c r="AI1001" i="78" s="1"/>
  <c r="AI1002" i="78" s="1"/>
  <c r="AI1003" i="78" s="1"/>
  <c r="AI1004" i="78" s="1"/>
  <c r="AI1005" i="78" s="1"/>
  <c r="AI1006" i="78" s="1"/>
  <c r="AI1007" i="78" s="1"/>
  <c r="AI1008" i="78" s="1"/>
  <c r="AI1009" i="78" s="1"/>
  <c r="AI1010" i="78" s="1"/>
  <c r="AI1011" i="78" s="1"/>
  <c r="AI1012" i="78" s="1"/>
  <c r="AI1013" i="78" s="1"/>
  <c r="AI1014" i="78" s="1"/>
  <c r="AI1015" i="78" s="1"/>
  <c r="AI1016" i="78" s="1"/>
  <c r="AI1017" i="78" s="1"/>
  <c r="AI1018" i="78" s="1"/>
  <c r="AI1019" i="78" s="1"/>
  <c r="AI1020" i="78" s="1"/>
  <c r="AI1021" i="78" s="1"/>
  <c r="AI1022" i="78" s="1"/>
  <c r="AI1023" i="78" s="1"/>
  <c r="AI1024" i="78" s="1"/>
  <c r="AI1025" i="78" s="1"/>
  <c r="AI1026" i="78" s="1"/>
  <c r="AI1027" i="78" s="1"/>
  <c r="AI1028" i="78" s="1"/>
  <c r="AI1029" i="78" s="1"/>
  <c r="AI1030" i="78" s="1"/>
  <c r="AI1031" i="78" s="1"/>
  <c r="AI1032" i="78" s="1"/>
  <c r="AI1033" i="78" s="1"/>
  <c r="AI1034" i="78" s="1"/>
  <c r="AI1035" i="78" s="1"/>
  <c r="AI1036" i="78" s="1"/>
  <c r="AI1037" i="78" s="1"/>
  <c r="AI1038" i="78" s="1"/>
  <c r="AI1039" i="78" s="1"/>
  <c r="AI1040" i="78" s="1"/>
  <c r="AI1041" i="78" s="1"/>
  <c r="AI1042" i="78" s="1"/>
  <c r="AI1043" i="78" s="1"/>
  <c r="AI1044" i="78" s="1"/>
  <c r="AI1045" i="78" s="1"/>
  <c r="AI1046" i="78" s="1"/>
  <c r="AI1047" i="78" s="1"/>
  <c r="AI1048" i="78" s="1"/>
  <c r="AI1049" i="78" s="1"/>
  <c r="AI1050" i="78" s="1"/>
  <c r="AI1051" i="78" s="1"/>
  <c r="AI1052" i="78" s="1"/>
  <c r="AI1053" i="78" s="1"/>
  <c r="AI1054" i="78" s="1"/>
  <c r="AI1055" i="78" s="1"/>
  <c r="AI1056" i="78" s="1"/>
  <c r="AI1057" i="78" s="1"/>
  <c r="AI1058" i="78" s="1"/>
  <c r="AI1059" i="78" s="1"/>
  <c r="AI1060" i="78" s="1"/>
  <c r="AI1061" i="78" s="1"/>
  <c r="AI1062" i="78" s="1"/>
  <c r="AI1063" i="78" s="1"/>
  <c r="AI1064" i="78" s="1"/>
  <c r="AI1065" i="78" s="1"/>
  <c r="AI1066" i="78" s="1"/>
  <c r="AI1067" i="78" s="1"/>
  <c r="AI1068" i="78" s="1"/>
  <c r="AI1069" i="78" s="1"/>
  <c r="AI1070" i="78" s="1"/>
  <c r="AI1071" i="78" s="1"/>
  <c r="AI1072" i="78" s="1"/>
  <c r="AI1073" i="78" s="1"/>
  <c r="AI1074" i="78" s="1"/>
  <c r="AI1075" i="78" s="1"/>
  <c r="AI1076" i="78" s="1"/>
  <c r="AI1077" i="78" s="1"/>
  <c r="AI1078" i="78" s="1"/>
  <c r="AI1079" i="78" s="1"/>
  <c r="AI1080" i="78" s="1"/>
  <c r="AI1081" i="78" s="1"/>
  <c r="AI1082" i="78" s="1"/>
  <c r="AI1083" i="78" s="1"/>
  <c r="AI1084" i="78" s="1"/>
  <c r="AI1085" i="78" s="1"/>
  <c r="AI1086" i="78" s="1"/>
  <c r="AI1087" i="78" s="1"/>
  <c r="AI1088" i="78" s="1"/>
  <c r="AI1089" i="78" s="1"/>
  <c r="AI1090" i="78" s="1"/>
  <c r="AI1091" i="78" s="1"/>
  <c r="AI1092" i="78" s="1"/>
  <c r="AI1093" i="78" s="1"/>
  <c r="AI1094" i="78" s="1"/>
  <c r="AI1095" i="78" s="1"/>
  <c r="AI1096" i="78" s="1"/>
  <c r="AI1097" i="78" s="1"/>
  <c r="AI1098" i="78" s="1"/>
  <c r="AI1099" i="78" s="1"/>
  <c r="AI1100" i="78" s="1"/>
  <c r="AI1101" i="78" s="1"/>
  <c r="AI1102" i="78" s="1"/>
  <c r="AI1103" i="78" s="1"/>
  <c r="AI1104" i="78" s="1"/>
  <c r="AI1105" i="78" s="1"/>
  <c r="AI1106" i="78" s="1"/>
  <c r="AI1107" i="78" s="1"/>
  <c r="AI1108" i="78" s="1"/>
  <c r="AI1109" i="78" s="1"/>
  <c r="AI1110" i="78" s="1"/>
  <c r="AI1111" i="78" s="1"/>
  <c r="AI1112" i="78" s="1"/>
  <c r="AI1113" i="78" s="1"/>
  <c r="AI1114" i="78" s="1"/>
  <c r="AI1115" i="78" s="1"/>
  <c r="AI1116" i="78" s="1"/>
  <c r="AI1117" i="78" s="1"/>
  <c r="AI1118" i="78" s="1"/>
  <c r="AI1119" i="78" s="1"/>
  <c r="AI1120" i="78" s="1"/>
  <c r="AI1121" i="78" s="1"/>
  <c r="AI1122" i="78" s="1"/>
  <c r="AI1123" i="78" s="1"/>
  <c r="AI1124" i="78" s="1"/>
  <c r="AI1125" i="78" s="1"/>
  <c r="AI1126" i="78" s="1"/>
  <c r="AI1127" i="78" s="1"/>
  <c r="AI1128" i="78" s="1"/>
  <c r="AI1129" i="78" s="1"/>
  <c r="AI1130" i="78" s="1"/>
  <c r="AI1131" i="78" s="1"/>
  <c r="AI1132" i="78" s="1"/>
  <c r="AI1133" i="78" s="1"/>
  <c r="AI1134" i="78" s="1"/>
  <c r="AI1135" i="78" s="1"/>
  <c r="AI1136" i="78" s="1"/>
  <c r="AI1137" i="78" s="1"/>
  <c r="AI1138" i="78" s="1"/>
  <c r="AI1139" i="78" s="1"/>
  <c r="AI1140" i="78" s="1"/>
  <c r="AI1141" i="78" s="1"/>
  <c r="AI1142" i="78" s="1"/>
  <c r="AI1143" i="78" s="1"/>
  <c r="AI1144" i="78" s="1"/>
  <c r="AI1145" i="78" s="1"/>
  <c r="AI1146" i="78" s="1"/>
  <c r="AI1147" i="78" s="1"/>
  <c r="AI1148" i="78" s="1"/>
  <c r="AI1149" i="78" s="1"/>
  <c r="AI1150" i="78" s="1"/>
  <c r="AI1151" i="78" s="1"/>
  <c r="AI1152" i="78" s="1"/>
  <c r="AI1153" i="78" s="1"/>
  <c r="AI1154" i="78" s="1"/>
  <c r="AI1155" i="78" s="1"/>
  <c r="AI1156" i="78" s="1"/>
  <c r="AI1157" i="78" s="1"/>
  <c r="AI1158" i="78" s="1"/>
  <c r="AI1159" i="78" s="1"/>
  <c r="AI1160" i="78" s="1"/>
  <c r="AI1161" i="78" s="1"/>
  <c r="AI1162" i="78" s="1"/>
  <c r="AI1163" i="78" s="1"/>
  <c r="AI1164" i="78" s="1"/>
  <c r="AI1165" i="78" s="1"/>
  <c r="AI1166" i="78" s="1"/>
  <c r="AI1167" i="78" s="1"/>
  <c r="AI1168" i="78" s="1"/>
  <c r="AI1169" i="78" s="1"/>
  <c r="AI1170" i="78" s="1"/>
  <c r="AI1171" i="78" s="1"/>
  <c r="AI1172" i="78" s="1"/>
  <c r="AI1173" i="78" s="1"/>
  <c r="AI1174" i="78" s="1"/>
  <c r="AI1175" i="78" s="1"/>
  <c r="AI1176" i="78" s="1"/>
  <c r="AI1177" i="78" s="1"/>
  <c r="AI1178" i="78" s="1"/>
  <c r="AI1179" i="78" s="1"/>
  <c r="AI1180" i="78" s="1"/>
  <c r="AI1181" i="78" s="1"/>
  <c r="AI1182" i="78" s="1"/>
  <c r="AI1183" i="78" s="1"/>
  <c r="AI1184" i="78" s="1"/>
  <c r="AI1185" i="78" s="1"/>
  <c r="AI1186" i="78" s="1"/>
  <c r="AI1187" i="78" s="1"/>
  <c r="AI1188" i="78" s="1"/>
  <c r="AI1189" i="78" s="1"/>
  <c r="AI1190" i="78" s="1"/>
  <c r="AI1191" i="78" s="1"/>
  <c r="AI1192" i="78" s="1"/>
  <c r="AI1193" i="78" s="1"/>
  <c r="AI1194" i="78" s="1"/>
  <c r="AI1195" i="78" s="1"/>
  <c r="AI1196" i="78" s="1"/>
  <c r="AI1197" i="78" s="1"/>
  <c r="AI1198" i="78" s="1"/>
  <c r="AI1199" i="78" s="1"/>
  <c r="AI1200" i="78" s="1"/>
  <c r="AI1201" i="78" s="1"/>
  <c r="AI1202" i="78" s="1"/>
  <c r="AI1203" i="78" s="1"/>
  <c r="AI1204" i="78" s="1"/>
  <c r="AI1205" i="78" s="1"/>
  <c r="AI1206" i="78" s="1"/>
  <c r="AI1207" i="78" s="1"/>
  <c r="AI1208" i="78" s="1"/>
  <c r="AI1209" i="78" s="1"/>
  <c r="AI1210" i="78" s="1"/>
  <c r="AI1211" i="78" s="1"/>
  <c r="AI1212" i="78" s="1"/>
  <c r="AI1213" i="78" s="1"/>
  <c r="AI1214" i="78" s="1"/>
  <c r="AI1215" i="78" s="1"/>
  <c r="AI1216" i="78" s="1"/>
  <c r="AI1217" i="78" s="1"/>
  <c r="AI1218" i="78" s="1"/>
  <c r="AI1219" i="78" s="1"/>
  <c r="AI1220" i="78" s="1"/>
  <c r="AI1221" i="78" s="1"/>
  <c r="AI1222" i="78" s="1"/>
  <c r="AI1223" i="78" s="1"/>
  <c r="AI1224" i="78" s="1"/>
  <c r="AI1225" i="78" s="1"/>
  <c r="AI1226" i="78" s="1"/>
  <c r="AI1227" i="78" s="1"/>
  <c r="AI1228" i="78" s="1"/>
  <c r="AI1229" i="78" s="1"/>
  <c r="AI1230" i="78" s="1"/>
  <c r="AI1231" i="78" s="1"/>
  <c r="AI1232" i="78" s="1"/>
  <c r="AI1233" i="78" s="1"/>
  <c r="AI1234" i="78" s="1"/>
  <c r="AI1235" i="78" s="1"/>
  <c r="AI1236" i="78" s="1"/>
  <c r="AI1237" i="78" s="1"/>
  <c r="AI1238" i="78" s="1"/>
  <c r="AI1239" i="78" s="1"/>
  <c r="AI1240" i="78" s="1"/>
  <c r="AI1241" i="78" s="1"/>
  <c r="AI1242" i="78" s="1"/>
  <c r="AI1243" i="78" s="1"/>
  <c r="AI1244" i="78" s="1"/>
  <c r="AI1245" i="78" s="1"/>
  <c r="AI1246" i="78" s="1"/>
  <c r="AI1247" i="78" s="1"/>
  <c r="AI1248" i="78" s="1"/>
  <c r="AI1249" i="78" s="1"/>
  <c r="AI1250" i="78" s="1"/>
  <c r="AI1251" i="78" s="1"/>
  <c r="AI1252" i="78" s="1"/>
  <c r="AI1253" i="78" s="1"/>
  <c r="AI1254" i="78" s="1"/>
  <c r="AI1255" i="78" s="1"/>
  <c r="AI1256" i="78" s="1"/>
  <c r="AI1257" i="78" s="1"/>
  <c r="AI1258" i="78" s="1"/>
  <c r="AI1259" i="78" s="1"/>
  <c r="AI1260" i="78" s="1"/>
  <c r="AI1261" i="78" s="1"/>
  <c r="AI1262" i="78" s="1"/>
  <c r="AI1263" i="78" s="1"/>
  <c r="AI1264" i="78" s="1"/>
  <c r="AI1265" i="78" s="1"/>
  <c r="AI1266" i="78" s="1"/>
  <c r="AI1267" i="78" s="1"/>
  <c r="AI1268" i="78" s="1"/>
  <c r="AI1269" i="78" s="1"/>
  <c r="AI1270" i="78" s="1"/>
  <c r="AI1271" i="78" s="1"/>
  <c r="AI1272" i="78" s="1"/>
  <c r="AI1273" i="78" s="1"/>
  <c r="AI1274" i="78" s="1"/>
  <c r="AI1275" i="78" s="1"/>
  <c r="AI1276" i="78" s="1"/>
  <c r="AI1277" i="78" s="1"/>
  <c r="AI1278" i="78" s="1"/>
  <c r="AI1279" i="78" s="1"/>
  <c r="AI1280" i="78" s="1"/>
  <c r="AI1281" i="78" s="1"/>
  <c r="AI1282" i="78" s="1"/>
  <c r="AI1283" i="78" s="1"/>
  <c r="AI1284" i="78" s="1"/>
  <c r="AI1285" i="78" s="1"/>
  <c r="AI1286" i="78" s="1"/>
  <c r="AI1287" i="78" s="1"/>
  <c r="AI1288" i="78" s="1"/>
  <c r="AI1289" i="78" s="1"/>
  <c r="AI1290" i="78" s="1"/>
  <c r="AI1291" i="78" s="1"/>
  <c r="AI1292" i="78" s="1"/>
  <c r="AI1293" i="78" s="1"/>
  <c r="AI1294" i="78" s="1"/>
  <c r="AI1295" i="78" s="1"/>
  <c r="AI1296" i="78" s="1"/>
  <c r="AI1297" i="78" s="1"/>
  <c r="AI1298" i="78" s="1"/>
  <c r="AI1299" i="78" s="1"/>
  <c r="AI1300" i="78" s="1"/>
  <c r="AI1301" i="78" s="1"/>
  <c r="AI1302" i="78" s="1"/>
  <c r="AI1303" i="78" s="1"/>
  <c r="AI1304" i="78" s="1"/>
  <c r="AI1305" i="78" s="1"/>
  <c r="AI1306" i="78" s="1"/>
  <c r="AI1307" i="78" s="1"/>
  <c r="AI1308" i="78" s="1"/>
  <c r="AI1309" i="78" s="1"/>
  <c r="AI1310" i="78" s="1"/>
  <c r="AI1311" i="78" s="1"/>
  <c r="AI1312" i="78" s="1"/>
  <c r="AI7" i="78"/>
  <c r="AA92" i="78"/>
  <c r="AA93" i="78"/>
  <c r="AA94" i="78"/>
  <c r="AA95" i="78"/>
  <c r="AA96" i="78"/>
  <c r="AA97" i="78"/>
  <c r="AA98" i="78"/>
  <c r="AA99" i="78"/>
  <c r="AA100" i="78"/>
  <c r="AA101" i="78"/>
  <c r="AA102" i="78"/>
  <c r="AA103" i="78"/>
  <c r="AA104" i="78"/>
  <c r="AA105" i="78"/>
  <c r="AA106" i="78"/>
  <c r="AA107" i="78"/>
  <c r="AA108" i="78"/>
  <c r="AA109" i="78"/>
  <c r="AA110" i="78"/>
  <c r="AA111" i="78"/>
  <c r="AA112" i="78"/>
  <c r="AA113" i="78"/>
  <c r="AA114" i="78"/>
  <c r="AA115" i="78"/>
  <c r="AA116" i="78"/>
  <c r="AA117" i="78"/>
  <c r="AA118" i="78"/>
  <c r="AA119" i="78"/>
  <c r="AA120" i="78"/>
  <c r="AA121" i="78"/>
  <c r="AA122" i="78"/>
  <c r="AA123" i="78"/>
  <c r="AA124" i="78"/>
  <c r="AA125" i="78"/>
  <c r="AA126" i="78"/>
  <c r="AA127" i="78"/>
  <c r="AA128" i="78"/>
  <c r="AA129" i="78"/>
  <c r="AA130" i="78"/>
  <c r="AA131" i="78"/>
  <c r="AA132" i="78"/>
  <c r="AA133" i="78"/>
  <c r="AA134" i="78"/>
  <c r="AA135" i="78"/>
  <c r="AA136" i="78"/>
  <c r="AA137" i="78"/>
  <c r="AA138" i="78"/>
  <c r="AA139" i="78"/>
  <c r="AA140" i="78"/>
  <c r="AA141" i="78"/>
  <c r="AA142" i="78"/>
  <c r="AA143" i="78"/>
  <c r="AA144" i="78"/>
  <c r="AA145" i="78"/>
  <c r="AA146" i="78"/>
  <c r="AA147" i="78"/>
  <c r="AA148" i="78"/>
  <c r="AA149" i="78"/>
  <c r="AA150" i="78"/>
  <c r="AA151" i="78"/>
  <c r="AA152" i="78"/>
  <c r="AA153" i="78"/>
  <c r="AA154" i="78"/>
  <c r="AA155" i="78"/>
  <c r="AA156" i="78"/>
  <c r="AA157" i="78"/>
  <c r="AA158" i="78"/>
  <c r="AA159" i="78"/>
  <c r="AA160" i="78"/>
  <c r="AA161" i="78"/>
  <c r="AA162" i="78"/>
  <c r="AA163" i="78"/>
  <c r="AA164" i="78"/>
  <c r="AA165" i="78"/>
  <c r="AA166" i="78"/>
  <c r="AA167" i="78"/>
  <c r="AA168" i="78"/>
  <c r="AA169" i="78"/>
  <c r="AA170" i="78"/>
  <c r="AA171" i="78"/>
  <c r="AA172" i="78"/>
  <c r="AA173" i="78"/>
  <c r="AA174" i="78"/>
  <c r="AA175" i="78"/>
  <c r="AA176" i="78"/>
  <c r="AA177" i="78"/>
  <c r="AA178" i="78"/>
  <c r="AA179" i="78"/>
  <c r="AA180" i="78"/>
  <c r="AA181" i="78"/>
  <c r="AA182" i="78"/>
  <c r="AA183" i="78"/>
  <c r="AA184" i="78"/>
  <c r="AA185" i="78"/>
  <c r="AA186" i="78"/>
  <c r="AA187" i="78"/>
  <c r="AA188" i="78"/>
  <c r="AA189" i="78"/>
  <c r="AA190" i="78"/>
  <c r="AA191" i="78"/>
  <c r="AA192" i="78"/>
  <c r="AA193" i="78"/>
  <c r="AA194" i="78"/>
  <c r="AA195" i="78"/>
  <c r="AA196" i="78"/>
  <c r="AA197" i="78"/>
  <c r="AA198" i="78"/>
  <c r="AA199" i="78"/>
  <c r="AA200" i="78"/>
  <c r="AA201" i="78"/>
  <c r="AA202" i="78"/>
  <c r="AA203" i="78"/>
  <c r="AA204" i="78"/>
  <c r="AA205" i="78"/>
  <c r="AA206" i="78"/>
  <c r="AA207" i="78"/>
  <c r="AA208" i="78"/>
  <c r="AA209" i="78"/>
  <c r="AA210" i="78"/>
  <c r="AA211" i="78"/>
  <c r="AA212" i="78"/>
  <c r="AA213" i="78"/>
  <c r="AA214" i="78"/>
  <c r="AA215" i="78"/>
  <c r="AA216" i="78"/>
  <c r="AA217" i="78"/>
  <c r="AA218" i="78"/>
  <c r="AA219" i="78"/>
  <c r="AA220" i="78"/>
  <c r="AA221" i="78"/>
  <c r="AA222" i="78"/>
  <c r="AA223" i="78"/>
  <c r="AA224" i="78"/>
  <c r="AA225" i="78"/>
  <c r="AA226" i="78"/>
  <c r="AA227" i="78"/>
  <c r="AA228" i="78"/>
  <c r="AA229" i="78"/>
  <c r="AA230" i="78"/>
  <c r="AA231" i="78"/>
  <c r="AA232" i="78"/>
  <c r="AA233" i="78"/>
  <c r="AA234" i="78"/>
  <c r="AA235" i="78"/>
  <c r="AA236" i="78"/>
  <c r="AA237" i="78"/>
  <c r="AA238" i="78"/>
  <c r="AA239" i="78"/>
  <c r="AA240" i="78"/>
  <c r="AA241" i="78"/>
  <c r="AA242" i="78"/>
  <c r="AA243" i="78"/>
  <c r="AA244" i="78"/>
  <c r="AA245" i="78"/>
  <c r="AA246" i="78"/>
  <c r="AA247" i="78"/>
  <c r="AA248" i="78"/>
  <c r="AA249" i="78"/>
  <c r="AA250" i="78"/>
  <c r="AA251" i="78"/>
  <c r="AA252" i="78"/>
  <c r="AA253" i="78"/>
  <c r="AA254" i="78"/>
  <c r="AA255" i="78"/>
  <c r="AA256" i="78"/>
  <c r="AA257" i="78"/>
  <c r="AA258" i="78"/>
  <c r="AA259" i="78"/>
  <c r="AA260" i="78"/>
  <c r="AA261" i="78"/>
  <c r="AA262" i="78"/>
  <c r="AA263" i="78"/>
  <c r="AA264" i="78"/>
  <c r="AA265" i="78"/>
  <c r="AA266" i="78"/>
  <c r="AA267" i="78"/>
  <c r="AA268" i="78"/>
  <c r="AA269" i="78"/>
  <c r="AA270" i="78"/>
  <c r="AA271" i="78"/>
  <c r="AA272" i="78"/>
  <c r="AA273" i="78"/>
  <c r="AA274" i="78"/>
  <c r="AA275" i="78"/>
  <c r="AA276" i="78"/>
  <c r="AA277" i="78"/>
  <c r="AA278" i="78"/>
  <c r="AA279" i="78"/>
  <c r="AA280" i="78"/>
  <c r="AA281" i="78"/>
  <c r="AA282" i="78"/>
  <c r="AA283" i="78"/>
  <c r="AA284" i="78"/>
  <c r="AA285" i="78"/>
  <c r="AA286" i="78"/>
  <c r="AA287" i="78"/>
  <c r="AA288" i="78"/>
  <c r="AA289" i="78"/>
  <c r="AA290" i="78"/>
  <c r="AA291" i="78"/>
  <c r="AA292" i="78"/>
  <c r="AA293" i="78"/>
  <c r="AA294" i="78"/>
  <c r="AA295" i="78"/>
  <c r="AA296" i="78"/>
  <c r="AA297" i="78"/>
  <c r="AA298" i="78"/>
  <c r="AA299" i="78"/>
  <c r="AA300" i="78"/>
  <c r="AA301" i="78"/>
  <c r="AA302" i="78"/>
  <c r="AA303" i="78"/>
  <c r="AA304" i="78"/>
  <c r="AA305" i="78"/>
  <c r="AA306" i="78"/>
  <c r="AA307" i="78"/>
  <c r="AA308" i="78"/>
  <c r="AA309" i="78"/>
  <c r="AA310" i="78"/>
  <c r="AA311" i="78"/>
  <c r="AA312" i="78"/>
  <c r="AA313" i="78"/>
  <c r="AA314" i="78"/>
  <c r="AA315" i="78"/>
  <c r="AA316" i="78"/>
  <c r="AA317" i="78"/>
  <c r="AA318" i="78"/>
  <c r="AA319" i="78"/>
  <c r="AA320" i="78"/>
  <c r="AA321" i="78"/>
  <c r="AA322" i="78"/>
  <c r="AA323" i="78"/>
  <c r="AA324" i="78"/>
  <c r="AA325" i="78"/>
  <c r="AA326" i="78"/>
  <c r="AA327" i="78"/>
  <c r="AA328" i="78"/>
  <c r="AA329" i="78"/>
  <c r="AA330" i="78"/>
  <c r="AA331" i="78"/>
  <c r="AA332" i="78"/>
  <c r="AA333" i="78"/>
  <c r="AA334" i="78"/>
  <c r="AA335" i="78"/>
  <c r="AA336" i="78"/>
  <c r="AA337" i="78"/>
  <c r="AA338" i="78"/>
  <c r="AA339" i="78"/>
  <c r="AA340" i="78"/>
  <c r="AA341" i="78"/>
  <c r="AA342" i="78"/>
  <c r="AA343" i="78"/>
  <c r="AA344" i="78"/>
  <c r="AA345" i="78"/>
  <c r="AA346" i="78"/>
  <c r="AA347" i="78"/>
  <c r="AA348" i="78"/>
  <c r="AA349" i="78"/>
  <c r="AA350" i="78"/>
  <c r="AA351" i="78"/>
  <c r="AA352" i="78"/>
  <c r="AA353" i="78"/>
  <c r="AA354" i="78"/>
  <c r="AA355" i="78"/>
  <c r="AA356" i="78"/>
  <c r="AA357" i="78"/>
  <c r="AA358" i="78"/>
  <c r="AA359" i="78"/>
  <c r="AA360" i="78"/>
  <c r="AA361" i="78"/>
  <c r="AA362" i="78"/>
  <c r="AA363" i="78"/>
  <c r="AA364" i="78"/>
  <c r="AA365" i="78"/>
  <c r="AA366" i="78"/>
  <c r="AA367" i="78"/>
  <c r="AA368" i="78"/>
  <c r="AA369" i="78"/>
  <c r="AA370" i="78"/>
  <c r="AA371" i="78"/>
  <c r="AA372" i="78"/>
  <c r="AA373" i="78"/>
  <c r="AA374" i="78"/>
  <c r="AA375" i="78"/>
  <c r="AA376" i="78"/>
  <c r="AA377" i="78"/>
  <c r="AA378" i="78"/>
  <c r="AA379" i="78"/>
  <c r="AA380" i="78"/>
  <c r="AA381" i="78"/>
  <c r="AA382" i="78"/>
  <c r="AA383" i="78"/>
  <c r="AA384" i="78"/>
  <c r="AA385" i="78"/>
  <c r="AA386" i="78"/>
  <c r="AA387" i="78"/>
  <c r="AA388" i="78"/>
  <c r="AA389" i="78"/>
  <c r="AA390" i="78"/>
  <c r="AA391" i="78"/>
  <c r="AA392" i="78"/>
  <c r="AA393" i="78"/>
  <c r="AA394" i="78"/>
  <c r="AA395" i="78"/>
  <c r="AA396" i="78"/>
  <c r="AA397" i="78"/>
  <c r="AA398" i="78"/>
  <c r="AA399" i="78"/>
  <c r="AA400" i="78"/>
  <c r="AA401" i="78"/>
  <c r="AA402" i="78"/>
  <c r="AA403" i="78"/>
  <c r="AA404" i="78"/>
  <c r="AA405" i="78"/>
  <c r="AA406" i="78"/>
  <c r="AA407" i="78"/>
  <c r="AA408" i="78"/>
  <c r="AA409" i="78"/>
  <c r="AA410" i="78"/>
  <c r="AA411" i="78"/>
  <c r="AA412" i="78"/>
  <c r="AA413" i="78"/>
  <c r="AA414" i="78"/>
  <c r="AA415" i="78"/>
  <c r="AA416" i="78"/>
  <c r="AA417" i="78"/>
  <c r="AA418" i="78"/>
  <c r="AA419" i="78"/>
  <c r="AA420" i="78"/>
  <c r="AA421" i="78"/>
  <c r="AA422" i="78"/>
  <c r="AA423" i="78"/>
  <c r="AA424" i="78"/>
  <c r="AA425" i="78"/>
  <c r="AA426" i="78"/>
  <c r="AA427" i="78"/>
  <c r="AA428" i="78"/>
  <c r="AA429" i="78"/>
  <c r="AA430" i="78"/>
  <c r="AA431" i="78"/>
  <c r="AA432" i="78"/>
  <c r="AA433" i="78"/>
  <c r="AA434" i="78"/>
  <c r="AA435" i="78"/>
  <c r="AA436" i="78"/>
  <c r="AA437" i="78"/>
  <c r="AA438" i="78"/>
  <c r="AA439" i="78"/>
  <c r="AA440" i="78"/>
  <c r="AA441" i="78"/>
  <c r="AA442" i="78"/>
  <c r="AA443" i="78"/>
  <c r="AA444" i="78"/>
  <c r="AA445" i="78"/>
  <c r="AA446" i="78"/>
  <c r="AA447" i="78"/>
  <c r="AA448" i="78"/>
  <c r="AA449" i="78"/>
  <c r="AA450" i="78"/>
  <c r="AA451" i="78"/>
  <c r="AA452" i="78"/>
  <c r="AA453" i="78"/>
  <c r="AA454" i="78"/>
  <c r="AA455" i="78"/>
  <c r="AA456" i="78"/>
  <c r="AA457" i="78"/>
  <c r="AA458" i="78"/>
  <c r="AA459" i="78"/>
  <c r="AA460" i="78"/>
  <c r="AA461" i="78"/>
  <c r="AA462" i="78"/>
  <c r="AA463" i="78"/>
  <c r="AA464" i="78"/>
  <c r="AA465" i="78"/>
  <c r="AA466" i="78"/>
  <c r="AA467" i="78"/>
  <c r="AA468" i="78"/>
  <c r="AA469" i="78"/>
  <c r="AA470" i="78"/>
  <c r="AA471" i="78"/>
  <c r="AA472" i="78"/>
  <c r="AA473" i="78"/>
  <c r="AA474" i="78"/>
  <c r="AA475" i="78"/>
  <c r="AA476" i="78"/>
  <c r="AA477" i="78"/>
  <c r="AA478" i="78"/>
  <c r="AA479" i="78"/>
  <c r="AA480" i="78"/>
  <c r="AA481" i="78"/>
  <c r="AA482" i="78"/>
  <c r="AA483" i="78"/>
  <c r="AA484" i="78"/>
  <c r="AA485" i="78"/>
  <c r="AA486" i="78"/>
  <c r="AA487" i="78"/>
  <c r="AA488" i="78"/>
  <c r="AA489" i="78"/>
  <c r="AA490" i="78"/>
  <c r="AA491" i="78"/>
  <c r="AA492" i="78"/>
  <c r="AA493" i="78"/>
  <c r="AA494" i="78"/>
  <c r="AA495" i="78"/>
  <c r="AA496" i="78"/>
  <c r="AA497" i="78"/>
  <c r="AA498" i="78"/>
  <c r="AA499" i="78"/>
  <c r="AA500" i="78"/>
  <c r="AA501" i="78"/>
  <c r="AA502" i="78"/>
  <c r="AA503" i="78"/>
  <c r="AA504" i="78"/>
  <c r="AA505" i="78"/>
  <c r="AA506" i="78"/>
  <c r="AA507" i="78"/>
  <c r="AA508" i="78"/>
  <c r="AA509" i="78"/>
  <c r="AA510" i="78"/>
  <c r="AA511" i="78"/>
  <c r="AA512" i="78"/>
  <c r="AA513" i="78"/>
  <c r="AA514" i="78"/>
  <c r="AA515" i="78"/>
  <c r="AA516" i="78"/>
  <c r="AA517" i="78"/>
  <c r="AA518" i="78"/>
  <c r="AA519" i="78"/>
  <c r="AA520" i="78"/>
  <c r="AA521" i="78"/>
  <c r="AA522" i="78"/>
  <c r="AA523" i="78"/>
  <c r="AA524" i="78"/>
  <c r="AA525" i="78"/>
  <c r="AA526" i="78"/>
  <c r="AA527" i="78"/>
  <c r="AA528" i="78"/>
  <c r="AA529" i="78"/>
  <c r="AA530" i="78"/>
  <c r="AA531" i="78"/>
  <c r="AA532" i="78"/>
  <c r="AA533" i="78"/>
  <c r="AA534" i="78"/>
  <c r="AA535" i="78"/>
  <c r="AA536" i="78"/>
  <c r="AA537" i="78"/>
  <c r="AA538" i="78"/>
  <c r="AA539" i="78"/>
  <c r="AA540" i="78"/>
  <c r="AA541" i="78"/>
  <c r="AA542" i="78"/>
  <c r="AA543" i="78"/>
  <c r="AA544" i="78"/>
  <c r="AA545" i="78"/>
  <c r="AA546" i="78"/>
  <c r="AA547" i="78"/>
  <c r="AA548" i="78"/>
  <c r="AA549" i="78"/>
  <c r="AA550" i="78"/>
  <c r="AA551" i="78"/>
  <c r="AA552" i="78"/>
  <c r="AA553" i="78"/>
  <c r="AA554" i="78"/>
  <c r="AA555" i="78"/>
  <c r="AA556" i="78"/>
  <c r="AA557" i="78"/>
  <c r="AA558" i="78"/>
  <c r="AA559" i="78"/>
  <c r="AA560" i="78"/>
  <c r="AA561" i="78"/>
  <c r="AA562" i="78"/>
  <c r="AA563" i="78"/>
  <c r="AA564" i="78"/>
  <c r="AA565" i="78"/>
  <c r="AA566" i="78"/>
  <c r="AA567" i="78"/>
  <c r="AA568" i="78"/>
  <c r="AA569" i="78"/>
  <c r="AA570" i="78"/>
  <c r="AA571" i="78"/>
  <c r="AA572" i="78"/>
  <c r="AA573" i="78"/>
  <c r="AA574" i="78"/>
  <c r="AA575" i="78"/>
  <c r="AA576" i="78"/>
  <c r="AA577" i="78"/>
  <c r="AA578" i="78"/>
  <c r="AA579" i="78"/>
  <c r="AA580" i="78"/>
  <c r="AA581" i="78"/>
  <c r="AA582" i="78"/>
  <c r="AA583" i="78"/>
  <c r="AA584" i="78"/>
  <c r="AA585" i="78"/>
  <c r="AA586" i="78"/>
  <c r="AA587" i="78"/>
  <c r="AA588" i="78"/>
  <c r="AA589" i="78"/>
  <c r="AA590" i="78"/>
  <c r="AA591" i="78"/>
  <c r="AA592" i="78"/>
  <c r="AA593" i="78"/>
  <c r="AA594" i="78"/>
  <c r="AA595" i="78"/>
  <c r="AA596" i="78"/>
  <c r="AA597" i="78"/>
  <c r="AA598" i="78"/>
  <c r="AA599" i="78"/>
  <c r="AA600" i="78"/>
  <c r="AA601" i="78"/>
  <c r="AA602" i="78"/>
  <c r="AA603" i="78"/>
  <c r="AA604" i="78"/>
  <c r="AA605" i="78"/>
  <c r="AA606" i="78"/>
  <c r="AA607" i="78"/>
  <c r="AA608" i="78"/>
  <c r="AA609" i="78"/>
  <c r="AA610" i="78"/>
  <c r="AA611" i="78"/>
  <c r="AA612" i="78"/>
  <c r="AA613" i="78"/>
  <c r="AA614" i="78"/>
  <c r="AA615" i="78"/>
  <c r="AA616" i="78"/>
  <c r="AA617" i="78"/>
  <c r="AA618" i="78"/>
  <c r="AA619" i="78"/>
  <c r="AA620" i="78"/>
  <c r="AA621" i="78"/>
  <c r="AA622" i="78"/>
  <c r="AA623" i="78"/>
  <c r="AA624" i="78"/>
  <c r="AA625" i="78"/>
  <c r="AA626" i="78"/>
  <c r="AA627" i="78"/>
  <c r="AA628" i="78"/>
  <c r="AA629" i="78"/>
  <c r="AA630" i="78"/>
  <c r="AA631" i="78"/>
  <c r="AA632" i="78"/>
  <c r="AA633" i="78"/>
  <c r="AA634" i="78"/>
  <c r="AA635" i="78"/>
  <c r="AA636" i="78"/>
  <c r="AA637" i="78"/>
  <c r="AA638" i="78"/>
  <c r="AA639" i="78"/>
  <c r="AA640" i="78"/>
  <c r="AA641" i="78"/>
  <c r="AA642" i="78"/>
  <c r="AA643" i="78"/>
  <c r="AA644" i="78"/>
  <c r="AA645" i="78"/>
  <c r="AA646" i="78"/>
  <c r="AA647" i="78"/>
  <c r="AA648" i="78"/>
  <c r="AA649" i="78"/>
  <c r="AA650" i="78"/>
  <c r="AA651" i="78"/>
  <c r="AA652" i="78"/>
  <c r="AA653" i="78"/>
  <c r="AA654" i="78"/>
  <c r="AA655" i="78"/>
  <c r="AA656" i="78"/>
  <c r="AA657" i="78"/>
  <c r="AA658" i="78"/>
  <c r="AA659" i="78"/>
  <c r="AA660" i="78"/>
  <c r="AA661" i="78"/>
  <c r="AA662" i="78"/>
  <c r="AA663" i="78"/>
  <c r="AA664" i="78"/>
  <c r="AA665" i="78"/>
  <c r="AA666" i="78"/>
  <c r="AA667" i="78"/>
  <c r="AA668" i="78"/>
  <c r="AA669" i="78"/>
  <c r="AA670" i="78"/>
  <c r="AA671" i="78"/>
  <c r="AA672" i="78"/>
  <c r="AA673" i="78"/>
  <c r="AA674" i="78"/>
  <c r="AA675" i="78"/>
  <c r="AA676" i="78"/>
  <c r="AA677" i="78"/>
  <c r="AA678" i="78"/>
  <c r="AA679" i="78"/>
  <c r="AA680" i="78"/>
  <c r="AA681" i="78"/>
  <c r="AA682" i="78"/>
  <c r="AA683" i="78"/>
  <c r="AA684" i="78"/>
  <c r="AA685" i="78"/>
  <c r="AA686" i="78"/>
  <c r="AA687" i="78"/>
  <c r="AA688" i="78"/>
  <c r="AA689" i="78"/>
  <c r="AA690" i="78"/>
  <c r="AA691" i="78"/>
  <c r="AA692" i="78"/>
  <c r="AA693" i="78"/>
  <c r="AA694" i="78"/>
  <c r="AA695" i="78"/>
  <c r="AA696" i="78"/>
  <c r="AA697" i="78"/>
  <c r="AA698" i="78"/>
  <c r="AA699" i="78"/>
  <c r="AA700" i="78"/>
  <c r="AA701" i="78"/>
  <c r="AA702" i="78"/>
  <c r="AA703" i="78"/>
  <c r="AA704" i="78"/>
  <c r="AA705" i="78"/>
  <c r="AA706" i="78"/>
  <c r="AA707" i="78"/>
  <c r="AA708" i="78"/>
  <c r="AA709" i="78"/>
  <c r="AA710" i="78"/>
  <c r="AA711" i="78"/>
  <c r="AA712" i="78"/>
  <c r="AA713" i="78"/>
  <c r="AA714" i="78"/>
  <c r="AA715" i="78"/>
  <c r="AA716" i="78"/>
  <c r="AA717" i="78"/>
  <c r="AA718" i="78"/>
  <c r="AA719" i="78"/>
  <c r="AA720" i="78"/>
  <c r="AA721" i="78"/>
  <c r="AA722" i="78"/>
  <c r="AA723" i="78"/>
  <c r="AA724" i="78"/>
  <c r="AA725" i="78"/>
  <c r="AA726" i="78"/>
  <c r="AA727" i="78"/>
  <c r="AA728" i="78"/>
  <c r="AA729" i="78"/>
  <c r="AA730" i="78"/>
  <c r="AA731" i="78"/>
  <c r="AA732" i="78"/>
  <c r="AA733" i="78"/>
  <c r="AA734" i="78"/>
  <c r="AA735" i="78"/>
  <c r="AA736" i="78"/>
  <c r="AA737" i="78"/>
  <c r="AA738" i="78"/>
  <c r="AA739" i="78"/>
  <c r="AA740" i="78"/>
  <c r="AA741" i="78"/>
  <c r="AA742" i="78"/>
  <c r="AA743" i="78"/>
  <c r="AA744" i="78"/>
  <c r="AA745" i="78"/>
  <c r="AA746" i="78"/>
  <c r="AA747" i="78"/>
  <c r="AA748" i="78"/>
  <c r="AA749" i="78"/>
  <c r="AA750" i="78"/>
  <c r="AA751" i="78"/>
  <c r="AA752" i="78"/>
  <c r="AA753" i="78"/>
  <c r="AA754" i="78"/>
  <c r="AA755" i="78"/>
  <c r="AA756" i="78"/>
  <c r="AA757" i="78"/>
  <c r="AA758" i="78"/>
  <c r="AA759" i="78"/>
  <c r="AA760" i="78"/>
  <c r="AA761" i="78"/>
  <c r="AA762" i="78"/>
  <c r="AA763" i="78"/>
  <c r="AA764" i="78"/>
  <c r="AA765" i="78"/>
  <c r="AA766" i="78"/>
  <c r="AA767" i="78"/>
  <c r="AA768" i="78"/>
  <c r="AA769" i="78"/>
  <c r="AA770" i="78"/>
  <c r="AA771" i="78"/>
  <c r="AA772" i="78"/>
  <c r="AA773" i="78"/>
  <c r="AA774" i="78"/>
  <c r="AA775" i="78"/>
  <c r="AA776" i="78"/>
  <c r="AA777" i="78"/>
  <c r="AA778" i="78"/>
  <c r="AA779" i="78"/>
  <c r="AA780" i="78"/>
  <c r="AA781" i="78"/>
  <c r="AA782" i="78"/>
  <c r="AA783" i="78"/>
  <c r="AA784" i="78"/>
  <c r="AA785" i="78"/>
  <c r="AA786" i="78"/>
  <c r="AA787" i="78"/>
  <c r="AA788" i="78"/>
  <c r="AA789" i="78"/>
  <c r="AA790" i="78"/>
  <c r="AA791" i="78"/>
  <c r="AA792" i="78"/>
  <c r="AA793" i="78"/>
  <c r="AA794" i="78"/>
  <c r="AA795" i="78"/>
  <c r="AA796" i="78"/>
  <c r="AA797" i="78"/>
  <c r="AA798" i="78"/>
  <c r="AA799" i="78"/>
  <c r="AA800" i="78"/>
  <c r="AA801" i="78"/>
  <c r="AA802" i="78"/>
  <c r="AA803" i="78"/>
  <c r="AA804" i="78"/>
  <c r="AA805" i="78"/>
  <c r="AA806" i="78"/>
  <c r="AA807" i="78"/>
  <c r="AA808" i="78"/>
  <c r="AA809" i="78"/>
  <c r="AA810" i="78"/>
  <c r="AA811" i="78"/>
  <c r="AA812" i="78"/>
  <c r="AA813" i="78"/>
  <c r="AA814" i="78"/>
  <c r="AA815" i="78"/>
  <c r="AA816" i="78"/>
  <c r="AA817" i="78"/>
  <c r="AA818" i="78"/>
  <c r="AA819" i="78"/>
  <c r="AA820" i="78"/>
  <c r="AA821" i="78"/>
  <c r="AA822" i="78"/>
  <c r="AA823" i="78"/>
  <c r="AA824" i="78"/>
  <c r="AA825" i="78"/>
  <c r="AA826" i="78"/>
  <c r="AA827" i="78"/>
  <c r="AA828" i="78"/>
  <c r="AA829" i="78"/>
  <c r="AA830" i="78"/>
  <c r="AA831" i="78"/>
  <c r="AA832" i="78"/>
  <c r="AA833" i="78"/>
  <c r="AA834" i="78"/>
  <c r="AA835" i="78"/>
  <c r="AA836" i="78"/>
  <c r="AA837" i="78"/>
  <c r="AA838" i="78"/>
  <c r="AA839" i="78"/>
  <c r="AA840" i="78"/>
  <c r="AA841" i="78"/>
  <c r="AA842" i="78"/>
  <c r="AA843" i="78"/>
  <c r="AA844" i="78"/>
  <c r="AA845" i="78"/>
  <c r="AA846" i="78"/>
  <c r="AA847" i="78"/>
  <c r="AA848" i="78"/>
  <c r="AA849" i="78"/>
  <c r="AA850" i="78"/>
  <c r="AA851" i="78"/>
  <c r="AA852" i="78"/>
  <c r="AA853" i="78"/>
  <c r="AA854" i="78"/>
  <c r="AA855" i="78"/>
  <c r="AA856" i="78"/>
  <c r="AA857" i="78"/>
  <c r="AA858" i="78"/>
  <c r="AA859" i="78"/>
  <c r="AA860" i="78"/>
  <c r="AA861" i="78"/>
  <c r="AA862" i="78"/>
  <c r="AA863" i="78"/>
  <c r="AA864" i="78"/>
  <c r="AA865" i="78"/>
  <c r="AA866" i="78"/>
  <c r="AA867" i="78"/>
  <c r="AA868" i="78"/>
  <c r="AA869" i="78"/>
  <c r="AA870" i="78"/>
  <c r="AA871" i="78"/>
  <c r="AA872" i="78"/>
  <c r="AA873" i="78"/>
  <c r="AA874" i="78"/>
  <c r="AA875" i="78"/>
  <c r="AA876" i="78"/>
  <c r="AA877" i="78"/>
  <c r="AA878" i="78"/>
  <c r="AA879" i="78"/>
  <c r="AA880" i="78"/>
  <c r="AA881" i="78"/>
  <c r="AA882" i="78"/>
  <c r="AA883" i="78"/>
  <c r="AA884" i="78"/>
  <c r="AA885" i="78"/>
  <c r="AA886" i="78"/>
  <c r="AA887" i="78"/>
  <c r="AA888" i="78"/>
  <c r="AA889" i="78"/>
  <c r="AA890" i="78"/>
  <c r="AA891" i="78"/>
  <c r="AA892" i="78"/>
  <c r="AA893" i="78"/>
  <c r="AA894" i="78"/>
  <c r="AA895" i="78"/>
  <c r="AA896" i="78"/>
  <c r="AA897" i="78"/>
  <c r="AA898" i="78"/>
  <c r="AA899" i="78"/>
  <c r="AA900" i="78"/>
  <c r="AA901" i="78"/>
  <c r="AA902" i="78"/>
  <c r="AA903" i="78"/>
  <c r="AA904" i="78"/>
  <c r="AA905" i="78"/>
  <c r="AA906" i="78"/>
  <c r="AA907" i="78"/>
  <c r="AA908" i="78"/>
  <c r="AA909" i="78"/>
  <c r="AA910" i="78"/>
  <c r="AA911" i="78"/>
  <c r="AA912" i="78"/>
  <c r="AA913" i="78"/>
  <c r="AA914" i="78"/>
  <c r="AA915" i="78"/>
  <c r="AA916" i="78"/>
  <c r="AA917" i="78"/>
  <c r="AA918" i="78"/>
  <c r="AA919" i="78"/>
  <c r="AA920" i="78"/>
  <c r="AA921" i="78"/>
  <c r="AA922" i="78"/>
  <c r="AA923" i="78"/>
  <c r="AA924" i="78"/>
  <c r="AA925" i="78"/>
  <c r="AA926" i="78"/>
  <c r="AA927" i="78"/>
  <c r="AA928" i="78"/>
  <c r="AA929" i="78"/>
  <c r="AA930" i="78"/>
  <c r="AA931" i="78"/>
  <c r="AA932" i="78"/>
  <c r="AA933" i="78"/>
  <c r="AA934" i="78"/>
  <c r="AA935" i="78"/>
  <c r="AA936" i="78"/>
  <c r="AA937" i="78"/>
  <c r="AA938" i="78"/>
  <c r="AA939" i="78"/>
  <c r="AA940" i="78"/>
  <c r="AA941" i="78"/>
  <c r="AA942" i="78"/>
  <c r="AA943" i="78"/>
  <c r="AA944" i="78"/>
  <c r="AA945" i="78"/>
  <c r="AA946" i="78"/>
  <c r="AA947" i="78"/>
  <c r="AA948" i="78"/>
  <c r="AA949" i="78"/>
  <c r="AA950" i="78"/>
  <c r="AA951" i="78"/>
  <c r="AA952" i="78"/>
  <c r="AA953" i="78"/>
  <c r="AA954" i="78"/>
  <c r="AA955" i="78"/>
  <c r="AA956" i="78"/>
  <c r="AA957" i="78"/>
  <c r="AA958" i="78"/>
  <c r="AA959" i="78"/>
  <c r="AA960" i="78"/>
  <c r="AA961" i="78"/>
  <c r="AA962" i="78"/>
  <c r="AA963" i="78"/>
  <c r="AA964" i="78"/>
  <c r="AA965" i="78"/>
  <c r="AA966" i="78"/>
  <c r="AA967" i="78"/>
  <c r="AA968" i="78"/>
  <c r="AA969" i="78"/>
  <c r="AA970" i="78"/>
  <c r="AA971" i="78"/>
  <c r="AA972" i="78"/>
  <c r="AA973" i="78"/>
  <c r="AA974" i="78"/>
  <c r="AA975" i="78"/>
  <c r="AA976" i="78"/>
  <c r="AA977" i="78"/>
  <c r="AA978" i="78"/>
  <c r="AA979" i="78"/>
  <c r="AA980" i="78"/>
  <c r="AA981" i="78"/>
  <c r="AA982" i="78"/>
  <c r="AA983" i="78"/>
  <c r="AA984" i="78"/>
  <c r="AA985" i="78"/>
  <c r="AA986" i="78"/>
  <c r="AA987" i="78"/>
  <c r="AA988" i="78"/>
  <c r="AA989" i="78"/>
  <c r="AA990" i="78"/>
  <c r="AA991" i="78"/>
  <c r="AA992" i="78"/>
  <c r="AA993" i="78"/>
  <c r="AA994" i="78"/>
  <c r="AA995" i="78"/>
  <c r="AA996" i="78"/>
  <c r="AA997" i="78"/>
  <c r="AA998" i="78"/>
  <c r="AA999" i="78"/>
  <c r="AA1000" i="78"/>
  <c r="AA1001" i="78"/>
  <c r="AA1002" i="78"/>
  <c r="AA1003" i="78"/>
  <c r="AA1004" i="78"/>
  <c r="AA1005" i="78"/>
  <c r="AA1006" i="78"/>
  <c r="AA1007" i="78"/>
  <c r="AA1008" i="78"/>
  <c r="AA1009" i="78"/>
  <c r="AA1010" i="78"/>
  <c r="AA1011" i="78"/>
  <c r="AA1012" i="78"/>
  <c r="AA1013" i="78"/>
  <c r="AA1014" i="78"/>
  <c r="AA1015" i="78"/>
  <c r="AA1016" i="78"/>
  <c r="AA1017" i="78"/>
  <c r="AA1018" i="78"/>
  <c r="AA1019" i="78"/>
  <c r="AA1020" i="78"/>
  <c r="AA1021" i="78"/>
  <c r="AA1022" i="78"/>
  <c r="AA1023" i="78"/>
  <c r="AA1024" i="78"/>
  <c r="AA1025" i="78"/>
  <c r="AA1026" i="78"/>
  <c r="AA1027" i="78"/>
  <c r="AA1028" i="78"/>
  <c r="AA1029" i="78"/>
  <c r="AA1030" i="78"/>
  <c r="AA1031" i="78"/>
  <c r="AA1032" i="78"/>
  <c r="AA1033" i="78"/>
  <c r="AA1034" i="78"/>
  <c r="AA1035" i="78"/>
  <c r="AA1036" i="78"/>
  <c r="AA1037" i="78"/>
  <c r="AA1038" i="78"/>
  <c r="AA1039" i="78"/>
  <c r="AA1040" i="78"/>
  <c r="AA1041" i="78"/>
  <c r="AA1042" i="78"/>
  <c r="AA1043" i="78"/>
  <c r="AA1044" i="78"/>
  <c r="AA1045" i="78"/>
  <c r="AA1046" i="78"/>
  <c r="AA1047" i="78"/>
  <c r="AA1048" i="78"/>
  <c r="AA1049" i="78"/>
  <c r="AA1050" i="78"/>
  <c r="AA1051" i="78"/>
  <c r="AA1052" i="78"/>
  <c r="AA1053" i="78"/>
  <c r="AA1054" i="78"/>
  <c r="AA1055" i="78"/>
  <c r="AA1056" i="78"/>
  <c r="AA1057" i="78"/>
  <c r="AA1058" i="78"/>
  <c r="AA1059" i="78"/>
  <c r="AA1060" i="78"/>
  <c r="AA1061" i="78"/>
  <c r="AA1062" i="78"/>
  <c r="AA1063" i="78"/>
  <c r="AA1064" i="78"/>
  <c r="AA1065" i="78"/>
  <c r="AA1066" i="78"/>
  <c r="AA1067" i="78"/>
  <c r="AA1068" i="78"/>
  <c r="AA1069" i="78"/>
  <c r="AA1070" i="78"/>
  <c r="AA1071" i="78"/>
  <c r="AA1072" i="78"/>
  <c r="AA1073" i="78"/>
  <c r="AA1074" i="78"/>
  <c r="AA1075" i="78"/>
  <c r="AA1076" i="78"/>
  <c r="AA1077" i="78"/>
  <c r="AA1078" i="78"/>
  <c r="AA1079" i="78"/>
  <c r="AA1080" i="78"/>
  <c r="AA1081" i="78"/>
  <c r="AA1082" i="78"/>
  <c r="AA1083" i="78"/>
  <c r="AA1084" i="78"/>
  <c r="AA1085" i="78"/>
  <c r="AA1086" i="78"/>
  <c r="AA1087" i="78"/>
  <c r="AA1088" i="78"/>
  <c r="AA1089" i="78"/>
  <c r="AA1090" i="78"/>
  <c r="AA1091" i="78"/>
  <c r="AA1092" i="78"/>
  <c r="AA1093" i="78"/>
  <c r="AA1094" i="78"/>
  <c r="AA1095" i="78"/>
  <c r="AA1096" i="78"/>
  <c r="AA1097" i="78"/>
  <c r="AA1098" i="78"/>
  <c r="AA1099" i="78"/>
  <c r="AA1100" i="78"/>
  <c r="AA1101" i="78"/>
  <c r="AA1102" i="78"/>
  <c r="AA1103" i="78"/>
  <c r="AA1104" i="78"/>
  <c r="AA1105" i="78"/>
  <c r="AA1106" i="78"/>
  <c r="AA1107" i="78"/>
  <c r="AA1108" i="78"/>
  <c r="AA1109" i="78"/>
  <c r="AA1110" i="78"/>
  <c r="AA1111" i="78"/>
  <c r="AA1112" i="78"/>
  <c r="AA1113" i="78"/>
  <c r="AA1114" i="78"/>
  <c r="AA1115" i="78"/>
  <c r="AA1116" i="78"/>
  <c r="AA1117" i="78"/>
  <c r="AA1118" i="78"/>
  <c r="AA1119" i="78"/>
  <c r="AA1120" i="78"/>
  <c r="AA1121" i="78"/>
  <c r="AA1122" i="78"/>
  <c r="AA1123" i="78"/>
  <c r="AA1124" i="78"/>
  <c r="AA1125" i="78"/>
  <c r="AA1126" i="78"/>
  <c r="AA1127" i="78"/>
  <c r="AA1128" i="78"/>
  <c r="AA1129" i="78"/>
  <c r="AA1130" i="78"/>
  <c r="AA1131" i="78"/>
  <c r="AA1132" i="78"/>
  <c r="AA1133" i="78"/>
  <c r="AA1134" i="78"/>
  <c r="AA1135" i="78"/>
  <c r="AA1136" i="78"/>
  <c r="AA1137" i="78"/>
  <c r="AA1138" i="78"/>
  <c r="AA1139" i="78"/>
  <c r="AA1140" i="78"/>
  <c r="AA1141" i="78"/>
  <c r="AA1142" i="78"/>
  <c r="AA1143" i="78"/>
  <c r="AA1144" i="78"/>
  <c r="AA1145" i="78"/>
  <c r="AA1146" i="78"/>
  <c r="AA1147" i="78"/>
  <c r="AA1148" i="78"/>
  <c r="AA1149" i="78"/>
  <c r="AA1150" i="78"/>
  <c r="AA1151" i="78"/>
  <c r="AA1152" i="78"/>
  <c r="AA1153" i="78"/>
  <c r="AA1154" i="78"/>
  <c r="AA1155" i="78"/>
  <c r="AA1156" i="78"/>
  <c r="AA1157" i="78"/>
  <c r="AA1158" i="78"/>
  <c r="AA1159" i="78"/>
  <c r="AA1160" i="78"/>
  <c r="AA1161" i="78"/>
  <c r="AA1162" i="78"/>
  <c r="AA1163" i="78"/>
  <c r="AA1164" i="78"/>
  <c r="AA1165" i="78"/>
  <c r="AA1166" i="78"/>
  <c r="AA1167" i="78"/>
  <c r="AA1168" i="78"/>
  <c r="AA1169" i="78"/>
  <c r="AA1170" i="78"/>
  <c r="AA1171" i="78"/>
  <c r="AA1172" i="78"/>
  <c r="AA1173" i="78"/>
  <c r="AA1174" i="78"/>
  <c r="AA1175" i="78"/>
  <c r="AA1176" i="78"/>
  <c r="AA1177" i="78"/>
  <c r="AA1178" i="78"/>
  <c r="AA1179" i="78"/>
  <c r="AA1180" i="78"/>
  <c r="AA1181" i="78"/>
  <c r="AA1182" i="78"/>
  <c r="AA1183" i="78"/>
  <c r="AA1184" i="78"/>
  <c r="AA1185" i="78"/>
  <c r="AA1186" i="78"/>
  <c r="AA1187" i="78"/>
  <c r="AA1188" i="78"/>
  <c r="AA1189" i="78"/>
  <c r="AA1190" i="78"/>
  <c r="AA1191" i="78"/>
  <c r="AA1192" i="78"/>
  <c r="AA1193" i="78"/>
  <c r="AA1194" i="78"/>
  <c r="AA1195" i="78"/>
  <c r="AA1196" i="78"/>
  <c r="AA1197" i="78"/>
  <c r="AA1198" i="78"/>
  <c r="AA1199" i="78"/>
  <c r="AA1200" i="78"/>
  <c r="AA1201" i="78"/>
  <c r="AA1202" i="78"/>
  <c r="AA1203" i="78"/>
  <c r="AA1204" i="78"/>
  <c r="AA1205" i="78"/>
  <c r="AA1206" i="78"/>
  <c r="AA1207" i="78"/>
  <c r="AA1208" i="78"/>
  <c r="AA1209" i="78"/>
  <c r="AA1210" i="78"/>
  <c r="AA1211" i="78"/>
  <c r="AA1212" i="78"/>
  <c r="AA1213" i="78"/>
  <c r="AA1214" i="78"/>
  <c r="AA1215" i="78"/>
  <c r="AA1216" i="78"/>
  <c r="AA1217" i="78"/>
  <c r="AA1218" i="78"/>
  <c r="AA1219" i="78"/>
  <c r="AA1220" i="78"/>
  <c r="AA1221" i="78"/>
  <c r="AA1222" i="78"/>
  <c r="AA1223" i="78"/>
  <c r="AA1224" i="78"/>
  <c r="AA1225" i="78"/>
  <c r="AA1226" i="78"/>
  <c r="AA1227" i="78"/>
  <c r="AA1228" i="78"/>
  <c r="AA1229" i="78"/>
  <c r="AA1230" i="78"/>
  <c r="AA1231" i="78"/>
  <c r="AA1232" i="78"/>
  <c r="AA1233" i="78"/>
  <c r="AA1234" i="78"/>
  <c r="AA1235" i="78"/>
  <c r="AA1236" i="78"/>
  <c r="AA1237" i="78"/>
  <c r="AA1238" i="78"/>
  <c r="AA1239" i="78"/>
  <c r="AA1240" i="78"/>
  <c r="AA1241" i="78"/>
  <c r="AA1242" i="78"/>
  <c r="AA1243" i="78"/>
  <c r="AA1244" i="78"/>
  <c r="AA1245" i="78"/>
  <c r="AA1246" i="78"/>
  <c r="AA1247" i="78"/>
  <c r="AA1248" i="78"/>
  <c r="AA1249" i="78"/>
  <c r="AA1250" i="78"/>
  <c r="AA1251" i="78"/>
  <c r="AA1252" i="78"/>
  <c r="AA1253" i="78"/>
  <c r="AA1254" i="78"/>
  <c r="AA1255" i="78"/>
  <c r="AA1256" i="78"/>
  <c r="AA1257" i="78"/>
  <c r="AA1258" i="78"/>
  <c r="AA1259" i="78"/>
  <c r="AA1260" i="78"/>
  <c r="AA1261" i="78"/>
  <c r="AA1262" i="78"/>
  <c r="AA1263" i="78"/>
  <c r="AA1264" i="78"/>
  <c r="AA1265" i="78"/>
  <c r="AA1266" i="78"/>
  <c r="AA1267" i="78"/>
  <c r="AA1268" i="78"/>
  <c r="AA1269" i="78"/>
  <c r="AA1270" i="78"/>
  <c r="AA1271" i="78"/>
  <c r="AA1272" i="78"/>
  <c r="AA1273" i="78"/>
  <c r="AA1274" i="78"/>
  <c r="AA1275" i="78"/>
  <c r="AA1276" i="78"/>
  <c r="AA1277" i="78"/>
  <c r="AA1278" i="78"/>
  <c r="AA1279" i="78"/>
  <c r="AA1280" i="78"/>
  <c r="AA1281" i="78"/>
  <c r="AA1282" i="78"/>
  <c r="AA1283" i="78"/>
  <c r="AA1284" i="78"/>
  <c r="AA1285" i="78"/>
  <c r="AA1286" i="78"/>
  <c r="AA1287" i="78"/>
  <c r="AA1288" i="78"/>
  <c r="AA1289" i="78"/>
  <c r="AA1290" i="78"/>
  <c r="AA1291" i="78"/>
  <c r="AA1292" i="78"/>
  <c r="AA1293" i="78"/>
  <c r="AA1294" i="78"/>
  <c r="AA1295" i="78"/>
  <c r="AA1296" i="78"/>
  <c r="AA1297" i="78"/>
  <c r="AA1298" i="78"/>
  <c r="AA1299" i="78"/>
  <c r="AA1300" i="78"/>
  <c r="AA1301" i="78"/>
  <c r="AA1302" i="78"/>
  <c r="AA1303" i="78"/>
  <c r="AA1304" i="78"/>
  <c r="AA1305" i="78"/>
  <c r="AA1306" i="78"/>
  <c r="AA1307" i="78"/>
  <c r="AA1308" i="78"/>
  <c r="AA1309" i="78"/>
  <c r="AA1310" i="78"/>
  <c r="AA1311" i="78"/>
  <c r="AA1312" i="78"/>
  <c r="A1312" i="78"/>
  <c r="A1311" i="78"/>
  <c r="A1310" i="78"/>
  <c r="A1309" i="78"/>
  <c r="A1308" i="78"/>
  <c r="A1307" i="78"/>
  <c r="A1306" i="78"/>
  <c r="A1305" i="78"/>
  <c r="A1304" i="78"/>
  <c r="A1303" i="78"/>
  <c r="A1302" i="78"/>
  <c r="A1301" i="78"/>
  <c r="A1300" i="78"/>
  <c r="A1299" i="78"/>
  <c r="A1298" i="78"/>
  <c r="A1297" i="78"/>
  <c r="A1296" i="78"/>
  <c r="A1295" i="78"/>
  <c r="A1294" i="78"/>
  <c r="A1293" i="78"/>
  <c r="A1292" i="78"/>
  <c r="A1291" i="78"/>
  <c r="A1290" i="78"/>
  <c r="A1289" i="78"/>
  <c r="A1288" i="78"/>
  <c r="A1287" i="78"/>
  <c r="A1286" i="78"/>
  <c r="A1285" i="78"/>
  <c r="A1284" i="78"/>
  <c r="A1283" i="78"/>
  <c r="A1282" i="78"/>
  <c r="A1281" i="78"/>
  <c r="A1280" i="78"/>
  <c r="A1279" i="78"/>
  <c r="A1278" i="78"/>
  <c r="A1277" i="78"/>
  <c r="A1276" i="78"/>
  <c r="A1275" i="78"/>
  <c r="A1274" i="78"/>
  <c r="A1273" i="78"/>
  <c r="A1272" i="78"/>
  <c r="A1271" i="78"/>
  <c r="A1270" i="78"/>
  <c r="A1269" i="78"/>
  <c r="A1268" i="78"/>
  <c r="A1267" i="78"/>
  <c r="A1266" i="78"/>
  <c r="A1265" i="78"/>
  <c r="A1264" i="78"/>
  <c r="A1263" i="78"/>
  <c r="A1262" i="78"/>
  <c r="A1261" i="78"/>
  <c r="A1260" i="78"/>
  <c r="A1259" i="78"/>
  <c r="A1258" i="78"/>
  <c r="A1257" i="78"/>
  <c r="A1256" i="78"/>
  <c r="A1255" i="78"/>
  <c r="A1254" i="78"/>
  <c r="A1253" i="78"/>
  <c r="A1252" i="78"/>
  <c r="A1251" i="78"/>
  <c r="A1250" i="78"/>
  <c r="A1249" i="78"/>
  <c r="A1248" i="78"/>
  <c r="A1247" i="78"/>
  <c r="A1246" i="78"/>
  <c r="A1245" i="78"/>
  <c r="A1244" i="78"/>
  <c r="A1243" i="78"/>
  <c r="A1242" i="78"/>
  <c r="A1241" i="78"/>
  <c r="A1240" i="78"/>
  <c r="A1239" i="78"/>
  <c r="A1238" i="78"/>
  <c r="A1237" i="78"/>
  <c r="A1236" i="78"/>
  <c r="A1235" i="78"/>
  <c r="A1234" i="78"/>
  <c r="A1233" i="78"/>
  <c r="A1232" i="78"/>
  <c r="A1231" i="78"/>
  <c r="A1230" i="78"/>
  <c r="A1229" i="78"/>
  <c r="A1228" i="78"/>
  <c r="A1227" i="78"/>
  <c r="A1226" i="78"/>
  <c r="A1225" i="78"/>
  <c r="A1224" i="78"/>
  <c r="A1223" i="78"/>
  <c r="A1222" i="78"/>
  <c r="A1221" i="78"/>
  <c r="A1220" i="78"/>
  <c r="A1219" i="78"/>
  <c r="A1218" i="78"/>
  <c r="A1217" i="78"/>
  <c r="A1216" i="78"/>
  <c r="A1215" i="78"/>
  <c r="A1214" i="78"/>
  <c r="A1213" i="78"/>
  <c r="A1212" i="78"/>
  <c r="A1211" i="78"/>
  <c r="A1210" i="78"/>
  <c r="A1209" i="78"/>
  <c r="A1208" i="78"/>
  <c r="A1207" i="78"/>
  <c r="A1206" i="78"/>
  <c r="A1205" i="78"/>
  <c r="A1204" i="78"/>
  <c r="A1203" i="78"/>
  <c r="A1202" i="78"/>
  <c r="A1201" i="78"/>
  <c r="A1200" i="78"/>
  <c r="A1199" i="78"/>
  <c r="A1198" i="78"/>
  <c r="A1197" i="78"/>
  <c r="A1196" i="78"/>
  <c r="A1195" i="78"/>
  <c r="A1194" i="78"/>
  <c r="A1193" i="78"/>
  <c r="A1192" i="78"/>
  <c r="A1191" i="78"/>
  <c r="A1190" i="78"/>
  <c r="A1189" i="78"/>
  <c r="A1188" i="78"/>
  <c r="A1187" i="78"/>
  <c r="A1186" i="78"/>
  <c r="A1185" i="78"/>
  <c r="A1184" i="78"/>
  <c r="A1183" i="78"/>
  <c r="A1182" i="78"/>
  <c r="A1181" i="78"/>
  <c r="A1180" i="78"/>
  <c r="A1179" i="78"/>
  <c r="A1178" i="78"/>
  <c r="A1177" i="78"/>
  <c r="A1176" i="78"/>
  <c r="A1175" i="78"/>
  <c r="A1174" i="78"/>
  <c r="A1173" i="78"/>
  <c r="A1172" i="78"/>
  <c r="A1171" i="78"/>
  <c r="A1170" i="78"/>
  <c r="A1169" i="78"/>
  <c r="A1168" i="78"/>
  <c r="A1167" i="78"/>
  <c r="A1166" i="78"/>
  <c r="A1165" i="78"/>
  <c r="A1164" i="78"/>
  <c r="A1163" i="78"/>
  <c r="A1162" i="78"/>
  <c r="A1161" i="78"/>
  <c r="A1160" i="78"/>
  <c r="A1159" i="78"/>
  <c r="A1158" i="78"/>
  <c r="A1157" i="78"/>
  <c r="A1156" i="78"/>
  <c r="A1155" i="78"/>
  <c r="A1154" i="78"/>
  <c r="A1153" i="78"/>
  <c r="A1152" i="78"/>
  <c r="A1151" i="78"/>
  <c r="A1150" i="78"/>
  <c r="A1149" i="78"/>
  <c r="A1148" i="78"/>
  <c r="A1147" i="78"/>
  <c r="A1146" i="78"/>
  <c r="A1145" i="78"/>
  <c r="A1144" i="78"/>
  <c r="A1143" i="78"/>
  <c r="A1142" i="78"/>
  <c r="A1141" i="78"/>
  <c r="A1140" i="78"/>
  <c r="A1139" i="78"/>
  <c r="A1138" i="78"/>
  <c r="A1137" i="78"/>
  <c r="A1136" i="78"/>
  <c r="A1135" i="78"/>
  <c r="A1134" i="78"/>
  <c r="A1133" i="78"/>
  <c r="A1132" i="78"/>
  <c r="A1131" i="78"/>
  <c r="A1130" i="78"/>
  <c r="A1129" i="78"/>
  <c r="A1128" i="78"/>
  <c r="A1127" i="78"/>
  <c r="A1126" i="78"/>
  <c r="A1125" i="78"/>
  <c r="A1124" i="78"/>
  <c r="A1123" i="78"/>
  <c r="A1122" i="78"/>
  <c r="A1121" i="78"/>
  <c r="A1120" i="78"/>
  <c r="A1119" i="78"/>
  <c r="A1118" i="78"/>
  <c r="A1117" i="78"/>
  <c r="A1116" i="78"/>
  <c r="A1115" i="78"/>
  <c r="A1114" i="78"/>
  <c r="A1113" i="78"/>
  <c r="A1112" i="78"/>
  <c r="A1111" i="78"/>
  <c r="A1110" i="78"/>
  <c r="A1109" i="78"/>
  <c r="A1108" i="78"/>
  <c r="A1107" i="78"/>
  <c r="A1106" i="78"/>
  <c r="A1105" i="78"/>
  <c r="A1104" i="78"/>
  <c r="A1103" i="78"/>
  <c r="A1102" i="78"/>
  <c r="A1101" i="78"/>
  <c r="A1100" i="78"/>
  <c r="A1099" i="78"/>
  <c r="A1098" i="78"/>
  <c r="A1097" i="78"/>
  <c r="A1096" i="78"/>
  <c r="A1095" i="78"/>
  <c r="A1094" i="78"/>
  <c r="A1093" i="78"/>
  <c r="A1092" i="78"/>
  <c r="A1091" i="78"/>
  <c r="A1090" i="78"/>
  <c r="A1089" i="78"/>
  <c r="A1088" i="78"/>
  <c r="A1087" i="78"/>
  <c r="A1086" i="78"/>
  <c r="A1085" i="78"/>
  <c r="A1084" i="78"/>
  <c r="A1083" i="78"/>
  <c r="A1082" i="78"/>
  <c r="A1081" i="78"/>
  <c r="A1080" i="78"/>
  <c r="A1079" i="78"/>
  <c r="A1078" i="78"/>
  <c r="A1077" i="78"/>
  <c r="A1076" i="78"/>
  <c r="A1075" i="78"/>
  <c r="A1074" i="78"/>
  <c r="A1073" i="78"/>
  <c r="A1072" i="78"/>
  <c r="A1071" i="78"/>
  <c r="A1070" i="78"/>
  <c r="A1069" i="78"/>
  <c r="A1068" i="78"/>
  <c r="A1067" i="78"/>
  <c r="A1066" i="78"/>
  <c r="A1065" i="78"/>
  <c r="A1064" i="78"/>
  <c r="A1063" i="78"/>
  <c r="A1062" i="78"/>
  <c r="A1061" i="78"/>
  <c r="A1060" i="78"/>
  <c r="A1059" i="78"/>
  <c r="A1058" i="78"/>
  <c r="A1057" i="78"/>
  <c r="A1056" i="78"/>
  <c r="A1055" i="78"/>
  <c r="A1054" i="78"/>
  <c r="A1053" i="78"/>
  <c r="A1052" i="78"/>
  <c r="A1051" i="78"/>
  <c r="A1050" i="78"/>
  <c r="A1049" i="78"/>
  <c r="A1048" i="78"/>
  <c r="A1047" i="78"/>
  <c r="A1046" i="78"/>
  <c r="A1045" i="78"/>
  <c r="A1044" i="78"/>
  <c r="A1043" i="78"/>
  <c r="A1042" i="78"/>
  <c r="A1041" i="78"/>
  <c r="A1040" i="78"/>
  <c r="A1039" i="78"/>
  <c r="A1038" i="78"/>
  <c r="A1037" i="78"/>
  <c r="A1036" i="78"/>
  <c r="A1035" i="78"/>
  <c r="A1034" i="78"/>
  <c r="A1033" i="78"/>
  <c r="A1032" i="78"/>
  <c r="A1031" i="78"/>
  <c r="A1030" i="78"/>
  <c r="A1029" i="78"/>
  <c r="A1028" i="78"/>
  <c r="A1027" i="78"/>
  <c r="A1026" i="78"/>
  <c r="A1025" i="78"/>
  <c r="A1024" i="78"/>
  <c r="A1023" i="78"/>
  <c r="A1022" i="78"/>
  <c r="A1021" i="78"/>
  <c r="A1020" i="78"/>
  <c r="A1019" i="78"/>
  <c r="A1018" i="78"/>
  <c r="A1017" i="78"/>
  <c r="A1016" i="78"/>
  <c r="A1015" i="78"/>
  <c r="A1014" i="78"/>
  <c r="A1013" i="78"/>
  <c r="A1012" i="78"/>
  <c r="A1011" i="78"/>
  <c r="A1010" i="78"/>
  <c r="A1009" i="78"/>
  <c r="A1008" i="78"/>
  <c r="A1007" i="78"/>
  <c r="A1006" i="78"/>
  <c r="A1005" i="78"/>
  <c r="A1004" i="78"/>
  <c r="A1003" i="78"/>
  <c r="A1002" i="78"/>
  <c r="A1001" i="78"/>
  <c r="A1000" i="78"/>
  <c r="A999" i="78"/>
  <c r="A998" i="78"/>
  <c r="A997" i="78"/>
  <c r="A996" i="78"/>
  <c r="A995" i="78"/>
  <c r="A994" i="78"/>
  <c r="A993" i="78"/>
  <c r="A992" i="78"/>
  <c r="A991" i="78"/>
  <c r="A990" i="78"/>
  <c r="A989" i="78"/>
  <c r="A988" i="78"/>
  <c r="A987" i="78"/>
  <c r="A986" i="78"/>
  <c r="A985" i="78"/>
  <c r="A984" i="78"/>
  <c r="A983" i="78"/>
  <c r="A982" i="78"/>
  <c r="A981" i="78"/>
  <c r="A980" i="78"/>
  <c r="A979" i="78"/>
  <c r="A978" i="78"/>
  <c r="A977" i="78"/>
  <c r="A976" i="78"/>
  <c r="A975" i="78"/>
  <c r="A974" i="78"/>
  <c r="A973" i="78"/>
  <c r="A972" i="78"/>
  <c r="A971" i="78"/>
  <c r="A970" i="78"/>
  <c r="A969" i="78"/>
  <c r="A968" i="78"/>
  <c r="A967" i="78"/>
  <c r="A966" i="78"/>
  <c r="A965" i="78"/>
  <c r="A964" i="78"/>
  <c r="A963" i="78"/>
  <c r="A962" i="78"/>
  <c r="A961" i="78"/>
  <c r="A960" i="78"/>
  <c r="A959" i="78"/>
  <c r="A958" i="78"/>
  <c r="A957" i="78"/>
  <c r="A956" i="78"/>
  <c r="A955" i="78"/>
  <c r="A954" i="78"/>
  <c r="A953" i="78"/>
  <c r="A952" i="78"/>
  <c r="A951" i="78"/>
  <c r="A950" i="78"/>
  <c r="A949" i="78"/>
  <c r="A948" i="78"/>
  <c r="A947" i="78"/>
  <c r="A946" i="78"/>
  <c r="A945" i="78"/>
  <c r="A944" i="78"/>
  <c r="A943" i="78"/>
  <c r="A942" i="78"/>
  <c r="A941" i="78"/>
  <c r="A940" i="78"/>
  <c r="A939" i="78"/>
  <c r="A938" i="78"/>
  <c r="A937" i="78"/>
  <c r="A936" i="78"/>
  <c r="A935" i="78"/>
  <c r="A934" i="78"/>
  <c r="A933" i="78"/>
  <c r="A932" i="78"/>
  <c r="A931" i="78"/>
  <c r="A930" i="78"/>
  <c r="A929" i="78"/>
  <c r="A928" i="78"/>
  <c r="A927" i="78"/>
  <c r="A926" i="78"/>
  <c r="A925" i="78"/>
  <c r="A924" i="78"/>
  <c r="A923" i="78"/>
  <c r="A922" i="78"/>
  <c r="A921" i="78"/>
  <c r="A920" i="78"/>
  <c r="A919" i="78"/>
  <c r="A918" i="78"/>
  <c r="A917" i="78"/>
  <c r="A916" i="78"/>
  <c r="A915" i="78"/>
  <c r="A914" i="78"/>
  <c r="A913" i="78"/>
  <c r="A912" i="78"/>
  <c r="A911" i="78"/>
  <c r="A910" i="78"/>
  <c r="A909" i="78"/>
  <c r="A908" i="78"/>
  <c r="A907" i="78"/>
  <c r="A906" i="78"/>
  <c r="A905" i="78"/>
  <c r="A904" i="78"/>
  <c r="A903" i="78"/>
  <c r="A902" i="78"/>
  <c r="A901" i="78"/>
  <c r="A900" i="78"/>
  <c r="A899" i="78"/>
  <c r="A898" i="78"/>
  <c r="A897" i="78"/>
  <c r="A896" i="78"/>
  <c r="A895" i="78"/>
  <c r="A894" i="78"/>
  <c r="A893" i="78"/>
  <c r="A892" i="78"/>
  <c r="A891" i="78"/>
  <c r="A890" i="78"/>
  <c r="A889" i="78"/>
  <c r="A888" i="78"/>
  <c r="A887" i="78"/>
  <c r="A886" i="78"/>
  <c r="A885" i="78"/>
  <c r="A884" i="78"/>
  <c r="A883" i="78"/>
  <c r="A882" i="78"/>
  <c r="A881" i="78"/>
  <c r="A880" i="78"/>
  <c r="A879" i="78"/>
  <c r="A878" i="78"/>
  <c r="A877" i="78"/>
  <c r="A876" i="78"/>
  <c r="A875" i="78"/>
  <c r="A874" i="78"/>
  <c r="A873" i="78"/>
  <c r="A872" i="78"/>
  <c r="A871" i="78"/>
  <c r="A870" i="78"/>
  <c r="A869" i="78"/>
  <c r="A868" i="78"/>
  <c r="A867" i="78"/>
  <c r="A866" i="78"/>
  <c r="A865" i="78"/>
  <c r="A864" i="78"/>
  <c r="A863" i="78"/>
  <c r="A862" i="78"/>
  <c r="A861" i="78"/>
  <c r="A860" i="78"/>
  <c r="A859" i="78"/>
  <c r="A858" i="78"/>
  <c r="A857" i="78"/>
  <c r="A856" i="78"/>
  <c r="A855" i="78"/>
  <c r="A854" i="78"/>
  <c r="A853" i="78"/>
  <c r="A852" i="78"/>
  <c r="A851" i="78"/>
  <c r="A850" i="78"/>
  <c r="A849" i="78"/>
  <c r="A848" i="78"/>
  <c r="A847" i="78"/>
  <c r="A846" i="78"/>
  <c r="A845" i="78"/>
  <c r="A844" i="78"/>
  <c r="A843" i="78"/>
  <c r="A842" i="78"/>
  <c r="A841" i="78"/>
  <c r="A840" i="78"/>
  <c r="A839" i="78"/>
  <c r="A838" i="78"/>
  <c r="A837" i="78"/>
  <c r="A836" i="78"/>
  <c r="A835" i="78"/>
  <c r="A834" i="78"/>
  <c r="A833" i="78"/>
  <c r="A832" i="78"/>
  <c r="A831" i="78"/>
  <c r="A830" i="78"/>
  <c r="A829" i="78"/>
  <c r="A828" i="78"/>
  <c r="A827" i="78"/>
  <c r="A826" i="78"/>
  <c r="A825" i="78"/>
  <c r="A824" i="78"/>
  <c r="A823" i="78"/>
  <c r="A822" i="78"/>
  <c r="A821" i="78"/>
  <c r="A820" i="78"/>
  <c r="A819" i="78"/>
  <c r="A818" i="78"/>
  <c r="A817" i="78"/>
  <c r="A816" i="78"/>
  <c r="A815" i="78"/>
  <c r="A814" i="78"/>
  <c r="A813" i="78"/>
  <c r="A812" i="78"/>
  <c r="A811" i="78"/>
  <c r="A810" i="78"/>
  <c r="A809" i="78"/>
  <c r="A808" i="78"/>
  <c r="A807" i="78"/>
  <c r="A806" i="78"/>
  <c r="A805" i="78"/>
  <c r="A804" i="78"/>
  <c r="A803" i="78"/>
  <c r="A802" i="78"/>
  <c r="A801" i="78"/>
  <c r="A800" i="78"/>
  <c r="A799" i="78"/>
  <c r="A798" i="78"/>
  <c r="A797" i="78"/>
  <c r="A796" i="78"/>
  <c r="A795" i="78"/>
  <c r="A794" i="78"/>
  <c r="A793" i="78"/>
  <c r="A792" i="78"/>
  <c r="A791" i="78"/>
  <c r="A790" i="78"/>
  <c r="A789" i="78"/>
  <c r="A788" i="78"/>
  <c r="A787" i="78"/>
  <c r="A786" i="78"/>
  <c r="A785" i="78"/>
  <c r="A784" i="78"/>
  <c r="A783" i="78"/>
  <c r="A782" i="78"/>
  <c r="A781" i="78"/>
  <c r="A780" i="78"/>
  <c r="A779" i="78"/>
  <c r="A778" i="78"/>
  <c r="A777" i="78"/>
  <c r="A776" i="78"/>
  <c r="A775" i="78"/>
  <c r="A774" i="78"/>
  <c r="A773" i="78"/>
  <c r="A772" i="78"/>
  <c r="A771" i="78"/>
  <c r="A770" i="78"/>
  <c r="A769" i="78"/>
  <c r="A768" i="78"/>
  <c r="A767" i="78"/>
  <c r="A766" i="78"/>
  <c r="A765" i="78"/>
  <c r="A764" i="78"/>
  <c r="A763" i="78"/>
  <c r="A762" i="78"/>
  <c r="A761" i="78"/>
  <c r="A760" i="78"/>
  <c r="A759" i="78"/>
  <c r="A758" i="78"/>
  <c r="A757" i="78"/>
  <c r="A756" i="78"/>
  <c r="A755" i="78"/>
  <c r="A754" i="78"/>
  <c r="A753" i="78"/>
  <c r="A752" i="78"/>
  <c r="A751" i="78"/>
  <c r="A750" i="78"/>
  <c r="A749" i="78"/>
  <c r="A748" i="78"/>
  <c r="A747" i="78"/>
  <c r="A746" i="78"/>
  <c r="A745" i="78"/>
  <c r="A744" i="78"/>
  <c r="A743" i="78"/>
  <c r="A742" i="78"/>
  <c r="A741" i="78"/>
  <c r="A740" i="78"/>
  <c r="A739" i="78"/>
  <c r="A738" i="78"/>
  <c r="A737" i="78"/>
  <c r="A736" i="78"/>
  <c r="A735" i="78"/>
  <c r="A734" i="78"/>
  <c r="A733" i="78"/>
  <c r="A732" i="78"/>
  <c r="A731" i="78"/>
  <c r="A730" i="78"/>
  <c r="A729" i="78"/>
  <c r="A728" i="78"/>
  <c r="A727" i="78"/>
  <c r="A726" i="78"/>
  <c r="A725" i="78"/>
  <c r="A724" i="78"/>
  <c r="A723" i="78"/>
  <c r="A722" i="78"/>
  <c r="A721" i="78"/>
  <c r="A720" i="78"/>
  <c r="A719" i="78"/>
  <c r="A718" i="78"/>
  <c r="A717" i="78"/>
  <c r="A716" i="78"/>
  <c r="A715" i="78"/>
  <c r="A714" i="78"/>
  <c r="A713" i="78"/>
  <c r="A712" i="78"/>
  <c r="A711" i="78"/>
  <c r="A710" i="78"/>
  <c r="A709" i="78"/>
  <c r="A708" i="78"/>
  <c r="A707" i="78"/>
  <c r="A706" i="78"/>
  <c r="A705" i="78"/>
  <c r="A704" i="78"/>
  <c r="A703" i="78"/>
  <c r="A702" i="78"/>
  <c r="A701" i="78"/>
  <c r="A700" i="78"/>
  <c r="A699" i="78"/>
  <c r="A698" i="78"/>
  <c r="A697" i="78"/>
  <c r="A696" i="78"/>
  <c r="A695" i="78"/>
  <c r="A694" i="78"/>
  <c r="A693" i="78"/>
  <c r="A692" i="78"/>
  <c r="A691" i="78"/>
  <c r="A690" i="78"/>
  <c r="A689" i="78"/>
  <c r="A688" i="78"/>
  <c r="A687" i="78"/>
  <c r="A686" i="78"/>
  <c r="A685" i="78"/>
  <c r="A684" i="78"/>
  <c r="A683" i="78"/>
  <c r="A682" i="78"/>
  <c r="A681" i="78"/>
  <c r="A680" i="78"/>
  <c r="A679" i="78"/>
  <c r="A678" i="78"/>
  <c r="A677" i="78"/>
  <c r="A676" i="78"/>
  <c r="A675" i="78"/>
  <c r="A674" i="78"/>
  <c r="A673" i="78"/>
  <c r="A672" i="78"/>
  <c r="A671" i="78"/>
  <c r="A670" i="78"/>
  <c r="A669" i="78"/>
  <c r="A668" i="78"/>
  <c r="A667" i="78"/>
  <c r="A666" i="78"/>
  <c r="A665" i="78"/>
  <c r="A664" i="78"/>
  <c r="A663" i="78"/>
  <c r="A662" i="78"/>
  <c r="A661" i="78"/>
  <c r="A660" i="78"/>
  <c r="A659" i="78"/>
  <c r="A658" i="78"/>
  <c r="A657" i="78"/>
  <c r="A656" i="78"/>
  <c r="A655" i="78"/>
  <c r="A654" i="78"/>
  <c r="A653" i="78"/>
  <c r="A652" i="78"/>
  <c r="A651" i="78"/>
  <c r="A650" i="78"/>
  <c r="A649" i="78"/>
  <c r="A648" i="78"/>
  <c r="A647" i="78"/>
  <c r="A646" i="78"/>
  <c r="A645" i="78"/>
  <c r="A644" i="78"/>
  <c r="A643" i="78"/>
  <c r="A642" i="78"/>
  <c r="A641" i="78"/>
  <c r="A640" i="78"/>
  <c r="A639" i="78"/>
  <c r="A638" i="78"/>
  <c r="A637" i="78"/>
  <c r="A636" i="78"/>
  <c r="A635" i="78"/>
  <c r="A634" i="78"/>
  <c r="A633" i="78"/>
  <c r="A632" i="78"/>
  <c r="A631" i="78"/>
  <c r="A630" i="78"/>
  <c r="A629" i="78"/>
  <c r="A628" i="78"/>
  <c r="A627" i="78"/>
  <c r="A626" i="78"/>
  <c r="A625" i="78"/>
  <c r="A624" i="78"/>
  <c r="A623" i="78"/>
  <c r="A622" i="78"/>
  <c r="A621" i="78"/>
  <c r="A620" i="78"/>
  <c r="A619" i="78"/>
  <c r="A618" i="78"/>
  <c r="A617" i="78"/>
  <c r="A616" i="78"/>
  <c r="A615" i="78"/>
  <c r="A614" i="78"/>
  <c r="A613" i="78"/>
  <c r="A612" i="78"/>
  <c r="A611" i="78"/>
  <c r="A610" i="78"/>
  <c r="A609" i="78"/>
  <c r="A608" i="78"/>
  <c r="A607" i="78"/>
  <c r="A606" i="78"/>
  <c r="A605" i="78"/>
  <c r="A604" i="78"/>
  <c r="A603" i="78"/>
  <c r="A602" i="78"/>
  <c r="A601" i="78"/>
  <c r="A600" i="78"/>
  <c r="A599" i="78"/>
  <c r="A598" i="78"/>
  <c r="A597" i="78"/>
  <c r="A596" i="78"/>
  <c r="A595" i="78"/>
  <c r="A594" i="78"/>
  <c r="A593" i="78"/>
  <c r="A592" i="78"/>
  <c r="A591" i="78"/>
  <c r="A590" i="78"/>
  <c r="A589" i="78"/>
  <c r="A588" i="78"/>
  <c r="A587" i="78"/>
  <c r="A586" i="78"/>
  <c r="A585" i="78"/>
  <c r="A584" i="78"/>
  <c r="A583" i="78"/>
  <c r="A582" i="78"/>
  <c r="A581" i="78"/>
  <c r="A580" i="78"/>
  <c r="A579" i="78"/>
  <c r="A578" i="78"/>
  <c r="A577" i="78"/>
  <c r="A576" i="78"/>
  <c r="A575" i="78"/>
  <c r="A574" i="78"/>
  <c r="A573" i="78"/>
  <c r="A572" i="78"/>
  <c r="A571" i="78"/>
  <c r="A570" i="78"/>
  <c r="A569" i="78"/>
  <c r="A568" i="78"/>
  <c r="A567" i="78"/>
  <c r="A566" i="78"/>
  <c r="A565" i="78"/>
  <c r="A564" i="78"/>
  <c r="A563" i="78"/>
  <c r="A562" i="78"/>
  <c r="A561" i="78"/>
  <c r="A560" i="78"/>
  <c r="A559" i="78"/>
  <c r="A558" i="78"/>
  <c r="A557" i="78"/>
  <c r="A556" i="78"/>
  <c r="A555" i="78"/>
  <c r="A554" i="78"/>
  <c r="A553" i="78"/>
  <c r="A552" i="78"/>
  <c r="A551" i="78"/>
  <c r="A550" i="78"/>
  <c r="A549" i="78"/>
  <c r="A548" i="78"/>
  <c r="A547" i="78"/>
  <c r="A546" i="78"/>
  <c r="A545" i="78"/>
  <c r="A544" i="78"/>
  <c r="A543" i="78"/>
  <c r="A542" i="78"/>
  <c r="A541" i="78"/>
  <c r="A540" i="78"/>
  <c r="A539" i="78"/>
  <c r="A538" i="78"/>
  <c r="A537" i="78"/>
  <c r="A536" i="78"/>
  <c r="A535" i="78"/>
  <c r="A534" i="78"/>
  <c r="A533" i="78"/>
  <c r="A532" i="78"/>
  <c r="A531" i="78"/>
  <c r="A530" i="78"/>
  <c r="A529" i="78"/>
  <c r="A528" i="78"/>
  <c r="A527" i="78"/>
  <c r="A526" i="78"/>
  <c r="A525" i="78"/>
  <c r="A524" i="78"/>
  <c r="A523" i="78"/>
  <c r="A522" i="78"/>
  <c r="A521" i="78"/>
  <c r="A520" i="78"/>
  <c r="A519" i="78"/>
  <c r="A518" i="78"/>
  <c r="A517" i="78"/>
  <c r="A516" i="78"/>
  <c r="A515" i="78"/>
  <c r="A514" i="78"/>
  <c r="A513" i="78"/>
  <c r="A512" i="78"/>
  <c r="A511" i="78"/>
  <c r="A510" i="78"/>
  <c r="A509" i="78"/>
  <c r="A508" i="78"/>
  <c r="A507" i="78"/>
  <c r="A506" i="78"/>
  <c r="A505" i="78"/>
  <c r="A504" i="78"/>
  <c r="A503" i="78"/>
  <c r="A502" i="78"/>
  <c r="A501" i="78"/>
  <c r="A500" i="78"/>
  <c r="A499" i="78"/>
  <c r="A498" i="78"/>
  <c r="A497" i="78"/>
  <c r="A496" i="78"/>
  <c r="A495" i="78"/>
  <c r="A494" i="78"/>
  <c r="A493" i="78"/>
  <c r="A492" i="78"/>
  <c r="A491" i="78"/>
  <c r="A490" i="78"/>
  <c r="A489" i="78"/>
  <c r="A488" i="78"/>
  <c r="A487" i="78"/>
  <c r="A486" i="78"/>
  <c r="A485" i="78"/>
  <c r="A484" i="78"/>
  <c r="A483" i="78"/>
  <c r="A482" i="78"/>
  <c r="A481" i="78"/>
  <c r="A480" i="78"/>
  <c r="A479" i="78"/>
  <c r="A478" i="78"/>
  <c r="A477" i="78"/>
  <c r="A476" i="78"/>
  <c r="A475" i="78"/>
  <c r="A474" i="78"/>
  <c r="A473" i="78"/>
  <c r="A472" i="78"/>
  <c r="A471" i="78"/>
  <c r="A470" i="78"/>
  <c r="A469" i="78"/>
  <c r="A468" i="78"/>
  <c r="A467" i="78"/>
  <c r="A466" i="78"/>
  <c r="A465" i="78"/>
  <c r="A464" i="78"/>
  <c r="A463" i="78"/>
  <c r="A462" i="78"/>
  <c r="A461" i="78"/>
  <c r="A460" i="78"/>
  <c r="A459" i="78"/>
  <c r="A458" i="78"/>
  <c r="A457" i="78"/>
  <c r="A456" i="78"/>
  <c r="A455" i="78"/>
  <c r="A454" i="78"/>
  <c r="A453" i="78"/>
  <c r="A452" i="78"/>
  <c r="A451" i="78"/>
  <c r="A450" i="78"/>
  <c r="A449" i="78"/>
  <c r="A448" i="78"/>
  <c r="A447" i="78"/>
  <c r="A446" i="78"/>
  <c r="A445" i="78"/>
  <c r="A444" i="78"/>
  <c r="A443" i="78"/>
  <c r="A442" i="78"/>
  <c r="A441" i="78"/>
  <c r="A440" i="78"/>
  <c r="A439" i="78"/>
  <c r="A438" i="78"/>
  <c r="A437" i="78"/>
  <c r="A436" i="78"/>
  <c r="A435" i="78"/>
  <c r="A434" i="78"/>
  <c r="A433" i="78"/>
  <c r="A432" i="78"/>
  <c r="A431" i="78"/>
  <c r="A430" i="78"/>
  <c r="A429" i="78"/>
  <c r="A428" i="78"/>
  <c r="A427" i="78"/>
  <c r="A426" i="78"/>
  <c r="A425" i="78"/>
  <c r="A424" i="78"/>
  <c r="A423" i="78"/>
  <c r="A422" i="78"/>
  <c r="A421" i="78"/>
  <c r="A420" i="78"/>
  <c r="A419" i="78"/>
  <c r="A418" i="78"/>
  <c r="A417" i="78"/>
  <c r="A416" i="78"/>
  <c r="A415" i="78"/>
  <c r="A414" i="78"/>
  <c r="A413" i="78"/>
  <c r="A412" i="78"/>
  <c r="A411" i="78"/>
  <c r="A410" i="78"/>
  <c r="A409" i="78"/>
  <c r="A408" i="78"/>
  <c r="A407" i="78"/>
  <c r="A406" i="78"/>
  <c r="A405" i="78"/>
  <c r="A404" i="78"/>
  <c r="A403" i="78"/>
  <c r="A402" i="78"/>
  <c r="A401" i="78"/>
  <c r="A400" i="78"/>
  <c r="A399" i="78"/>
  <c r="A398" i="78"/>
  <c r="A397" i="78"/>
  <c r="A396" i="78"/>
  <c r="A395" i="78"/>
  <c r="A394" i="78"/>
  <c r="A393" i="78"/>
  <c r="A392" i="78"/>
  <c r="A391" i="78"/>
  <c r="A390" i="78"/>
  <c r="A389" i="78"/>
  <c r="A388" i="78"/>
  <c r="A387" i="78"/>
  <c r="A386" i="78"/>
  <c r="A385" i="78"/>
  <c r="A384" i="78"/>
  <c r="A383" i="78"/>
  <c r="A382" i="78"/>
  <c r="A381" i="78"/>
  <c r="A380" i="78"/>
  <c r="A379" i="78"/>
  <c r="A378" i="78"/>
  <c r="A377" i="78"/>
  <c r="A376" i="78"/>
  <c r="A375" i="78"/>
  <c r="A374" i="78"/>
  <c r="A373" i="78"/>
  <c r="A372" i="78"/>
  <c r="A371" i="78"/>
  <c r="A370" i="78"/>
  <c r="A369" i="78"/>
  <c r="A368" i="78"/>
  <c r="A367" i="78"/>
  <c r="A366" i="78"/>
  <c r="A365" i="78"/>
  <c r="A364" i="78"/>
  <c r="A363" i="78"/>
  <c r="A362" i="78"/>
  <c r="A361" i="78"/>
  <c r="A360" i="78"/>
  <c r="A359" i="78"/>
  <c r="A358" i="78"/>
  <c r="A357" i="78"/>
  <c r="A356" i="78"/>
  <c r="A355" i="78"/>
  <c r="A354" i="78"/>
  <c r="A353" i="78"/>
  <c r="A352" i="78"/>
  <c r="A351" i="78"/>
  <c r="A350" i="78"/>
  <c r="A349" i="78"/>
  <c r="A348" i="78"/>
  <c r="A347" i="78"/>
  <c r="A346" i="78"/>
  <c r="A345" i="78"/>
  <c r="A344" i="78"/>
  <c r="A343" i="78"/>
  <c r="A342" i="78"/>
  <c r="A341" i="78"/>
  <c r="A340" i="78"/>
  <c r="A339" i="78"/>
  <c r="A338" i="78"/>
  <c r="A337" i="78"/>
  <c r="A336" i="78"/>
  <c r="A335" i="78"/>
  <c r="A334" i="78"/>
  <c r="A333" i="78"/>
  <c r="A332" i="78"/>
  <c r="A331" i="78"/>
  <c r="A330" i="78"/>
  <c r="A329" i="78"/>
  <c r="A328" i="78"/>
  <c r="A327" i="78"/>
  <c r="A326" i="78"/>
  <c r="A325" i="78"/>
  <c r="A324" i="78"/>
  <c r="A323" i="78"/>
  <c r="A322" i="78"/>
  <c r="A321" i="78"/>
  <c r="A320" i="78"/>
  <c r="A319" i="78"/>
  <c r="A318" i="78"/>
  <c r="A317" i="78"/>
  <c r="A316" i="78"/>
  <c r="A315" i="78"/>
  <c r="A314" i="78"/>
  <c r="A313" i="78"/>
  <c r="A312" i="78"/>
  <c r="A311" i="78"/>
  <c r="A310" i="78"/>
  <c r="A309" i="78"/>
  <c r="A308" i="78"/>
  <c r="A307" i="78"/>
  <c r="A306" i="78"/>
  <c r="A305" i="78"/>
  <c r="A304" i="78"/>
  <c r="A303" i="78"/>
  <c r="A302" i="78"/>
  <c r="A301" i="78"/>
  <c r="A300" i="78"/>
  <c r="A299" i="78"/>
  <c r="A298" i="78"/>
  <c r="A297" i="78"/>
  <c r="A296" i="78"/>
  <c r="A295" i="78"/>
  <c r="A294" i="78"/>
  <c r="A293" i="78"/>
  <c r="A292" i="78"/>
  <c r="A291" i="78"/>
  <c r="A290" i="78"/>
  <c r="A289" i="78"/>
  <c r="A288" i="78"/>
  <c r="A287" i="78"/>
  <c r="A286" i="78"/>
  <c r="A285" i="78"/>
  <c r="A284" i="78"/>
  <c r="A283" i="78"/>
  <c r="A282" i="78"/>
  <c r="A281" i="78"/>
  <c r="A280" i="78"/>
  <c r="A279" i="78"/>
  <c r="A278" i="78"/>
  <c r="A277" i="78"/>
  <c r="A276" i="78"/>
  <c r="A275" i="78"/>
  <c r="A274" i="78"/>
  <c r="A273" i="78"/>
  <c r="A272" i="78"/>
  <c r="A271" i="78"/>
  <c r="A270" i="78"/>
  <c r="A269" i="78"/>
  <c r="A268" i="78"/>
  <c r="A267" i="78"/>
  <c r="A266" i="78"/>
  <c r="A265" i="78"/>
  <c r="A264" i="78"/>
  <c r="A263" i="78"/>
  <c r="A262" i="78"/>
  <c r="A261" i="78"/>
  <c r="A260" i="78"/>
  <c r="A259" i="78"/>
  <c r="A258" i="78"/>
  <c r="A257" i="78"/>
  <c r="A256" i="78"/>
  <c r="A255" i="78"/>
  <c r="A254" i="78"/>
  <c r="A253" i="78"/>
  <c r="A252" i="78"/>
  <c r="A251" i="78"/>
  <c r="A250" i="78"/>
  <c r="A249" i="78"/>
  <c r="A248" i="78"/>
  <c r="A247" i="78"/>
  <c r="A246" i="78"/>
  <c r="A245" i="78"/>
  <c r="A244" i="78"/>
  <c r="A243" i="78"/>
  <c r="A242" i="78"/>
  <c r="A241" i="78"/>
  <c r="A240" i="78"/>
  <c r="A239" i="78"/>
  <c r="A238" i="78"/>
  <c r="A237" i="78"/>
  <c r="A236" i="78"/>
  <c r="A235" i="78"/>
  <c r="A234" i="78"/>
  <c r="A233" i="78"/>
  <c r="A232" i="78"/>
  <c r="A231" i="78"/>
  <c r="A230" i="78"/>
  <c r="A229" i="78"/>
  <c r="A228" i="78"/>
  <c r="A227" i="78"/>
  <c r="A226" i="78"/>
  <c r="A225" i="78"/>
  <c r="A224" i="78"/>
  <c r="A223" i="78"/>
  <c r="A222" i="78"/>
  <c r="A221" i="78"/>
  <c r="A220" i="78"/>
  <c r="A219" i="78"/>
  <c r="A218" i="78"/>
  <c r="A217" i="78"/>
  <c r="A216" i="78"/>
  <c r="A215" i="78"/>
  <c r="A214" i="78"/>
  <c r="A213" i="78"/>
  <c r="A212" i="78"/>
  <c r="A211" i="78"/>
  <c r="A210" i="78"/>
  <c r="A209" i="78"/>
  <c r="A208" i="78"/>
  <c r="A207" i="78"/>
  <c r="A206" i="78"/>
  <c r="A205" i="78"/>
  <c r="A204" i="78"/>
  <c r="A203" i="78"/>
  <c r="A202" i="78"/>
  <c r="A201" i="78"/>
  <c r="A200" i="78"/>
  <c r="A199" i="78"/>
  <c r="A198" i="78"/>
  <c r="A197" i="78"/>
  <c r="A196" i="78"/>
  <c r="A195" i="78"/>
  <c r="A194" i="78"/>
  <c r="A193" i="78"/>
  <c r="A192" i="78"/>
  <c r="A191" i="78"/>
  <c r="A190" i="78"/>
  <c r="A189" i="78"/>
  <c r="A188" i="78"/>
  <c r="A187" i="78"/>
  <c r="A186" i="78"/>
  <c r="A185" i="78"/>
  <c r="A184" i="78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9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104" i="78"/>
  <c r="A103" i="78"/>
  <c r="A102" i="78"/>
  <c r="A101" i="78"/>
  <c r="A100" i="78"/>
  <c r="A99" i="78"/>
  <c r="A98" i="78"/>
  <c r="A97" i="78"/>
  <c r="A96" i="78"/>
  <c r="A95" i="78"/>
  <c r="A94" i="78"/>
  <c r="A93" i="78"/>
  <c r="A92" i="78"/>
  <c r="E1312" i="78"/>
  <c r="C1312" i="78"/>
  <c r="D1312" i="78"/>
  <c r="B1312" i="78"/>
  <c r="C1311" i="78"/>
  <c r="D1311" i="78"/>
  <c r="B1311" i="78"/>
  <c r="E1311" i="78"/>
  <c r="B1309" i="78"/>
  <c r="C1308" i="78"/>
  <c r="D1307" i="78"/>
  <c r="E1306" i="78"/>
  <c r="B1306" i="78"/>
  <c r="D1304" i="78"/>
  <c r="B1305" i="78"/>
  <c r="D1309" i="78"/>
  <c r="B1310" i="78"/>
  <c r="B1308" i="78"/>
  <c r="C1307" i="78"/>
  <c r="D1306" i="78"/>
  <c r="E1305" i="78"/>
  <c r="E1307" i="78"/>
  <c r="B1307" i="78"/>
  <c r="C1306" i="78"/>
  <c r="D1305" i="78"/>
  <c r="E1304" i="78"/>
  <c r="C1305" i="78"/>
  <c r="C1304" i="78"/>
  <c r="B1304" i="78"/>
  <c r="E1309" i="78"/>
  <c r="C1310" i="78"/>
  <c r="C1309" i="78"/>
  <c r="E1310" i="78"/>
  <c r="D1310" i="78"/>
  <c r="E1308" i="78"/>
  <c r="D1308" i="78"/>
  <c r="B1302" i="78"/>
  <c r="C1301" i="78"/>
  <c r="D1300" i="78"/>
  <c r="E1299" i="78"/>
  <c r="B1301" i="78"/>
  <c r="C1300" i="78"/>
  <c r="D1299" i="78"/>
  <c r="E1301" i="78"/>
  <c r="D1301" i="78"/>
  <c r="B1300" i="78"/>
  <c r="C1299" i="78"/>
  <c r="E1300" i="78"/>
  <c r="B1299" i="78"/>
  <c r="E1302" i="78"/>
  <c r="D1302" i="78"/>
  <c r="B1303" i="78"/>
  <c r="E1303" i="78"/>
  <c r="D1303" i="78"/>
  <c r="C1303" i="78"/>
  <c r="C1302" i="78"/>
  <c r="B1297" i="78"/>
  <c r="C1296" i="78"/>
  <c r="D1295" i="78"/>
  <c r="E1294" i="78"/>
  <c r="E1295" i="78"/>
  <c r="B1296" i="78"/>
  <c r="C1295" i="78"/>
  <c r="D1294" i="78"/>
  <c r="E1293" i="78"/>
  <c r="B1291" i="78"/>
  <c r="D1289" i="78"/>
  <c r="B1290" i="78"/>
  <c r="D1296" i="78"/>
  <c r="B1295" i="78"/>
  <c r="C1294" i="78"/>
  <c r="D1293" i="78"/>
  <c r="E1292" i="78"/>
  <c r="E1288" i="78"/>
  <c r="C1289" i="78"/>
  <c r="C1297" i="78"/>
  <c r="B1294" i="78"/>
  <c r="C1293" i="78"/>
  <c r="D1292" i="78"/>
  <c r="E1291" i="78"/>
  <c r="D1288" i="78"/>
  <c r="B1293" i="78"/>
  <c r="C1292" i="78"/>
  <c r="D1291" i="78"/>
  <c r="E1290" i="78"/>
  <c r="B1292" i="78"/>
  <c r="C1291" i="78"/>
  <c r="D1290" i="78"/>
  <c r="E1289" i="78"/>
  <c r="C1290" i="78"/>
  <c r="E1298" i="78"/>
  <c r="B1289" i="78"/>
  <c r="C1288" i="78"/>
  <c r="D1298" i="78"/>
  <c r="E1297" i="78"/>
  <c r="B1288" i="78"/>
  <c r="C1298" i="78"/>
  <c r="D1297" i="78"/>
  <c r="E1296" i="78"/>
  <c r="B1298" i="78"/>
  <c r="C1284" i="78"/>
  <c r="E1283" i="78"/>
  <c r="C1278" i="78"/>
  <c r="E1277" i="78"/>
  <c r="C1272" i="78"/>
  <c r="E1271" i="78"/>
  <c r="C1266" i="78"/>
  <c r="E1265" i="78"/>
  <c r="C1260" i="78"/>
  <c r="E1259" i="78"/>
  <c r="C1254" i="78"/>
  <c r="E1253" i="78"/>
  <c r="C1248" i="78"/>
  <c r="E1247" i="78"/>
  <c r="B1284" i="78"/>
  <c r="D1283" i="78"/>
  <c r="B1278" i="78"/>
  <c r="D1277" i="78"/>
  <c r="B1272" i="78"/>
  <c r="D1271" i="78"/>
  <c r="B1266" i="78"/>
  <c r="D1265" i="78"/>
  <c r="C1283" i="78"/>
  <c r="E1282" i="78"/>
  <c r="C1277" i="78"/>
  <c r="E1276" i="78"/>
  <c r="C1271" i="78"/>
  <c r="E1270" i="78"/>
  <c r="C1265" i="78"/>
  <c r="E1264" i="78"/>
  <c r="C1259" i="78"/>
  <c r="E1258" i="78"/>
  <c r="C1253" i="78"/>
  <c r="E1252" i="78"/>
  <c r="C1247" i="78"/>
  <c r="E1246" i="78"/>
  <c r="C1241" i="78"/>
  <c r="E1240" i="78"/>
  <c r="C1235" i="78"/>
  <c r="E1234" i="78"/>
  <c r="B1283" i="78"/>
  <c r="D1282" i="78"/>
  <c r="B1277" i="78"/>
  <c r="D1276" i="78"/>
  <c r="E1287" i="78"/>
  <c r="D1287" i="78"/>
  <c r="B1282" i="78"/>
  <c r="D1281" i="78"/>
  <c r="B1276" i="78"/>
  <c r="D1275" i="78"/>
  <c r="B1270" i="78"/>
  <c r="D1269" i="78"/>
  <c r="B1264" i="78"/>
  <c r="D1263" i="78"/>
  <c r="B1258" i="78"/>
  <c r="D1257" i="78"/>
  <c r="B1252" i="78"/>
  <c r="D1251" i="78"/>
  <c r="B1246" i="78"/>
  <c r="D1245" i="78"/>
  <c r="B1240" i="78"/>
  <c r="D1239" i="78"/>
  <c r="B1234" i="78"/>
  <c r="D1233" i="78"/>
  <c r="B1228" i="78"/>
  <c r="D1227" i="78"/>
  <c r="B1222" i="78"/>
  <c r="D1221" i="78"/>
  <c r="B1216" i="78"/>
  <c r="D1215" i="78"/>
  <c r="B1210" i="78"/>
  <c r="D1209" i="78"/>
  <c r="B1204" i="78"/>
  <c r="D1203" i="78"/>
  <c r="B1198" i="78"/>
  <c r="D1197" i="78"/>
  <c r="C1287" i="78"/>
  <c r="B1287" i="78"/>
  <c r="B1280" i="78"/>
  <c r="E1273" i="78"/>
  <c r="D1272" i="78"/>
  <c r="E1268" i="78"/>
  <c r="C1267" i="78"/>
  <c r="C1262" i="78"/>
  <c r="B1261" i="78"/>
  <c r="D1252" i="78"/>
  <c r="B1251" i="78"/>
  <c r="E1243" i="78"/>
  <c r="E1242" i="78"/>
  <c r="E1239" i="78"/>
  <c r="D1238" i="78"/>
  <c r="D1237" i="78"/>
  <c r="D1236" i="78"/>
  <c r="E1235" i="78"/>
  <c r="D1234" i="78"/>
  <c r="C1233" i="78"/>
  <c r="D1232" i="78"/>
  <c r="E1231" i="78"/>
  <c r="B1220" i="78"/>
  <c r="C1219" i="78"/>
  <c r="D1218" i="78"/>
  <c r="E1217" i="78"/>
  <c r="B1206" i="78"/>
  <c r="C1205" i="78"/>
  <c r="D1204" i="78"/>
  <c r="E1203" i="78"/>
  <c r="E1202" i="78"/>
  <c r="B1192" i="78"/>
  <c r="D1191" i="78"/>
  <c r="B1186" i="78"/>
  <c r="D1185" i="78"/>
  <c r="B1180" i="78"/>
  <c r="D1179" i="78"/>
  <c r="B1174" i="78"/>
  <c r="D1173" i="78"/>
  <c r="B1168" i="78"/>
  <c r="D1167" i="78"/>
  <c r="E1284" i="78"/>
  <c r="E1281" i="78"/>
  <c r="D1273" i="78"/>
  <c r="D1268" i="78"/>
  <c r="B1267" i="78"/>
  <c r="E1263" i="78"/>
  <c r="B1262" i="78"/>
  <c r="C1252" i="78"/>
  <c r="E1244" i="78"/>
  <c r="D1243" i="78"/>
  <c r="D1242" i="78"/>
  <c r="E1241" i="78"/>
  <c r="D1240" i="78"/>
  <c r="C1239" i="78"/>
  <c r="C1238" i="78"/>
  <c r="C1237" i="78"/>
  <c r="C1236" i="78"/>
  <c r="D1235" i="78"/>
  <c r="C1234" i="78"/>
  <c r="B1233" i="78"/>
  <c r="C1232" i="78"/>
  <c r="D1231" i="78"/>
  <c r="E1230" i="78"/>
  <c r="B1219" i="78"/>
  <c r="C1218" i="78"/>
  <c r="D1217" i="78"/>
  <c r="E1216" i="78"/>
  <c r="B1205" i="78"/>
  <c r="C1204" i="78"/>
  <c r="C1203" i="78"/>
  <c r="D1202" i="78"/>
  <c r="E1201" i="78"/>
  <c r="C1191" i="78"/>
  <c r="E1190" i="78"/>
  <c r="C1185" i="78"/>
  <c r="E1184" i="78"/>
  <c r="C1179" i="78"/>
  <c r="E1178" i="78"/>
  <c r="C1173" i="78"/>
  <c r="E1172" i="78"/>
  <c r="D1284" i="78"/>
  <c r="C1281" i="78"/>
  <c r="E1274" i="78"/>
  <c r="C1273" i="78"/>
  <c r="C1268" i="78"/>
  <c r="C1263" i="78"/>
  <c r="E1255" i="78"/>
  <c r="E1254" i="78"/>
  <c r="D1253" i="78"/>
  <c r="D1244" i="78"/>
  <c r="C1243" i="78"/>
  <c r="C1242" i="78"/>
  <c r="D1241" i="78"/>
  <c r="C1240" i="78"/>
  <c r="B1239" i="78"/>
  <c r="B1238" i="78"/>
  <c r="B1237" i="78"/>
  <c r="B1236" i="78"/>
  <c r="B1235" i="78"/>
  <c r="B1232" i="78"/>
  <c r="C1231" i="78"/>
  <c r="D1230" i="78"/>
  <c r="E1229" i="78"/>
  <c r="B1218" i="78"/>
  <c r="C1217" i="78"/>
  <c r="D1216" i="78"/>
  <c r="E1215" i="78"/>
  <c r="E1214" i="78"/>
  <c r="B1203" i="78"/>
  <c r="C1202" i="78"/>
  <c r="D1201" i="78"/>
  <c r="E1200" i="78"/>
  <c r="B1191" i="78"/>
  <c r="D1190" i="78"/>
  <c r="B1185" i="78"/>
  <c r="D1184" i="78"/>
  <c r="B1179" i="78"/>
  <c r="D1178" i="78"/>
  <c r="B1173" i="78"/>
  <c r="D1172" i="78"/>
  <c r="B1167" i="78"/>
  <c r="E1285" i="78"/>
  <c r="B1281" i="78"/>
  <c r="D1274" i="78"/>
  <c r="B1273" i="78"/>
  <c r="E1269" i="78"/>
  <c r="B1268" i="78"/>
  <c r="B1263" i="78"/>
  <c r="E1256" i="78"/>
  <c r="D1255" i="78"/>
  <c r="D1254" i="78"/>
  <c r="B1253" i="78"/>
  <c r="E1245" i="78"/>
  <c r="C1244" i="78"/>
  <c r="B1243" i="78"/>
  <c r="B1242" i="78"/>
  <c r="B1241" i="78"/>
  <c r="B1231" i="78"/>
  <c r="C1230" i="78"/>
  <c r="D1229" i="78"/>
  <c r="E1228" i="78"/>
  <c r="B1217" i="78"/>
  <c r="C1216" i="78"/>
  <c r="C1215" i="78"/>
  <c r="D1214" i="78"/>
  <c r="E1213" i="78"/>
  <c r="B1202" i="78"/>
  <c r="C1201" i="78"/>
  <c r="D1200" i="78"/>
  <c r="E1199" i="78"/>
  <c r="C1190" i="78"/>
  <c r="E1189" i="78"/>
  <c r="C1184" i="78"/>
  <c r="E1183" i="78"/>
  <c r="E1286" i="78"/>
  <c r="B1285" i="78"/>
  <c r="C1282" i="78"/>
  <c r="E1279" i="78"/>
  <c r="C1275" i="78"/>
  <c r="D1270" i="78"/>
  <c r="C1257" i="78"/>
  <c r="B1256" i="78"/>
  <c r="C1246" i="78"/>
  <c r="B1227" i="78"/>
  <c r="C1226" i="78"/>
  <c r="D1225" i="78"/>
  <c r="E1224" i="78"/>
  <c r="B1213" i="78"/>
  <c r="C1212" i="78"/>
  <c r="D1211" i="78"/>
  <c r="E1210" i="78"/>
  <c r="B1199" i="78"/>
  <c r="C1198" i="78"/>
  <c r="C1197" i="78"/>
  <c r="D1196" i="78"/>
  <c r="E1195" i="78"/>
  <c r="B1189" i="78"/>
  <c r="D1188" i="78"/>
  <c r="D1286" i="78"/>
  <c r="E1275" i="78"/>
  <c r="C1269" i="78"/>
  <c r="B1260" i="78"/>
  <c r="C1258" i="78"/>
  <c r="C1256" i="78"/>
  <c r="D1249" i="78"/>
  <c r="E1237" i="78"/>
  <c r="C1228" i="78"/>
  <c r="B1225" i="78"/>
  <c r="E1211" i="78"/>
  <c r="C1208" i="78"/>
  <c r="E1205" i="78"/>
  <c r="D1199" i="78"/>
  <c r="B1196" i="78"/>
  <c r="B1193" i="78"/>
  <c r="D1186" i="78"/>
  <c r="D1181" i="78"/>
  <c r="B1172" i="78"/>
  <c r="B1171" i="78"/>
  <c r="B1170" i="78"/>
  <c r="B1169" i="78"/>
  <c r="B1165" i="78"/>
  <c r="D1164" i="78"/>
  <c r="B1159" i="78"/>
  <c r="D1158" i="78"/>
  <c r="B1153" i="78"/>
  <c r="D1152" i="78"/>
  <c r="B1147" i="78"/>
  <c r="D1146" i="78"/>
  <c r="B1141" i="78"/>
  <c r="D1140" i="78"/>
  <c r="B1135" i="78"/>
  <c r="D1134" i="78"/>
  <c r="B1129" i="78"/>
  <c r="D1128" i="78"/>
  <c r="B1275" i="78"/>
  <c r="B1269" i="78"/>
  <c r="E1267" i="78"/>
  <c r="C1249" i="78"/>
  <c r="D1247" i="78"/>
  <c r="C1245" i="78"/>
  <c r="E1223" i="78"/>
  <c r="E1220" i="78"/>
  <c r="C1214" i="78"/>
  <c r="C1211" i="78"/>
  <c r="B1208" i="78"/>
  <c r="D1205" i="78"/>
  <c r="C1199" i="78"/>
  <c r="E1194" i="78"/>
  <c r="B1190" i="78"/>
  <c r="E1187" i="78"/>
  <c r="C1186" i="78"/>
  <c r="E1182" i="78"/>
  <c r="C1181" i="78"/>
  <c r="E1174" i="78"/>
  <c r="E1173" i="78"/>
  <c r="C1164" i="78"/>
  <c r="E1163" i="78"/>
  <c r="C1158" i="78"/>
  <c r="E1157" i="78"/>
  <c r="D1279" i="78"/>
  <c r="D1267" i="78"/>
  <c r="B1265" i="78"/>
  <c r="E1261" i="78"/>
  <c r="B1254" i="78"/>
  <c r="B1249" i="78"/>
  <c r="B1247" i="78"/>
  <c r="B1245" i="78"/>
  <c r="E1226" i="78"/>
  <c r="D1223" i="78"/>
  <c r="D1220" i="78"/>
  <c r="B1214" i="78"/>
  <c r="B1211" i="78"/>
  <c r="D1194" i="78"/>
  <c r="D1187" i="78"/>
  <c r="D1182" i="78"/>
  <c r="B1181" i="78"/>
  <c r="E1175" i="78"/>
  <c r="D1174" i="78"/>
  <c r="B1164" i="78"/>
  <c r="D1163" i="78"/>
  <c r="B1158" i="78"/>
  <c r="D1157" i="78"/>
  <c r="B1152" i="78"/>
  <c r="D1151" i="78"/>
  <c r="B1146" i="78"/>
  <c r="D1145" i="78"/>
  <c r="B1140" i="78"/>
  <c r="D1139" i="78"/>
  <c r="B1134" i="78"/>
  <c r="D1133" i="78"/>
  <c r="B1128" i="78"/>
  <c r="D1127" i="78"/>
  <c r="C1274" i="78"/>
  <c r="D1264" i="78"/>
  <c r="D1259" i="78"/>
  <c r="B1257" i="78"/>
  <c r="C1255" i="78"/>
  <c r="C1250" i="78"/>
  <c r="E1248" i="78"/>
  <c r="D1224" i="78"/>
  <c r="C1221" i="78"/>
  <c r="B1215" i="78"/>
  <c r="B1212" i="78"/>
  <c r="E1207" i="78"/>
  <c r="D1195" i="78"/>
  <c r="E1192" i="78"/>
  <c r="B1188" i="78"/>
  <c r="B1183" i="78"/>
  <c r="C1177" i="78"/>
  <c r="B1176" i="78"/>
  <c r="B1162" i="78"/>
  <c r="D1161" i="78"/>
  <c r="B1156" i="78"/>
  <c r="C1280" i="78"/>
  <c r="B1271" i="78"/>
  <c r="E1260" i="78"/>
  <c r="B1255" i="78"/>
  <c r="D1250" i="78"/>
  <c r="B1229" i="78"/>
  <c r="C1227" i="78"/>
  <c r="C1209" i="78"/>
  <c r="D1207" i="78"/>
  <c r="B1197" i="78"/>
  <c r="B1195" i="78"/>
  <c r="D1183" i="78"/>
  <c r="B1178" i="78"/>
  <c r="E1176" i="78"/>
  <c r="C1169" i="78"/>
  <c r="D1166" i="78"/>
  <c r="C1161" i="78"/>
  <c r="C1156" i="78"/>
  <c r="E1138" i="78"/>
  <c r="E1137" i="78"/>
  <c r="E1136" i="78"/>
  <c r="E1135" i="78"/>
  <c r="E1134" i="78"/>
  <c r="C1133" i="78"/>
  <c r="C1132" i="78"/>
  <c r="C1131" i="78"/>
  <c r="C1130" i="78"/>
  <c r="C1129" i="78"/>
  <c r="B1125" i="78"/>
  <c r="D1124" i="78"/>
  <c r="B1119" i="78"/>
  <c r="D1118" i="78"/>
  <c r="B1113" i="78"/>
  <c r="D1112" i="78"/>
  <c r="C1286" i="78"/>
  <c r="E1262" i="78"/>
  <c r="D1260" i="78"/>
  <c r="B1250" i="78"/>
  <c r="B1209" i="78"/>
  <c r="C1207" i="78"/>
  <c r="E1185" i="78"/>
  <c r="C1183" i="78"/>
  <c r="D1176" i="78"/>
  <c r="E1170" i="78"/>
  <c r="C1166" i="78"/>
  <c r="E1162" i="78"/>
  <c r="B1161" i="78"/>
  <c r="E1139" i="78"/>
  <c r="D1138" i="78"/>
  <c r="D1137" i="78"/>
  <c r="D1136" i="78"/>
  <c r="D1135" i="78"/>
  <c r="C1134" i="78"/>
  <c r="B1133" i="78"/>
  <c r="B1132" i="78"/>
  <c r="B1131" i="78"/>
  <c r="B1130" i="78"/>
  <c r="C1124" i="78"/>
  <c r="E1123" i="78"/>
  <c r="C1118" i="78"/>
  <c r="E1117" i="78"/>
  <c r="C1112" i="78"/>
  <c r="E1111" i="78"/>
  <c r="C1106" i="78"/>
  <c r="E1105" i="78"/>
  <c r="B1286" i="78"/>
  <c r="C1279" i="78"/>
  <c r="C1276" i="78"/>
  <c r="D1262" i="78"/>
  <c r="E1257" i="78"/>
  <c r="E1233" i="78"/>
  <c r="E1222" i="78"/>
  <c r="C1220" i="78"/>
  <c r="E1218" i="78"/>
  <c r="B1207" i="78"/>
  <c r="B1201" i="78"/>
  <c r="E1181" i="78"/>
  <c r="C1176" i="78"/>
  <c r="D1170" i="78"/>
  <c r="B1166" i="78"/>
  <c r="D1162" i="78"/>
  <c r="C1157" i="78"/>
  <c r="E1144" i="78"/>
  <c r="E1143" i="78"/>
  <c r="E1142" i="78"/>
  <c r="E1141" i="78"/>
  <c r="E1140" i="78"/>
  <c r="C1139" i="78"/>
  <c r="C1138" i="78"/>
  <c r="C1137" i="78"/>
  <c r="C1136" i="78"/>
  <c r="C1135" i="78"/>
  <c r="B1124" i="78"/>
  <c r="D1123" i="78"/>
  <c r="B1118" i="78"/>
  <c r="D1117" i="78"/>
  <c r="B1112" i="78"/>
  <c r="D1111" i="78"/>
  <c r="B1106" i="78"/>
  <c r="D1105" i="78"/>
  <c r="B1100" i="78"/>
  <c r="D1099" i="78"/>
  <c r="B1094" i="78"/>
  <c r="D1093" i="78"/>
  <c r="B1088" i="78"/>
  <c r="D1087" i="78"/>
  <c r="B1082" i="78"/>
  <c r="D1081" i="78"/>
  <c r="D1278" i="78"/>
  <c r="D1261" i="78"/>
  <c r="B1259" i="78"/>
  <c r="D1228" i="78"/>
  <c r="E1208" i="78"/>
  <c r="D1206" i="78"/>
  <c r="C1200" i="78"/>
  <c r="E1198" i="78"/>
  <c r="C1196" i="78"/>
  <c r="D1177" i="78"/>
  <c r="C1171" i="78"/>
  <c r="B1163" i="78"/>
  <c r="C1261" i="78"/>
  <c r="D1256" i="78"/>
  <c r="E1251" i="78"/>
  <c r="E1232" i="78"/>
  <c r="B1230" i="78"/>
  <c r="D1210" i="78"/>
  <c r="D1208" i="78"/>
  <c r="C1206" i="78"/>
  <c r="B1200" i="78"/>
  <c r="D1198" i="78"/>
  <c r="B1184" i="78"/>
  <c r="C1182" i="78"/>
  <c r="B1177" i="78"/>
  <c r="E1168" i="78"/>
  <c r="D1159" i="78"/>
  <c r="E1154" i="78"/>
  <c r="D1153" i="78"/>
  <c r="C1152" i="78"/>
  <c r="B1151" i="78"/>
  <c r="B1150" i="78"/>
  <c r="B1149" i="78"/>
  <c r="B1148" i="78"/>
  <c r="C1121" i="78"/>
  <c r="E1120" i="78"/>
  <c r="C1115" i="78"/>
  <c r="E1114" i="78"/>
  <c r="C1109" i="78"/>
  <c r="E1108" i="78"/>
  <c r="C1103" i="78"/>
  <c r="E1102" i="78"/>
  <c r="C1097" i="78"/>
  <c r="E1096" i="78"/>
  <c r="C1091" i="78"/>
  <c r="E1090" i="78"/>
  <c r="C1264" i="78"/>
  <c r="E1249" i="78"/>
  <c r="C1225" i="78"/>
  <c r="D1171" i="78"/>
  <c r="D1169" i="78"/>
  <c r="C1159" i="78"/>
  <c r="B1157" i="78"/>
  <c r="B1154" i="78"/>
  <c r="D1149" i="78"/>
  <c r="E1146" i="78"/>
  <c r="C1143" i="78"/>
  <c r="E1131" i="78"/>
  <c r="C1127" i="78"/>
  <c r="B1122" i="78"/>
  <c r="B1117" i="78"/>
  <c r="E1112" i="78"/>
  <c r="D1107" i="78"/>
  <c r="D1106" i="78"/>
  <c r="B1084" i="78"/>
  <c r="C1083" i="78"/>
  <c r="D1082" i="78"/>
  <c r="E1081" i="78"/>
  <c r="E1080" i="78"/>
  <c r="B1075" i="78"/>
  <c r="D1074" i="78"/>
  <c r="B1069" i="78"/>
  <c r="D1068" i="78"/>
  <c r="B1063" i="78"/>
  <c r="D1062" i="78"/>
  <c r="B1057" i="78"/>
  <c r="D1056" i="78"/>
  <c r="B1051" i="78"/>
  <c r="D1050" i="78"/>
  <c r="B1045" i="78"/>
  <c r="D1044" i="78"/>
  <c r="B1039" i="78"/>
  <c r="D1038" i="78"/>
  <c r="B1033" i="78"/>
  <c r="D1032" i="78"/>
  <c r="B1027" i="78"/>
  <c r="D1026" i="78"/>
  <c r="B1021" i="78"/>
  <c r="D1020" i="78"/>
  <c r="E1221" i="78"/>
  <c r="C1195" i="78"/>
  <c r="D1192" i="78"/>
  <c r="D1189" i="78"/>
  <c r="E1155" i="78"/>
  <c r="E1152" i="78"/>
  <c r="C1149" i="78"/>
  <c r="C1146" i="78"/>
  <c r="B1143" i="78"/>
  <c r="D1131" i="78"/>
  <c r="B1127" i="78"/>
  <c r="D1285" i="78"/>
  <c r="E1272" i="78"/>
  <c r="B1221" i="78"/>
  <c r="E1204" i="78"/>
  <c r="C1192" i="78"/>
  <c r="C1189" i="78"/>
  <c r="E1186" i="78"/>
  <c r="C1178" i="78"/>
  <c r="D1175" i="78"/>
  <c r="D1155" i="78"/>
  <c r="B1123" i="78"/>
  <c r="E1118" i="78"/>
  <c r="D1113" i="78"/>
  <c r="D1108" i="78"/>
  <c r="B1107" i="78"/>
  <c r="B1081" i="78"/>
  <c r="C1080" i="78"/>
  <c r="D1079" i="78"/>
  <c r="B1074" i="78"/>
  <c r="D1073" i="78"/>
  <c r="B1068" i="78"/>
  <c r="D1067" i="78"/>
  <c r="B1062" i="78"/>
  <c r="D1061" i="78"/>
  <c r="B1056" i="78"/>
  <c r="D1055" i="78"/>
  <c r="B1050" i="78"/>
  <c r="D1049" i="78"/>
  <c r="B1044" i="78"/>
  <c r="D1043" i="78"/>
  <c r="B1038" i="78"/>
  <c r="D1037" i="78"/>
  <c r="B1032" i="78"/>
  <c r="D1031" i="78"/>
  <c r="B1026" i="78"/>
  <c r="D1025" i="78"/>
  <c r="B1020" i="78"/>
  <c r="D1019" i="78"/>
  <c r="C1285" i="78"/>
  <c r="D1248" i="78"/>
  <c r="B1244" i="78"/>
  <c r="E1227" i="78"/>
  <c r="C1224" i="78"/>
  <c r="C1210" i="78"/>
  <c r="E1180" i="78"/>
  <c r="C1175" i="78"/>
  <c r="E1160" i="78"/>
  <c r="C1155" i="78"/>
  <c r="E1150" i="78"/>
  <c r="E1147" i="78"/>
  <c r="D1144" i="78"/>
  <c r="D1141" i="78"/>
  <c r="B1138" i="78"/>
  <c r="E1132" i="78"/>
  <c r="E1128" i="78"/>
  <c r="E1119" i="78"/>
  <c r="C1113" i="78"/>
  <c r="C1108" i="78"/>
  <c r="E1280" i="78"/>
  <c r="B1248" i="78"/>
  <c r="B1224" i="78"/>
  <c r="E1197" i="78"/>
  <c r="C1194" i="78"/>
  <c r="E1188" i="78"/>
  <c r="D1180" i="78"/>
  <c r="B1175" i="78"/>
  <c r="E1166" i="78"/>
  <c r="E1164" i="78"/>
  <c r="C1162" i="78"/>
  <c r="D1160" i="78"/>
  <c r="B1155" i="78"/>
  <c r="D1150" i="78"/>
  <c r="D1147" i="78"/>
  <c r="C1144" i="78"/>
  <c r="C1141" i="78"/>
  <c r="D1132" i="78"/>
  <c r="C1128" i="78"/>
  <c r="E1124" i="78"/>
  <c r="D1119" i="78"/>
  <c r="D1114" i="78"/>
  <c r="E1109" i="78"/>
  <c r="B1108" i="78"/>
  <c r="E1092" i="78"/>
  <c r="B1079" i="78"/>
  <c r="D1078" i="78"/>
  <c r="D1280" i="78"/>
  <c r="C1251" i="78"/>
  <c r="D1213" i="78"/>
  <c r="E1206" i="78"/>
  <c r="B1194" i="78"/>
  <c r="C1188" i="78"/>
  <c r="C1180" i="78"/>
  <c r="D1168" i="78"/>
  <c r="C1160" i="78"/>
  <c r="E1153" i="78"/>
  <c r="C1150" i="78"/>
  <c r="C1147" i="78"/>
  <c r="B1144" i="78"/>
  <c r="E1125" i="78"/>
  <c r="C1119" i="78"/>
  <c r="C1114" i="78"/>
  <c r="E1110" i="78"/>
  <c r="D1109" i="78"/>
  <c r="E1098" i="78"/>
  <c r="E1095" i="78"/>
  <c r="E1094" i="78"/>
  <c r="E1093" i="78"/>
  <c r="D1092" i="78"/>
  <c r="E1091" i="78"/>
  <c r="D1090" i="78"/>
  <c r="E1089" i="78"/>
  <c r="C1078" i="78"/>
  <c r="E1077" i="78"/>
  <c r="C1072" i="78"/>
  <c r="E1071" i="78"/>
  <c r="C1066" i="78"/>
  <c r="E1065" i="78"/>
  <c r="C1060" i="78"/>
  <c r="E1059" i="78"/>
  <c r="C1054" i="78"/>
  <c r="E1053" i="78"/>
  <c r="C1048" i="78"/>
  <c r="E1047" i="78"/>
  <c r="D1266" i="78"/>
  <c r="D1258" i="78"/>
  <c r="E1250" i="78"/>
  <c r="B1223" i="78"/>
  <c r="E1219" i="78"/>
  <c r="E1212" i="78"/>
  <c r="E1196" i="78"/>
  <c r="E1193" i="78"/>
  <c r="B1182" i="78"/>
  <c r="C1174" i="78"/>
  <c r="E1151" i="78"/>
  <c r="D1148" i="78"/>
  <c r="C1145" i="78"/>
  <c r="C1142" i="78"/>
  <c r="D1126" i="78"/>
  <c r="E1121" i="78"/>
  <c r="B1120" i="78"/>
  <c r="D1116" i="78"/>
  <c r="B1115" i="78"/>
  <c r="B1110" i="78"/>
  <c r="D1104" i="78"/>
  <c r="D1103" i="78"/>
  <c r="C1102" i="78"/>
  <c r="C1101" i="78"/>
  <c r="C1100" i="78"/>
  <c r="B1099" i="78"/>
  <c r="B1098" i="78"/>
  <c r="B1097" i="78"/>
  <c r="B1096" i="78"/>
  <c r="B1095" i="78"/>
  <c r="B1089" i="78"/>
  <c r="C1088" i="78"/>
  <c r="C1087" i="78"/>
  <c r="D1086" i="78"/>
  <c r="E1085" i="78"/>
  <c r="B1077" i="78"/>
  <c r="D1076" i="78"/>
  <c r="B1071" i="78"/>
  <c r="D1070" i="78"/>
  <c r="B1065" i="78"/>
  <c r="D1064" i="78"/>
  <c r="B1059" i="78"/>
  <c r="D1058" i="78"/>
  <c r="E1238" i="78"/>
  <c r="E1191" i="78"/>
  <c r="E1167" i="78"/>
  <c r="D1143" i="78"/>
  <c r="C1140" i="78"/>
  <c r="C1126" i="78"/>
  <c r="E1103" i="78"/>
  <c r="D1101" i="78"/>
  <c r="C1099" i="78"/>
  <c r="D1097" i="78"/>
  <c r="C1095" i="78"/>
  <c r="C1093" i="78"/>
  <c r="B1090" i="78"/>
  <c r="B1078" i="78"/>
  <c r="E1075" i="78"/>
  <c r="E1070" i="78"/>
  <c r="D1065" i="78"/>
  <c r="D1060" i="78"/>
  <c r="B1055" i="78"/>
  <c r="E1048" i="78"/>
  <c r="C1047" i="78"/>
  <c r="C1046" i="78"/>
  <c r="C1045" i="78"/>
  <c r="E1018" i="78"/>
  <c r="E1017" i="78"/>
  <c r="E1016" i="78"/>
  <c r="C1011" i="78"/>
  <c r="E1010" i="78"/>
  <c r="C1005" i="78"/>
  <c r="E1004" i="78"/>
  <c r="C999" i="78"/>
  <c r="E998" i="78"/>
  <c r="C993" i="78"/>
  <c r="E992" i="78"/>
  <c r="C987" i="78"/>
  <c r="E986" i="78"/>
  <c r="C981" i="78"/>
  <c r="E980" i="78"/>
  <c r="E1278" i="78"/>
  <c r="C1270" i="78"/>
  <c r="E1171" i="78"/>
  <c r="C1167" i="78"/>
  <c r="B1137" i="78"/>
  <c r="B1126" i="78"/>
  <c r="B1114" i="78"/>
  <c r="E1107" i="78"/>
  <c r="C1105" i="78"/>
  <c r="B1103" i="78"/>
  <c r="B1101" i="78"/>
  <c r="B1093" i="78"/>
  <c r="D1085" i="78"/>
  <c r="D1075" i="78"/>
  <c r="C1070" i="78"/>
  <c r="C1065" i="78"/>
  <c r="E1061" i="78"/>
  <c r="B1060" i="78"/>
  <c r="E1056" i="78"/>
  <c r="E1049" i="78"/>
  <c r="D1048" i="78"/>
  <c r="B1047" i="78"/>
  <c r="B1046" i="78"/>
  <c r="E1019" i="78"/>
  <c r="D1018" i="78"/>
  <c r="D1017" i="78"/>
  <c r="D1016" i="78"/>
  <c r="B1011" i="78"/>
  <c r="D1010" i="78"/>
  <c r="B1005" i="78"/>
  <c r="D1004" i="78"/>
  <c r="B999" i="78"/>
  <c r="D998" i="78"/>
  <c r="C1163" i="78"/>
  <c r="E1159" i="78"/>
  <c r="E1149" i="78"/>
  <c r="D1121" i="78"/>
  <c r="E1116" i="78"/>
  <c r="B1109" i="78"/>
  <c r="C1107" i="78"/>
  <c r="B1105" i="78"/>
  <c r="E1088" i="78"/>
  <c r="C1085" i="78"/>
  <c r="E1082" i="78"/>
  <c r="E1079" i="78"/>
  <c r="C1075" i="78"/>
  <c r="B1070" i="78"/>
  <c r="E1066" i="78"/>
  <c r="C1061" i="78"/>
  <c r="C1056" i="78"/>
  <c r="C1049" i="78"/>
  <c r="B1048" i="78"/>
  <c r="E1024" i="78"/>
  <c r="E1023" i="78"/>
  <c r="E1022" i="78"/>
  <c r="E1021" i="78"/>
  <c r="E1020" i="78"/>
  <c r="C1019" i="78"/>
  <c r="C1018" i="78"/>
  <c r="C1017" i="78"/>
  <c r="C1016" i="78"/>
  <c r="E1015" i="78"/>
  <c r="C1010" i="78"/>
  <c r="E1009" i="78"/>
  <c r="C1004" i="78"/>
  <c r="E1003" i="78"/>
  <c r="C998" i="78"/>
  <c r="E997" i="78"/>
  <c r="C992" i="78"/>
  <c r="E991" i="78"/>
  <c r="C986" i="78"/>
  <c r="E985" i="78"/>
  <c r="C980" i="78"/>
  <c r="E979" i="78"/>
  <c r="E1236" i="78"/>
  <c r="E1225" i="78"/>
  <c r="C1213" i="78"/>
  <c r="C1170" i="78"/>
  <c r="D1142" i="78"/>
  <c r="B1139" i="78"/>
  <c r="D1125" i="78"/>
  <c r="B1121" i="78"/>
  <c r="C1116" i="78"/>
  <c r="D1091" i="78"/>
  <c r="D1088" i="78"/>
  <c r="B1085" i="78"/>
  <c r="C1082" i="78"/>
  <c r="C1079" i="78"/>
  <c r="E1076" i="78"/>
  <c r="D1071" i="78"/>
  <c r="D1066" i="78"/>
  <c r="B1061" i="78"/>
  <c r="E1057" i="78"/>
  <c r="E1050" i="78"/>
  <c r="B1049" i="78"/>
  <c r="C1229" i="78"/>
  <c r="D1219" i="78"/>
  <c r="E1179" i="78"/>
  <c r="E1158" i="78"/>
  <c r="E1145" i="78"/>
  <c r="B1142" i="78"/>
  <c r="B1136" i="78"/>
  <c r="E1133" i="78"/>
  <c r="C1125" i="78"/>
  <c r="C1123" i="78"/>
  <c r="B1116" i="78"/>
  <c r="C1111" i="78"/>
  <c r="B1091" i="78"/>
  <c r="C1076" i="78"/>
  <c r="C1071" i="78"/>
  <c r="E1067" i="78"/>
  <c r="B1066" i="78"/>
  <c r="E1062" i="78"/>
  <c r="D1057" i="78"/>
  <c r="E1051" i="78"/>
  <c r="C1050" i="78"/>
  <c r="E1030" i="78"/>
  <c r="E1029" i="78"/>
  <c r="E1028" i="78"/>
  <c r="E1027" i="78"/>
  <c r="E1026" i="78"/>
  <c r="C1025" i="78"/>
  <c r="C1024" i="78"/>
  <c r="C1023" i="78"/>
  <c r="C1022" i="78"/>
  <c r="C1021" i="78"/>
  <c r="C1015" i="78"/>
  <c r="E1014" i="78"/>
  <c r="C1009" i="78"/>
  <c r="E1008" i="78"/>
  <c r="D1212" i="78"/>
  <c r="E1148" i="78"/>
  <c r="B1145" i="78"/>
  <c r="B1111" i="78"/>
  <c r="E1100" i="78"/>
  <c r="D1098" i="78"/>
  <c r="D1096" i="78"/>
  <c r="D1094" i="78"/>
  <c r="E1086" i="78"/>
  <c r="E1083" i="78"/>
  <c r="B1076" i="78"/>
  <c r="E1072" i="78"/>
  <c r="C1067" i="78"/>
  <c r="C1062" i="78"/>
  <c r="C1057" i="78"/>
  <c r="E1052" i="78"/>
  <c r="D1051" i="78"/>
  <c r="E1031" i="78"/>
  <c r="D1030" i="78"/>
  <c r="D1029" i="78"/>
  <c r="D1028" i="78"/>
  <c r="D1027" i="78"/>
  <c r="C1026" i="78"/>
  <c r="B1025" i="78"/>
  <c r="B1024" i="78"/>
  <c r="B1023" i="78"/>
  <c r="B1022" i="78"/>
  <c r="B1015" i="78"/>
  <c r="D1014" i="78"/>
  <c r="B1009" i="78"/>
  <c r="D1008" i="78"/>
  <c r="B1003" i="78"/>
  <c r="D1002" i="78"/>
  <c r="B997" i="78"/>
  <c r="D996" i="78"/>
  <c r="B991" i="78"/>
  <c r="D990" i="78"/>
  <c r="B1274" i="78"/>
  <c r="D1193" i="78"/>
  <c r="C1187" i="78"/>
  <c r="E1177" i="78"/>
  <c r="C1165" i="78"/>
  <c r="E1161" i="78"/>
  <c r="D1154" i="78"/>
  <c r="E1209" i="78"/>
  <c r="C1168" i="78"/>
  <c r="C1122" i="78"/>
  <c r="E1106" i="78"/>
  <c r="D1102" i="78"/>
  <c r="E1099" i="78"/>
  <c r="C1092" i="78"/>
  <c r="E1087" i="78"/>
  <c r="B1072" i="78"/>
  <c r="D1063" i="78"/>
  <c r="D1054" i="78"/>
  <c r="D1046" i="78"/>
  <c r="C1039" i="78"/>
  <c r="D1021" i="78"/>
  <c r="B1018" i="78"/>
  <c r="D1015" i="78"/>
  <c r="E1012" i="78"/>
  <c r="C1008" i="78"/>
  <c r="B1004" i="78"/>
  <c r="E1000" i="78"/>
  <c r="D999" i="78"/>
  <c r="E994" i="78"/>
  <c r="E993" i="78"/>
  <c r="D992" i="78"/>
  <c r="B977" i="78"/>
  <c r="D976" i="78"/>
  <c r="B971" i="78"/>
  <c r="D970" i="78"/>
  <c r="B965" i="78"/>
  <c r="D964" i="78"/>
  <c r="B959" i="78"/>
  <c r="D958" i="78"/>
  <c r="B953" i="78"/>
  <c r="D952" i="78"/>
  <c r="B947" i="78"/>
  <c r="D946" i="78"/>
  <c r="B941" i="78"/>
  <c r="D940" i="78"/>
  <c r="E1266" i="78"/>
  <c r="E1129" i="78"/>
  <c r="E1113" i="78"/>
  <c r="B1102" i="78"/>
  <c r="B1092" i="78"/>
  <c r="B1087" i="78"/>
  <c r="E1084" i="78"/>
  <c r="C1063" i="78"/>
  <c r="E1058" i="78"/>
  <c r="B1054" i="78"/>
  <c r="E1044" i="78"/>
  <c r="E1042" i="78"/>
  <c r="D1012" i="78"/>
  <c r="B1008" i="78"/>
  <c r="D1000" i="78"/>
  <c r="E995" i="78"/>
  <c r="D994" i="78"/>
  <c r="D993" i="78"/>
  <c r="B992" i="78"/>
  <c r="C976" i="78"/>
  <c r="E975" i="78"/>
  <c r="C970" i="78"/>
  <c r="E969" i="78"/>
  <c r="C964" i="78"/>
  <c r="E963" i="78"/>
  <c r="C958" i="78"/>
  <c r="E957" i="78"/>
  <c r="D1129" i="78"/>
  <c r="C1098" i="78"/>
  <c r="D1095" i="78"/>
  <c r="D1089" i="78"/>
  <c r="D1084" i="78"/>
  <c r="E1074" i="78"/>
  <c r="B1067" i="78"/>
  <c r="C1058" i="78"/>
  <c r="C1044" i="78"/>
  <c r="D1042" i="78"/>
  <c r="E1036" i="78"/>
  <c r="E1034" i="78"/>
  <c r="E1032" i="78"/>
  <c r="C1030" i="78"/>
  <c r="C1028" i="78"/>
  <c r="C1012" i="78"/>
  <c r="E1005" i="78"/>
  <c r="E1001" i="78"/>
  <c r="C1000" i="78"/>
  <c r="D995" i="78"/>
  <c r="C994" i="78"/>
  <c r="B993" i="78"/>
  <c r="B976" i="78"/>
  <c r="D975" i="78"/>
  <c r="B970" i="78"/>
  <c r="D969" i="78"/>
  <c r="C1223" i="78"/>
  <c r="B1160" i="78"/>
  <c r="D1120" i="78"/>
  <c r="C1117" i="78"/>
  <c r="C1089" i="78"/>
  <c r="C1086" i="78"/>
  <c r="C1084" i="78"/>
  <c r="C1074" i="78"/>
  <c r="B1058" i="78"/>
  <c r="C1051" i="78"/>
  <c r="C1042" i="78"/>
  <c r="E1040" i="78"/>
  <c r="D1036" i="78"/>
  <c r="D1034" i="78"/>
  <c r="C1032" i="78"/>
  <c r="B1030" i="78"/>
  <c r="B1028" i="78"/>
  <c r="D1024" i="78"/>
  <c r="E1013" i="78"/>
  <c r="B1012" i="78"/>
  <c r="D1005" i="78"/>
  <c r="D1001" i="78"/>
  <c r="B1000" i="78"/>
  <c r="E996" i="78"/>
  <c r="C995" i="78"/>
  <c r="B994" i="78"/>
  <c r="C975" i="78"/>
  <c r="E974" i="78"/>
  <c r="C969" i="78"/>
  <c r="E968" i="78"/>
  <c r="D1246" i="78"/>
  <c r="C1172" i="78"/>
  <c r="C1154" i="78"/>
  <c r="C1148" i="78"/>
  <c r="C1120" i="78"/>
  <c r="C1094" i="78"/>
  <c r="B1086" i="78"/>
  <c r="E1069" i="78"/>
  <c r="D1053" i="78"/>
  <c r="B1042" i="78"/>
  <c r="D1040" i="78"/>
  <c r="E1038" i="78"/>
  <c r="C1036" i="78"/>
  <c r="C1034" i="78"/>
  <c r="B1019" i="78"/>
  <c r="B1016" i="78"/>
  <c r="D1013" i="78"/>
  <c r="D1009" i="78"/>
  <c r="E1006" i="78"/>
  <c r="C1001" i="78"/>
  <c r="C996" i="78"/>
  <c r="B995" i="78"/>
  <c r="B975" i="78"/>
  <c r="D974" i="78"/>
  <c r="B969" i="78"/>
  <c r="D968" i="78"/>
  <c r="B963" i="78"/>
  <c r="D962" i="78"/>
  <c r="B957" i="78"/>
  <c r="D956" i="78"/>
  <c r="B951" i="78"/>
  <c r="D950" i="78"/>
  <c r="B945" i="78"/>
  <c r="D944" i="78"/>
  <c r="B939" i="78"/>
  <c r="D938" i="78"/>
  <c r="D1222" i="78"/>
  <c r="E1165" i="78"/>
  <c r="E1104" i="78"/>
  <c r="E1101" i="78"/>
  <c r="D1083" i="78"/>
  <c r="C1081" i="78"/>
  <c r="D1069" i="78"/>
  <c r="E1060" i="78"/>
  <c r="C1053" i="78"/>
  <c r="D1047" i="78"/>
  <c r="C1040" i="78"/>
  <c r="C1038" i="78"/>
  <c r="B1036" i="78"/>
  <c r="B1034" i="78"/>
  <c r="D1022" i="78"/>
  <c r="C1013" i="78"/>
  <c r="D1006" i="78"/>
  <c r="E1002" i="78"/>
  <c r="B1001" i="78"/>
  <c r="B996" i="78"/>
  <c r="C974" i="78"/>
  <c r="E973" i="78"/>
  <c r="C968" i="78"/>
  <c r="E967" i="78"/>
  <c r="C962" i="78"/>
  <c r="E961" i="78"/>
  <c r="C956" i="78"/>
  <c r="E955" i="78"/>
  <c r="B1226" i="78"/>
  <c r="D1130" i="78"/>
  <c r="C1096" i="78"/>
  <c r="B1083" i="78"/>
  <c r="B1064" i="78"/>
  <c r="D1052" i="78"/>
  <c r="B1029" i="78"/>
  <c r="C1007" i="78"/>
  <c r="B1002" i="78"/>
  <c r="E976" i="78"/>
  <c r="E971" i="78"/>
  <c r="B968" i="78"/>
  <c r="E965" i="78"/>
  <c r="D960" i="78"/>
  <c r="D955" i="78"/>
  <c r="B954" i="78"/>
  <c r="C933" i="78"/>
  <c r="E932" i="78"/>
  <c r="C927" i="78"/>
  <c r="E926" i="78"/>
  <c r="C921" i="78"/>
  <c r="E920" i="78"/>
  <c r="C915" i="78"/>
  <c r="C1151" i="78"/>
  <c r="C1052" i="78"/>
  <c r="E1045" i="78"/>
  <c r="E1025" i="78"/>
  <c r="C1014" i="78"/>
  <c r="B1007" i="78"/>
  <c r="D997" i="78"/>
  <c r="E989" i="78"/>
  <c r="E983" i="78"/>
  <c r="D971" i="78"/>
  <c r="D965" i="78"/>
  <c r="C960" i="78"/>
  <c r="C955" i="78"/>
  <c r="B933" i="78"/>
  <c r="D932" i="78"/>
  <c r="B927" i="78"/>
  <c r="D926" i="78"/>
  <c r="B921" i="78"/>
  <c r="D920" i="78"/>
  <c r="B915" i="78"/>
  <c r="D914" i="78"/>
  <c r="B909" i="78"/>
  <c r="D908" i="78"/>
  <c r="B903" i="78"/>
  <c r="D902" i="78"/>
  <c r="B897" i="78"/>
  <c r="D896" i="78"/>
  <c r="B891" i="78"/>
  <c r="D890" i="78"/>
  <c r="B885" i="78"/>
  <c r="D1100" i="78"/>
  <c r="E1078" i="78"/>
  <c r="E1063" i="78"/>
  <c r="E1055" i="78"/>
  <c r="B1052" i="78"/>
  <c r="D1045" i="78"/>
  <c r="E1039" i="78"/>
  <c r="E1035" i="78"/>
  <c r="B1014" i="78"/>
  <c r="C997" i="78"/>
  <c r="D989" i="78"/>
  <c r="E987" i="78"/>
  <c r="D985" i="78"/>
  <c r="D983" i="78"/>
  <c r="E981" i="78"/>
  <c r="D979" i="78"/>
  <c r="C971" i="78"/>
  <c r="C965" i="78"/>
  <c r="D961" i="78"/>
  <c r="B960" i="78"/>
  <c r="B955" i="78"/>
  <c r="E939" i="78"/>
  <c r="E938" i="78"/>
  <c r="E937" i="78"/>
  <c r="C932" i="78"/>
  <c r="E931" i="78"/>
  <c r="C1193" i="78"/>
  <c r="D1165" i="78"/>
  <c r="D1059" i="78"/>
  <c r="C1055" i="78"/>
  <c r="D1039" i="78"/>
  <c r="D1035" i="78"/>
  <c r="C1006" i="78"/>
  <c r="D991" i="78"/>
  <c r="C989" i="78"/>
  <c r="D987" i="78"/>
  <c r="C985" i="78"/>
  <c r="C983" i="78"/>
  <c r="D981" i="78"/>
  <c r="C979" i="78"/>
  <c r="E977" i="78"/>
  <c r="B974" i="78"/>
  <c r="E966" i="78"/>
  <c r="C961" i="78"/>
  <c r="E956" i="78"/>
  <c r="E943" i="78"/>
  <c r="E942" i="78"/>
  <c r="E941" i="78"/>
  <c r="E940" i="78"/>
  <c r="D939" i="78"/>
  <c r="C938" i="78"/>
  <c r="D937" i="78"/>
  <c r="B932" i="78"/>
  <c r="D931" i="78"/>
  <c r="B926" i="78"/>
  <c r="D925" i="78"/>
  <c r="B920" i="78"/>
  <c r="D919" i="78"/>
  <c r="B914" i="78"/>
  <c r="D913" i="78"/>
  <c r="B908" i="78"/>
  <c r="D907" i="78"/>
  <c r="E1156" i="78"/>
  <c r="E1122" i="78"/>
  <c r="E1073" i="78"/>
  <c r="C1059" i="78"/>
  <c r="C1035" i="78"/>
  <c r="C1031" i="78"/>
  <c r="E1011" i="78"/>
  <c r="B1006" i="78"/>
  <c r="C991" i="78"/>
  <c r="B989" i="78"/>
  <c r="B987" i="78"/>
  <c r="B985" i="78"/>
  <c r="B983" i="78"/>
  <c r="B981" i="78"/>
  <c r="B979" i="78"/>
  <c r="D977" i="78"/>
  <c r="E972" i="78"/>
  <c r="D966" i="78"/>
  <c r="B961" i="78"/>
  <c r="B956" i="78"/>
  <c r="E945" i="78"/>
  <c r="E944" i="78"/>
  <c r="D943" i="78"/>
  <c r="D942" i="78"/>
  <c r="D941" i="78"/>
  <c r="C940" i="78"/>
  <c r="C939" i="78"/>
  <c r="B938" i="78"/>
  <c r="C937" i="78"/>
  <c r="E936" i="78"/>
  <c r="C931" i="78"/>
  <c r="E930" i="78"/>
  <c r="C925" i="78"/>
  <c r="E924" i="78"/>
  <c r="C919" i="78"/>
  <c r="E918" i="78"/>
  <c r="C913" i="78"/>
  <c r="E912" i="78"/>
  <c r="C907" i="78"/>
  <c r="E906" i="78"/>
  <c r="C901" i="78"/>
  <c r="E900" i="78"/>
  <c r="C895" i="78"/>
  <c r="E894" i="78"/>
  <c r="C889" i="78"/>
  <c r="E888" i="78"/>
  <c r="C1222" i="78"/>
  <c r="D1156" i="78"/>
  <c r="E1127" i="78"/>
  <c r="D1122" i="78"/>
  <c r="D1110" i="78"/>
  <c r="D1077" i="78"/>
  <c r="C1073" i="78"/>
  <c r="E1041" i="78"/>
  <c r="B1035" i="78"/>
  <c r="B1031" i="78"/>
  <c r="B1013" i="78"/>
  <c r="D1011" i="78"/>
  <c r="E999" i="78"/>
  <c r="C977" i="78"/>
  <c r="D972" i="78"/>
  <c r="C966" i="78"/>
  <c r="E962" i="78"/>
  <c r="D957" i="78"/>
  <c r="E949" i="78"/>
  <c r="E948" i="78"/>
  <c r="E947" i="78"/>
  <c r="E946" i="78"/>
  <c r="D945" i="78"/>
  <c r="C944" i="78"/>
  <c r="C943" i="78"/>
  <c r="C942" i="78"/>
  <c r="C941" i="78"/>
  <c r="B940" i="78"/>
  <c r="B937" i="78"/>
  <c r="D936" i="78"/>
  <c r="B931" i="78"/>
  <c r="D930" i="78"/>
  <c r="B925" i="78"/>
  <c r="D924" i="78"/>
  <c r="B919" i="78"/>
  <c r="D918" i="78"/>
  <c r="B913" i="78"/>
  <c r="D912" i="78"/>
  <c r="B907" i="78"/>
  <c r="D906" i="78"/>
  <c r="B901" i="78"/>
  <c r="D900" i="78"/>
  <c r="B895" i="78"/>
  <c r="D894" i="78"/>
  <c r="B889" i="78"/>
  <c r="D888" i="78"/>
  <c r="E1115" i="78"/>
  <c r="C1110" i="78"/>
  <c r="C1104" i="78"/>
  <c r="C1090" i="78"/>
  <c r="C1077" i="78"/>
  <c r="B1073" i="78"/>
  <c r="D1041" i="78"/>
  <c r="C1027" i="78"/>
  <c r="C972" i="78"/>
  <c r="B966" i="78"/>
  <c r="B962" i="78"/>
  <c r="C957" i="78"/>
  <c r="E951" i="78"/>
  <c r="E950" i="78"/>
  <c r="D949" i="78"/>
  <c r="D948" i="78"/>
  <c r="D947" i="78"/>
  <c r="C946" i="78"/>
  <c r="C945" i="78"/>
  <c r="B944" i="78"/>
  <c r="B943" i="78"/>
  <c r="B942" i="78"/>
  <c r="C936" i="78"/>
  <c r="E935" i="78"/>
  <c r="C930" i="78"/>
  <c r="E929" i="78"/>
  <c r="C924" i="78"/>
  <c r="E923" i="78"/>
  <c r="C918" i="78"/>
  <c r="E917" i="78"/>
  <c r="C912" i="78"/>
  <c r="E911" i="78"/>
  <c r="C906" i="78"/>
  <c r="E905" i="78"/>
  <c r="C900" i="78"/>
  <c r="E899" i="78"/>
  <c r="C894" i="78"/>
  <c r="E893" i="78"/>
  <c r="C888" i="78"/>
  <c r="E887" i="78"/>
  <c r="E1126" i="78"/>
  <c r="D1072" i="78"/>
  <c r="B1053" i="78"/>
  <c r="B1037" i="78"/>
  <c r="B952" i="78"/>
  <c r="C934" i="78"/>
  <c r="E925" i="78"/>
  <c r="B922" i="78"/>
  <c r="C917" i="78"/>
  <c r="C914" i="78"/>
  <c r="D911" i="78"/>
  <c r="D904" i="78"/>
  <c r="D899" i="78"/>
  <c r="B898" i="78"/>
  <c r="B893" i="78"/>
  <c r="B888" i="78"/>
  <c r="B882" i="78"/>
  <c r="D881" i="78"/>
  <c r="B876" i="78"/>
  <c r="D875" i="78"/>
  <c r="B870" i="78"/>
  <c r="D869" i="78"/>
  <c r="B864" i="78"/>
  <c r="D863" i="78"/>
  <c r="B858" i="78"/>
  <c r="D857" i="78"/>
  <c r="B852" i="78"/>
  <c r="D851" i="78"/>
  <c r="B846" i="78"/>
  <c r="D845" i="78"/>
  <c r="B840" i="78"/>
  <c r="D839" i="78"/>
  <c r="B834" i="78"/>
  <c r="D833" i="78"/>
  <c r="B828" i="78"/>
  <c r="D827" i="78"/>
  <c r="B822" i="78"/>
  <c r="D821" i="78"/>
  <c r="B816" i="78"/>
  <c r="D815" i="78"/>
  <c r="B810" i="78"/>
  <c r="D809" i="78"/>
  <c r="B804" i="78"/>
  <c r="D803" i="78"/>
  <c r="B798" i="78"/>
  <c r="D797" i="78"/>
  <c r="B792" i="78"/>
  <c r="D791" i="78"/>
  <c r="B786" i="78"/>
  <c r="D785" i="78"/>
  <c r="B780" i="78"/>
  <c r="D779" i="78"/>
  <c r="B774" i="78"/>
  <c r="D773" i="78"/>
  <c r="B768" i="78"/>
  <c r="D767" i="78"/>
  <c r="B762" i="78"/>
  <c r="D761" i="78"/>
  <c r="B756" i="78"/>
  <c r="D755" i="78"/>
  <c r="B750" i="78"/>
  <c r="D749" i="78"/>
  <c r="B744" i="78"/>
  <c r="D743" i="78"/>
  <c r="B1010" i="78"/>
  <c r="E954" i="78"/>
  <c r="C949" i="78"/>
  <c r="B934" i="78"/>
  <c r="E928" i="78"/>
  <c r="B917" i="78"/>
  <c r="C911" i="78"/>
  <c r="C904" i="78"/>
  <c r="C899" i="78"/>
  <c r="E889" i="78"/>
  <c r="C881" i="78"/>
  <c r="E880" i="78"/>
  <c r="C875" i="78"/>
  <c r="E874" i="78"/>
  <c r="C869" i="78"/>
  <c r="E868" i="78"/>
  <c r="C863" i="78"/>
  <c r="E862" i="78"/>
  <c r="C857" i="78"/>
  <c r="E856" i="78"/>
  <c r="C851" i="78"/>
  <c r="E850" i="78"/>
  <c r="C845" i="78"/>
  <c r="E844" i="78"/>
  <c r="C839" i="78"/>
  <c r="E838" i="78"/>
  <c r="C833" i="78"/>
  <c r="E832" i="78"/>
  <c r="C827" i="78"/>
  <c r="E826" i="78"/>
  <c r="C821" i="78"/>
  <c r="E820" i="78"/>
  <c r="C815" i="78"/>
  <c r="E814" i="78"/>
  <c r="C809" i="78"/>
  <c r="E808" i="78"/>
  <c r="C803" i="78"/>
  <c r="E802" i="78"/>
  <c r="C797" i="78"/>
  <c r="E796" i="78"/>
  <c r="C791" i="78"/>
  <c r="E790" i="78"/>
  <c r="C785" i="78"/>
  <c r="E784" i="78"/>
  <c r="C779" i="78"/>
  <c r="E778" i="78"/>
  <c r="C773" i="78"/>
  <c r="E772" i="78"/>
  <c r="C767" i="78"/>
  <c r="C1041" i="78"/>
  <c r="E988" i="78"/>
  <c r="E984" i="78"/>
  <c r="D967" i="78"/>
  <c r="E959" i="78"/>
  <c r="D954" i="78"/>
  <c r="B949" i="78"/>
  <c r="B930" i="78"/>
  <c r="D928" i="78"/>
  <c r="D923" i="78"/>
  <c r="C920" i="78"/>
  <c r="B911" i="78"/>
  <c r="E908" i="78"/>
  <c r="B904" i="78"/>
  <c r="B899" i="78"/>
  <c r="B894" i="78"/>
  <c r="D889" i="78"/>
  <c r="B881" i="78"/>
  <c r="D880" i="78"/>
  <c r="B875" i="78"/>
  <c r="D874" i="78"/>
  <c r="B869" i="78"/>
  <c r="D868" i="78"/>
  <c r="B863" i="78"/>
  <c r="D862" i="78"/>
  <c r="B857" i="78"/>
  <c r="D856" i="78"/>
  <c r="B851" i="78"/>
  <c r="D850" i="78"/>
  <c r="B845" i="78"/>
  <c r="D844" i="78"/>
  <c r="B839" i="78"/>
  <c r="D838" i="78"/>
  <c r="B833" i="78"/>
  <c r="D832" i="78"/>
  <c r="B827" i="78"/>
  <c r="D826" i="78"/>
  <c r="B821" i="78"/>
  <c r="D820" i="78"/>
  <c r="B815" i="78"/>
  <c r="D814" i="78"/>
  <c r="B809" i="78"/>
  <c r="D808" i="78"/>
  <c r="B803" i="78"/>
  <c r="D802" i="78"/>
  <c r="B797" i="78"/>
  <c r="D796" i="78"/>
  <c r="B791" i="78"/>
  <c r="D790" i="78"/>
  <c r="B785" i="78"/>
  <c r="D784" i="78"/>
  <c r="B779" i="78"/>
  <c r="D778" i="78"/>
  <c r="B773" i="78"/>
  <c r="D772" i="78"/>
  <c r="B767" i="78"/>
  <c r="D766" i="78"/>
  <c r="B761" i="78"/>
  <c r="D760" i="78"/>
  <c r="B755" i="78"/>
  <c r="D754" i="78"/>
  <c r="B749" i="78"/>
  <c r="D748" i="78"/>
  <c r="D1226" i="78"/>
  <c r="D1115" i="78"/>
  <c r="E1064" i="78"/>
  <c r="B1041" i="78"/>
  <c r="D988" i="78"/>
  <c r="D984" i="78"/>
  <c r="C967" i="78"/>
  <c r="D959" i="78"/>
  <c r="C954" i="78"/>
  <c r="D951" i="78"/>
  <c r="C928" i="78"/>
  <c r="C923" i="78"/>
  <c r="E915" i="78"/>
  <c r="C908" i="78"/>
  <c r="D905" i="78"/>
  <c r="E895" i="78"/>
  <c r="E890" i="78"/>
  <c r="C880" i="78"/>
  <c r="E879" i="78"/>
  <c r="C874" i="78"/>
  <c r="E873" i="78"/>
  <c r="C868" i="78"/>
  <c r="E867" i="78"/>
  <c r="C862" i="78"/>
  <c r="E861" i="78"/>
  <c r="C1069" i="78"/>
  <c r="C1064" i="78"/>
  <c r="E1046" i="78"/>
  <c r="C1029" i="78"/>
  <c r="C988" i="78"/>
  <c r="C984" i="78"/>
  <c r="D980" i="78"/>
  <c r="D973" i="78"/>
  <c r="E970" i="78"/>
  <c r="B967" i="78"/>
  <c r="E964" i="78"/>
  <c r="C959" i="78"/>
  <c r="C951" i="78"/>
  <c r="B946" i="78"/>
  <c r="D935" i="78"/>
  <c r="B928" i="78"/>
  <c r="B923" i="78"/>
  <c r="D915" i="78"/>
  <c r="C905" i="78"/>
  <c r="B900" i="78"/>
  <c r="D895" i="78"/>
  <c r="C890" i="78"/>
  <c r="E885" i="78"/>
  <c r="B880" i="78"/>
  <c r="D879" i="78"/>
  <c r="B874" i="78"/>
  <c r="D873" i="78"/>
  <c r="B868" i="78"/>
  <c r="D867" i="78"/>
  <c r="B862" i="78"/>
  <c r="D861" i="78"/>
  <c r="B856" i="78"/>
  <c r="D855" i="78"/>
  <c r="B850" i="78"/>
  <c r="D849" i="78"/>
  <c r="B844" i="78"/>
  <c r="D843" i="78"/>
  <c r="B838" i="78"/>
  <c r="D837" i="78"/>
  <c r="B832" i="78"/>
  <c r="D831" i="78"/>
  <c r="B826" i="78"/>
  <c r="D825" i="78"/>
  <c r="B820" i="78"/>
  <c r="D819" i="78"/>
  <c r="B814" i="78"/>
  <c r="D813" i="78"/>
  <c r="B808" i="78"/>
  <c r="D807" i="78"/>
  <c r="B802" i="78"/>
  <c r="D801" i="78"/>
  <c r="B1040" i="78"/>
  <c r="D1023" i="78"/>
  <c r="B988" i="78"/>
  <c r="B984" i="78"/>
  <c r="B980" i="78"/>
  <c r="C973" i="78"/>
  <c r="B964" i="78"/>
  <c r="E953" i="78"/>
  <c r="C935" i="78"/>
  <c r="C926" i="78"/>
  <c r="B918" i="78"/>
  <c r="B912" i="78"/>
  <c r="E909" i="78"/>
  <c r="B905" i="78"/>
  <c r="E901" i="78"/>
  <c r="E896" i="78"/>
  <c r="E891" i="78"/>
  <c r="B890" i="78"/>
  <c r="E886" i="78"/>
  <c r="D885" i="78"/>
  <c r="E884" i="78"/>
  <c r="C879" i="78"/>
  <c r="E878" i="78"/>
  <c r="C873" i="78"/>
  <c r="E872" i="78"/>
  <c r="C867" i="78"/>
  <c r="E866" i="78"/>
  <c r="C861" i="78"/>
  <c r="E860" i="78"/>
  <c r="C855" i="78"/>
  <c r="E854" i="78"/>
  <c r="C849" i="78"/>
  <c r="E848" i="78"/>
  <c r="C843" i="78"/>
  <c r="E842" i="78"/>
  <c r="C837" i="78"/>
  <c r="E836" i="78"/>
  <c r="C831" i="78"/>
  <c r="E830" i="78"/>
  <c r="C825" i="78"/>
  <c r="E824" i="78"/>
  <c r="C819" i="78"/>
  <c r="E818" i="78"/>
  <c r="C813" i="78"/>
  <c r="E812" i="78"/>
  <c r="C807" i="78"/>
  <c r="E806" i="78"/>
  <c r="C801" i="78"/>
  <c r="E800" i="78"/>
  <c r="C795" i="78"/>
  <c r="E794" i="78"/>
  <c r="C789" i="78"/>
  <c r="E788" i="78"/>
  <c r="C783" i="78"/>
  <c r="E782" i="78"/>
  <c r="C777" i="78"/>
  <c r="E776" i="78"/>
  <c r="C771" i="78"/>
  <c r="E770" i="78"/>
  <c r="B1279" i="78"/>
  <c r="B1187" i="78"/>
  <c r="D1080" i="78"/>
  <c r="C1068" i="78"/>
  <c r="C1033" i="78"/>
  <c r="E1007" i="78"/>
  <c r="E982" i="78"/>
  <c r="E978" i="78"/>
  <c r="B972" i="78"/>
  <c r="C963" i="78"/>
  <c r="B958" i="78"/>
  <c r="C950" i="78"/>
  <c r="C929" i="78"/>
  <c r="B924" i="78"/>
  <c r="C916" i="78"/>
  <c r="E913" i="78"/>
  <c r="E910" i="78"/>
  <c r="B906" i="78"/>
  <c r="C902" i="78"/>
  <c r="D897" i="78"/>
  <c r="D892" i="78"/>
  <c r="D887" i="78"/>
  <c r="E1169" i="78"/>
  <c r="E1097" i="78"/>
  <c r="C1043" i="78"/>
  <c r="C978" i="78"/>
  <c r="C952" i="78"/>
  <c r="B935" i="78"/>
  <c r="D909" i="78"/>
  <c r="E882" i="78"/>
  <c r="B879" i="78"/>
  <c r="C871" i="78"/>
  <c r="D866" i="78"/>
  <c r="E863" i="78"/>
  <c r="E858" i="78"/>
  <c r="B854" i="78"/>
  <c r="B847" i="78"/>
  <c r="C844" i="78"/>
  <c r="E841" i="78"/>
  <c r="B837" i="78"/>
  <c r="E834" i="78"/>
  <c r="B830" i="78"/>
  <c r="B823" i="78"/>
  <c r="C820" i="78"/>
  <c r="E817" i="78"/>
  <c r="B813" i="78"/>
  <c r="E810" i="78"/>
  <c r="B806" i="78"/>
  <c r="B799" i="78"/>
  <c r="C796" i="78"/>
  <c r="E786" i="78"/>
  <c r="E781" i="78"/>
  <c r="C780" i="78"/>
  <c r="C775" i="78"/>
  <c r="C770" i="78"/>
  <c r="E753" i="78"/>
  <c r="E752" i="78"/>
  <c r="E751" i="78"/>
  <c r="E750" i="78"/>
  <c r="E749" i="78"/>
  <c r="C748" i="78"/>
  <c r="C747" i="78"/>
  <c r="C746" i="78"/>
  <c r="C745" i="78"/>
  <c r="C744" i="78"/>
  <c r="B743" i="78"/>
  <c r="D742" i="78"/>
  <c r="B737" i="78"/>
  <c r="D736" i="78"/>
  <c r="B731" i="78"/>
  <c r="D730" i="78"/>
  <c r="B725" i="78"/>
  <c r="D724" i="78"/>
  <c r="B719" i="78"/>
  <c r="D718" i="78"/>
  <c r="B1043" i="78"/>
  <c r="D1003" i="78"/>
  <c r="B998" i="78"/>
  <c r="B978" i="78"/>
  <c r="E921" i="78"/>
  <c r="C909" i="78"/>
  <c r="E898" i="78"/>
  <c r="D882" i="78"/>
  <c r="E877" i="78"/>
  <c r="B871" i="78"/>
  <c r="C866" i="78"/>
  <c r="D858" i="78"/>
  <c r="E851" i="78"/>
  <c r="D848" i="78"/>
  <c r="D841" i="78"/>
  <c r="D834" i="78"/>
  <c r="E827" i="78"/>
  <c r="D824" i="78"/>
  <c r="D817" i="78"/>
  <c r="D810" i="78"/>
  <c r="E803" i="78"/>
  <c r="D800" i="78"/>
  <c r="B796" i="78"/>
  <c r="E791" i="78"/>
  <c r="D786" i="78"/>
  <c r="D781" i="78"/>
  <c r="D776" i="78"/>
  <c r="B775" i="78"/>
  <c r="E771" i="78"/>
  <c r="B770" i="78"/>
  <c r="E754" i="78"/>
  <c r="D753" i="78"/>
  <c r="D752" i="78"/>
  <c r="D751" i="78"/>
  <c r="D750" i="78"/>
  <c r="C749" i="78"/>
  <c r="B748" i="78"/>
  <c r="B747" i="78"/>
  <c r="B746" i="78"/>
  <c r="B1104" i="78"/>
  <c r="C1003" i="78"/>
  <c r="E990" i="78"/>
  <c r="C947" i="78"/>
  <c r="D921" i="78"/>
  <c r="E903" i="78"/>
  <c r="D898" i="78"/>
  <c r="D893" i="78"/>
  <c r="C882" i="78"/>
  <c r="D877" i="78"/>
  <c r="B866" i="78"/>
  <c r="C858" i="78"/>
  <c r="E855" i="78"/>
  <c r="C848" i="78"/>
  <c r="C841" i="78"/>
  <c r="C834" i="78"/>
  <c r="E831" i="78"/>
  <c r="C824" i="78"/>
  <c r="C817" i="78"/>
  <c r="C810" i="78"/>
  <c r="E807" i="78"/>
  <c r="C800" i="78"/>
  <c r="E792" i="78"/>
  <c r="E787" i="78"/>
  <c r="C786" i="78"/>
  <c r="C781" i="78"/>
  <c r="C776" i="78"/>
  <c r="D771" i="78"/>
  <c r="E759" i="78"/>
  <c r="E758" i="78"/>
  <c r="E757" i="78"/>
  <c r="E756" i="78"/>
  <c r="E755" i="78"/>
  <c r="C754" i="78"/>
  <c r="C753" i="78"/>
  <c r="C752" i="78"/>
  <c r="C751" i="78"/>
  <c r="C750" i="78"/>
  <c r="B742" i="78"/>
  <c r="D741" i="78"/>
  <c r="B736" i="78"/>
  <c r="D735" i="78"/>
  <c r="E1068" i="78"/>
  <c r="E1033" i="78"/>
  <c r="B1017" i="78"/>
  <c r="C990" i="78"/>
  <c r="E934" i="78"/>
  <c r="D903" i="78"/>
  <c r="C898" i="78"/>
  <c r="C893" i="78"/>
  <c r="C885" i="78"/>
  <c r="C877" i="78"/>
  <c r="D872" i="78"/>
  <c r="E869" i="78"/>
  <c r="E864" i="78"/>
  <c r="B861" i="78"/>
  <c r="B855" i="78"/>
  <c r="E852" i="78"/>
  <c r="B848" i="78"/>
  <c r="B841" i="78"/>
  <c r="C838" i="78"/>
  <c r="E835" i="78"/>
  <c r="B831" i="78"/>
  <c r="E828" i="78"/>
  <c r="B824" i="78"/>
  <c r="B817" i="78"/>
  <c r="C814" i="78"/>
  <c r="E811" i="78"/>
  <c r="B807" i="78"/>
  <c r="E804" i="78"/>
  <c r="B800" i="78"/>
  <c r="D792" i="78"/>
  <c r="D787" i="78"/>
  <c r="D782" i="78"/>
  <c r="B781" i="78"/>
  <c r="E777" i="78"/>
  <c r="B776" i="78"/>
  <c r="B771" i="78"/>
  <c r="E760" i="78"/>
  <c r="D759" i="78"/>
  <c r="D758" i="78"/>
  <c r="D757" i="78"/>
  <c r="D756" i="78"/>
  <c r="C755" i="78"/>
  <c r="B754" i="78"/>
  <c r="B753" i="78"/>
  <c r="B752" i="78"/>
  <c r="B751" i="78"/>
  <c r="D1033" i="78"/>
  <c r="B990" i="78"/>
  <c r="D982" i="78"/>
  <c r="E960" i="78"/>
  <c r="D934" i="78"/>
  <c r="E927" i="78"/>
  <c r="C903" i="78"/>
  <c r="E883" i="78"/>
  <c r="B877" i="78"/>
  <c r="C872" i="78"/>
  <c r="D864" i="78"/>
  <c r="E859" i="78"/>
  <c r="D852" i="78"/>
  <c r="E845" i="78"/>
  <c r="D842" i="78"/>
  <c r="D835" i="78"/>
  <c r="D828" i="78"/>
  <c r="E821" i="78"/>
  <c r="D818" i="78"/>
  <c r="D811" i="78"/>
  <c r="D804" i="78"/>
  <c r="E797" i="78"/>
  <c r="E793" i="78"/>
  <c r="C792" i="78"/>
  <c r="C787" i="78"/>
  <c r="C782" i="78"/>
  <c r="D777" i="78"/>
  <c r="C772" i="78"/>
  <c r="E765" i="78"/>
  <c r="E764" i="78"/>
  <c r="E763" i="78"/>
  <c r="E762" i="78"/>
  <c r="E761" i="78"/>
  <c r="C760" i="78"/>
  <c r="C759" i="78"/>
  <c r="C758" i="78"/>
  <c r="C757" i="78"/>
  <c r="C756" i="78"/>
  <c r="B741" i="78"/>
  <c r="D740" i="78"/>
  <c r="B735" i="78"/>
  <c r="D734" i="78"/>
  <c r="B729" i="78"/>
  <c r="D728" i="78"/>
  <c r="B723" i="78"/>
  <c r="D722" i="78"/>
  <c r="B717" i="78"/>
  <c r="C1153" i="78"/>
  <c r="C1002" i="78"/>
  <c r="C982" i="78"/>
  <c r="B950" i="78"/>
  <c r="D927" i="78"/>
  <c r="D917" i="78"/>
  <c r="E914" i="78"/>
  <c r="D883" i="78"/>
  <c r="B872" i="78"/>
  <c r="C864" i="78"/>
  <c r="D859" i="78"/>
  <c r="C852" i="78"/>
  <c r="E849" i="78"/>
  <c r="C842" i="78"/>
  <c r="C835" i="78"/>
  <c r="C828" i="78"/>
  <c r="E825" i="78"/>
  <c r="C818" i="78"/>
  <c r="C811" i="78"/>
  <c r="C804" i="78"/>
  <c r="E801" i="78"/>
  <c r="D793" i="78"/>
  <c r="D788" i="78"/>
  <c r="B787" i="78"/>
  <c r="E783" i="78"/>
  <c r="B782" i="78"/>
  <c r="B777" i="78"/>
  <c r="B772" i="78"/>
  <c r="E766" i="78"/>
  <c r="D765" i="78"/>
  <c r="D764" i="78"/>
  <c r="D763" i="78"/>
  <c r="D762" i="78"/>
  <c r="C761" i="78"/>
  <c r="B760" i="78"/>
  <c r="B759" i="78"/>
  <c r="B758" i="78"/>
  <c r="B757" i="78"/>
  <c r="B982" i="78"/>
  <c r="E933" i="78"/>
  <c r="E897" i="78"/>
  <c r="E892" i="78"/>
  <c r="C887" i="78"/>
  <c r="C883" i="78"/>
  <c r="D878" i="78"/>
  <c r="E875" i="78"/>
  <c r="E870" i="78"/>
  <c r="B867" i="78"/>
  <c r="C859" i="78"/>
  <c r="D1007" i="78"/>
  <c r="B936" i="78"/>
  <c r="E919" i="78"/>
  <c r="E904" i="78"/>
  <c r="E865" i="78"/>
  <c r="B859" i="78"/>
  <c r="C846" i="78"/>
  <c r="C836" i="78"/>
  <c r="E823" i="78"/>
  <c r="B818" i="78"/>
  <c r="C816" i="78"/>
  <c r="C798" i="78"/>
  <c r="D789" i="78"/>
  <c r="D780" i="78"/>
  <c r="D747" i="78"/>
  <c r="E743" i="78"/>
  <c r="C735" i="78"/>
  <c r="E717" i="78"/>
  <c r="B712" i="78"/>
  <c r="D711" i="78"/>
  <c r="B706" i="78"/>
  <c r="D705" i="78"/>
  <c r="B700" i="78"/>
  <c r="D699" i="78"/>
  <c r="B694" i="78"/>
  <c r="D693" i="78"/>
  <c r="B688" i="78"/>
  <c r="D687" i="78"/>
  <c r="B682" i="78"/>
  <c r="D681" i="78"/>
  <c r="B676" i="78"/>
  <c r="D675" i="78"/>
  <c r="B670" i="78"/>
  <c r="D669" i="78"/>
  <c r="B664" i="78"/>
  <c r="D663" i="78"/>
  <c r="B658" i="78"/>
  <c r="D657" i="78"/>
  <c r="B652" i="78"/>
  <c r="D651" i="78"/>
  <c r="B646" i="78"/>
  <c r="D645" i="78"/>
  <c r="B640" i="78"/>
  <c r="D639" i="78"/>
  <c r="B634" i="78"/>
  <c r="D633" i="78"/>
  <c r="B628" i="78"/>
  <c r="D627" i="78"/>
  <c r="B622" i="78"/>
  <c r="D621" i="78"/>
  <c r="B616" i="78"/>
  <c r="D615" i="78"/>
  <c r="B610" i="78"/>
  <c r="D609" i="78"/>
  <c r="E1130" i="78"/>
  <c r="D978" i="78"/>
  <c r="C948" i="78"/>
  <c r="D929" i="78"/>
  <c r="C878" i="78"/>
  <c r="D865" i="78"/>
  <c r="E853" i="78"/>
  <c r="B836" i="78"/>
  <c r="D823" i="78"/>
  <c r="E805" i="78"/>
  <c r="C793" i="78"/>
  <c r="B789" i="78"/>
  <c r="E775" i="78"/>
  <c r="C766" i="78"/>
  <c r="C764" i="78"/>
  <c r="C762" i="78"/>
  <c r="C743" i="78"/>
  <c r="E736" i="78"/>
  <c r="E721" i="78"/>
  <c r="E720" i="78"/>
  <c r="E719" i="78"/>
  <c r="E718" i="78"/>
  <c r="D717" i="78"/>
  <c r="E716" i="78"/>
  <c r="C711" i="78"/>
  <c r="E710" i="78"/>
  <c r="C705" i="78"/>
  <c r="E704" i="78"/>
  <c r="C699" i="78"/>
  <c r="E698" i="78"/>
  <c r="C693" i="78"/>
  <c r="E692" i="78"/>
  <c r="C687" i="78"/>
  <c r="E686" i="78"/>
  <c r="C681" i="78"/>
  <c r="E680" i="78"/>
  <c r="C675" i="78"/>
  <c r="E674" i="78"/>
  <c r="C669" i="78"/>
  <c r="E668" i="78"/>
  <c r="C663" i="78"/>
  <c r="E662" i="78"/>
  <c r="C657" i="78"/>
  <c r="E656" i="78"/>
  <c r="C651" i="78"/>
  <c r="E650" i="78"/>
  <c r="C645" i="78"/>
  <c r="E644" i="78"/>
  <c r="C639" i="78"/>
  <c r="E638" i="78"/>
  <c r="E1054" i="78"/>
  <c r="E1043" i="78"/>
  <c r="B948" i="78"/>
  <c r="B929" i="78"/>
  <c r="B878" i="78"/>
  <c r="C865" i="78"/>
  <c r="D853" i="78"/>
  <c r="E843" i="78"/>
  <c r="B825" i="78"/>
  <c r="C823" i="78"/>
  <c r="E813" i="78"/>
  <c r="D805" i="78"/>
  <c r="B793" i="78"/>
  <c r="C784" i="78"/>
  <c r="D775" i="78"/>
  <c r="E768" i="78"/>
  <c r="B766" i="78"/>
  <c r="B764" i="78"/>
  <c r="E737" i="78"/>
  <c r="C736" i="78"/>
  <c r="E723" i="78"/>
  <c r="E722" i="78"/>
  <c r="D721" i="78"/>
  <c r="D720" i="78"/>
  <c r="D719" i="78"/>
  <c r="C718" i="78"/>
  <c r="C717" i="78"/>
  <c r="D716" i="78"/>
  <c r="B711" i="78"/>
  <c r="D710" i="78"/>
  <c r="B705" i="78"/>
  <c r="D704" i="78"/>
  <c r="B699" i="78"/>
  <c r="D698" i="78"/>
  <c r="B693" i="78"/>
  <c r="D692" i="78"/>
  <c r="B687" i="78"/>
  <c r="D686" i="78"/>
  <c r="B681" i="78"/>
  <c r="D680" i="78"/>
  <c r="B675" i="78"/>
  <c r="D674" i="78"/>
  <c r="B669" i="78"/>
  <c r="D668" i="78"/>
  <c r="B663" i="78"/>
  <c r="D662" i="78"/>
  <c r="B657" i="78"/>
  <c r="D656" i="78"/>
  <c r="B651" i="78"/>
  <c r="D650" i="78"/>
  <c r="B645" i="78"/>
  <c r="D644" i="78"/>
  <c r="B639" i="78"/>
  <c r="D638" i="78"/>
  <c r="B633" i="78"/>
  <c r="D632" i="78"/>
  <c r="B627" i="78"/>
  <c r="D626" i="78"/>
  <c r="B621" i="78"/>
  <c r="D620" i="78"/>
  <c r="B615" i="78"/>
  <c r="D614" i="78"/>
  <c r="B609" i="78"/>
  <c r="D608" i="78"/>
  <c r="D986" i="78"/>
  <c r="D953" i="78"/>
  <c r="E902" i="78"/>
  <c r="D884" i="78"/>
  <c r="E881" i="78"/>
  <c r="B865" i="78"/>
  <c r="C853" i="78"/>
  <c r="B843" i="78"/>
  <c r="E833" i="78"/>
  <c r="E815" i="78"/>
  <c r="C805" i="78"/>
  <c r="E795" i="78"/>
  <c r="B784" i="78"/>
  <c r="D768" i="78"/>
  <c r="E748" i="78"/>
  <c r="E744" i="78"/>
  <c r="E738" i="78"/>
  <c r="D737" i="78"/>
  <c r="E727" i="78"/>
  <c r="E726" i="78"/>
  <c r="E725" i="78"/>
  <c r="E724" i="78"/>
  <c r="D723" i="78"/>
  <c r="C722" i="78"/>
  <c r="C721" i="78"/>
  <c r="C720" i="78"/>
  <c r="C719" i="78"/>
  <c r="B718" i="78"/>
  <c r="C716" i="78"/>
  <c r="E715" i="78"/>
  <c r="C710" i="78"/>
  <c r="E709" i="78"/>
  <c r="C704" i="78"/>
  <c r="E703" i="78"/>
  <c r="C698" i="78"/>
  <c r="E697" i="78"/>
  <c r="C692" i="78"/>
  <c r="E691" i="78"/>
  <c r="C686" i="78"/>
  <c r="E685" i="78"/>
  <c r="C680" i="78"/>
  <c r="E679" i="78"/>
  <c r="C674" i="78"/>
  <c r="E673" i="78"/>
  <c r="B986" i="78"/>
  <c r="C953" i="78"/>
  <c r="D933" i="78"/>
  <c r="E922" i="78"/>
  <c r="E916" i="78"/>
  <c r="B902" i="78"/>
  <c r="C897" i="78"/>
  <c r="C884" i="78"/>
  <c r="E871" i="78"/>
  <c r="B853" i="78"/>
  <c r="E840" i="78"/>
  <c r="B835" i="78"/>
  <c r="D830" i="78"/>
  <c r="E822" i="78"/>
  <c r="B805" i="78"/>
  <c r="D795" i="78"/>
  <c r="C788" i="78"/>
  <c r="D770" i="78"/>
  <c r="C768" i="78"/>
  <c r="D744" i="78"/>
  <c r="E739" i="78"/>
  <c r="D738" i="78"/>
  <c r="C737" i="78"/>
  <c r="E729" i="78"/>
  <c r="E728" i="78"/>
  <c r="D727" i="78"/>
  <c r="D726" i="78"/>
  <c r="D725" i="78"/>
  <c r="C724" i="78"/>
  <c r="C723" i="78"/>
  <c r="B722" i="78"/>
  <c r="B721" i="78"/>
  <c r="B720" i="78"/>
  <c r="B716" i="78"/>
  <c r="D715" i="78"/>
  <c r="B710" i="78"/>
  <c r="D709" i="78"/>
  <c r="B704" i="78"/>
  <c r="D703" i="78"/>
  <c r="B698" i="78"/>
  <c r="D697" i="78"/>
  <c r="B692" i="78"/>
  <c r="D691" i="78"/>
  <c r="B686" i="78"/>
  <c r="D685" i="78"/>
  <c r="B680" i="78"/>
  <c r="D679" i="78"/>
  <c r="B674" i="78"/>
  <c r="D673" i="78"/>
  <c r="B668" i="78"/>
  <c r="D667" i="78"/>
  <c r="B662" i="78"/>
  <c r="D661" i="78"/>
  <c r="B656" i="78"/>
  <c r="D655" i="78"/>
  <c r="B650" i="78"/>
  <c r="D649" i="78"/>
  <c r="B644" i="78"/>
  <c r="D922" i="78"/>
  <c r="D916" i="78"/>
  <c r="E907" i="78"/>
  <c r="C892" i="78"/>
  <c r="B884" i="78"/>
  <c r="D871" i="78"/>
  <c r="C850" i="78"/>
  <c r="D840" i="78"/>
  <c r="C832" i="78"/>
  <c r="C830" i="78"/>
  <c r="D822" i="78"/>
  <c r="D812" i="78"/>
  <c r="C802" i="78"/>
  <c r="B795" i="78"/>
  <c r="B788" i="78"/>
  <c r="E779" i="78"/>
  <c r="E745" i="78"/>
  <c r="D739" i="78"/>
  <c r="C738" i="78"/>
  <c r="E731" i="78"/>
  <c r="E730" i="78"/>
  <c r="D729" i="78"/>
  <c r="C728" i="78"/>
  <c r="C727" i="78"/>
  <c r="C726" i="78"/>
  <c r="C725" i="78"/>
  <c r="B724" i="78"/>
  <c r="C715" i="78"/>
  <c r="E714" i="78"/>
  <c r="C709" i="78"/>
  <c r="E708" i="78"/>
  <c r="C703" i="78"/>
  <c r="E702" i="78"/>
  <c r="C697" i="78"/>
  <c r="E696" i="78"/>
  <c r="C691" i="78"/>
  <c r="E690" i="78"/>
  <c r="C685" i="78"/>
  <c r="E684" i="78"/>
  <c r="C679" i="78"/>
  <c r="E678" i="78"/>
  <c r="C673" i="78"/>
  <c r="E672" i="78"/>
  <c r="C667" i="78"/>
  <c r="E666" i="78"/>
  <c r="C661" i="78"/>
  <c r="E660" i="78"/>
  <c r="C655" i="78"/>
  <c r="E654" i="78"/>
  <c r="C649" i="78"/>
  <c r="E648" i="78"/>
  <c r="C643" i="78"/>
  <c r="E642" i="78"/>
  <c r="C637" i="78"/>
  <c r="E636" i="78"/>
  <c r="C922" i="78"/>
  <c r="B916" i="78"/>
  <c r="B892" i="78"/>
  <c r="B887" i="78"/>
  <c r="E847" i="78"/>
  <c r="B842" i="78"/>
  <c r="C840" i="78"/>
  <c r="C822" i="78"/>
  <c r="C812" i="78"/>
  <c r="E799" i="78"/>
  <c r="D783" i="78"/>
  <c r="E774" i="78"/>
  <c r="D745" i="78"/>
  <c r="E740" i="78"/>
  <c r="C739" i="78"/>
  <c r="B738" i="78"/>
  <c r="E732" i="78"/>
  <c r="D731" i="78"/>
  <c r="C730" i="78"/>
  <c r="C729" i="78"/>
  <c r="B728" i="78"/>
  <c r="B727" i="78"/>
  <c r="B726" i="78"/>
  <c r="B715" i="78"/>
  <c r="D714" i="78"/>
  <c r="B709" i="78"/>
  <c r="D708" i="78"/>
  <c r="B703" i="78"/>
  <c r="D702" i="78"/>
  <c r="B697" i="78"/>
  <c r="D696" i="78"/>
  <c r="B691" i="78"/>
  <c r="D690" i="78"/>
  <c r="B685" i="78"/>
  <c r="D684" i="78"/>
  <c r="B679" i="78"/>
  <c r="D678" i="78"/>
  <c r="B673" i="78"/>
  <c r="D672" i="78"/>
  <c r="B667" i="78"/>
  <c r="D666" i="78"/>
  <c r="B661" i="78"/>
  <c r="D660" i="78"/>
  <c r="E958" i="78"/>
  <c r="C910" i="78"/>
  <c r="B896" i="78"/>
  <c r="D891" i="78"/>
  <c r="D886" i="78"/>
  <c r="C870" i="78"/>
  <c r="D860" i="78"/>
  <c r="B849" i="78"/>
  <c r="C847" i="78"/>
  <c r="E837" i="78"/>
  <c r="D829" i="78"/>
  <c r="E819" i="78"/>
  <c r="B801" i="78"/>
  <c r="C799" i="78"/>
  <c r="D794" i="78"/>
  <c r="B790" i="78"/>
  <c r="C778" i="78"/>
  <c r="C774" i="78"/>
  <c r="E769" i="78"/>
  <c r="E767" i="78"/>
  <c r="B765" i="78"/>
  <c r="B763" i="78"/>
  <c r="E746" i="78"/>
  <c r="E741" i="78"/>
  <c r="B740" i="78"/>
  <c r="D733" i="78"/>
  <c r="C732" i="78"/>
  <c r="B714" i="78"/>
  <c r="D713" i="78"/>
  <c r="B708" i="78"/>
  <c r="D707" i="78"/>
  <c r="B702" i="78"/>
  <c r="D701" i="78"/>
  <c r="B696" i="78"/>
  <c r="D695" i="78"/>
  <c r="B690" i="78"/>
  <c r="D689" i="78"/>
  <c r="B910" i="78"/>
  <c r="E839" i="78"/>
  <c r="D746" i="78"/>
  <c r="E734" i="78"/>
  <c r="C731" i="78"/>
  <c r="E713" i="78"/>
  <c r="E711" i="78"/>
  <c r="E706" i="78"/>
  <c r="C690" i="78"/>
  <c r="B684" i="78"/>
  <c r="D682" i="78"/>
  <c r="C664" i="78"/>
  <c r="C659" i="78"/>
  <c r="C656" i="78"/>
  <c r="E653" i="78"/>
  <c r="B649" i="78"/>
  <c r="E646" i="78"/>
  <c r="D642" i="78"/>
  <c r="B641" i="78"/>
  <c r="E637" i="78"/>
  <c r="B636" i="78"/>
  <c r="E613" i="78"/>
  <c r="E612" i="78"/>
  <c r="E611" i="78"/>
  <c r="E610" i="78"/>
  <c r="E609" i="78"/>
  <c r="C608" i="78"/>
  <c r="E607" i="78"/>
  <c r="C602" i="78"/>
  <c r="E601" i="78"/>
  <c r="C596" i="78"/>
  <c r="E595" i="78"/>
  <c r="C590" i="78"/>
  <c r="E589" i="78"/>
  <c r="C584" i="78"/>
  <c r="E583" i="78"/>
  <c r="C578" i="78"/>
  <c r="E577" i="78"/>
  <c r="C572" i="78"/>
  <c r="E571" i="78"/>
  <c r="C566" i="78"/>
  <c r="E565" i="78"/>
  <c r="C560" i="78"/>
  <c r="E559" i="78"/>
  <c r="C554" i="78"/>
  <c r="E553" i="78"/>
  <c r="C548" i="78"/>
  <c r="E547" i="78"/>
  <c r="C542" i="78"/>
  <c r="E541" i="78"/>
  <c r="C536" i="78"/>
  <c r="E535" i="78"/>
  <c r="C530" i="78"/>
  <c r="E529" i="78"/>
  <c r="C524" i="78"/>
  <c r="E523" i="78"/>
  <c r="C518" i="78"/>
  <c r="E517" i="78"/>
  <c r="C512" i="78"/>
  <c r="E511" i="78"/>
  <c r="C506" i="78"/>
  <c r="E505" i="78"/>
  <c r="C500" i="78"/>
  <c r="E499" i="78"/>
  <c r="C494" i="78"/>
  <c r="E493" i="78"/>
  <c r="D963" i="78"/>
  <c r="D901" i="78"/>
  <c r="B812" i="78"/>
  <c r="C734" i="78"/>
  <c r="C713" i="78"/>
  <c r="D706" i="78"/>
  <c r="C682" i="78"/>
  <c r="C678" i="78"/>
  <c r="E676" i="78"/>
  <c r="E667" i="78"/>
  <c r="B659" i="78"/>
  <c r="D653" i="78"/>
  <c r="D646" i="78"/>
  <c r="C642" i="78"/>
  <c r="D637" i="78"/>
  <c r="E614" i="78"/>
  <c r="D613" i="78"/>
  <c r="D612" i="78"/>
  <c r="D611" i="78"/>
  <c r="D610" i="78"/>
  <c r="C609" i="78"/>
  <c r="B608" i="78"/>
  <c r="D607" i="78"/>
  <c r="B602" i="78"/>
  <c r="D601" i="78"/>
  <c r="B596" i="78"/>
  <c r="D595" i="78"/>
  <c r="B590" i="78"/>
  <c r="D589" i="78"/>
  <c r="B584" i="78"/>
  <c r="D583" i="78"/>
  <c r="B578" i="78"/>
  <c r="D577" i="78"/>
  <c r="B572" i="78"/>
  <c r="D571" i="78"/>
  <c r="B566" i="78"/>
  <c r="D565" i="78"/>
  <c r="B560" i="78"/>
  <c r="D559" i="78"/>
  <c r="B554" i="78"/>
  <c r="D553" i="78"/>
  <c r="B548" i="78"/>
  <c r="D547" i="78"/>
  <c r="B542" i="78"/>
  <c r="D541" i="78"/>
  <c r="B536" i="78"/>
  <c r="D535" i="78"/>
  <c r="B530" i="78"/>
  <c r="D529" i="78"/>
  <c r="B524" i="78"/>
  <c r="D523" i="78"/>
  <c r="B518" i="78"/>
  <c r="D517" i="78"/>
  <c r="B512" i="78"/>
  <c r="D511" i="78"/>
  <c r="B506" i="78"/>
  <c r="D505" i="78"/>
  <c r="B500" i="78"/>
  <c r="D499" i="78"/>
  <c r="B973" i="78"/>
  <c r="B873" i="78"/>
  <c r="B734" i="78"/>
  <c r="B713" i="78"/>
  <c r="C706" i="78"/>
  <c r="E701" i="78"/>
  <c r="E699" i="78"/>
  <c r="E694" i="78"/>
  <c r="B678" i="78"/>
  <c r="D676" i="78"/>
  <c r="E665" i="78"/>
  <c r="C662" i="78"/>
  <c r="C653" i="78"/>
  <c r="C646" i="78"/>
  <c r="E643" i="78"/>
  <c r="B642" i="78"/>
  <c r="B637" i="78"/>
  <c r="E619" i="78"/>
  <c r="E618" i="78"/>
  <c r="E617" i="78"/>
  <c r="E616" i="78"/>
  <c r="E615" i="78"/>
  <c r="C614" i="78"/>
  <c r="C613" i="78"/>
  <c r="C612" i="78"/>
  <c r="C611" i="78"/>
  <c r="C610" i="78"/>
  <c r="C607" i="78"/>
  <c r="E606" i="78"/>
  <c r="C601" i="78"/>
  <c r="E600" i="78"/>
  <c r="C595" i="78"/>
  <c r="E594" i="78"/>
  <c r="C589" i="78"/>
  <c r="E588" i="78"/>
  <c r="C583" i="78"/>
  <c r="E582" i="78"/>
  <c r="C577" i="78"/>
  <c r="E576" i="78"/>
  <c r="C571" i="78"/>
  <c r="E570" i="78"/>
  <c r="C565" i="78"/>
  <c r="E564" i="78"/>
  <c r="C559" i="78"/>
  <c r="E558" i="78"/>
  <c r="C553" i="78"/>
  <c r="E552" i="78"/>
  <c r="C547" i="78"/>
  <c r="E546" i="78"/>
  <c r="C541" i="78"/>
  <c r="E540" i="78"/>
  <c r="C535" i="78"/>
  <c r="E534" i="78"/>
  <c r="C529" i="78"/>
  <c r="E528" i="78"/>
  <c r="C523" i="78"/>
  <c r="E522" i="78"/>
  <c r="E1037" i="78"/>
  <c r="E952" i="78"/>
  <c r="B883" i="78"/>
  <c r="C860" i="78"/>
  <c r="E816" i="78"/>
  <c r="D806" i="78"/>
  <c r="C790" i="78"/>
  <c r="B745" i="78"/>
  <c r="B739" i="78"/>
  <c r="C708" i="78"/>
  <c r="C701" i="78"/>
  <c r="D694" i="78"/>
  <c r="C676" i="78"/>
  <c r="C672" i="78"/>
  <c r="E670" i="78"/>
  <c r="D665" i="78"/>
  <c r="B653" i="78"/>
  <c r="C650" i="78"/>
  <c r="E647" i="78"/>
  <c r="D643" i="78"/>
  <c r="C638" i="78"/>
  <c r="E620" i="78"/>
  <c r="D619" i="78"/>
  <c r="D618" i="78"/>
  <c r="D617" i="78"/>
  <c r="D616" i="78"/>
  <c r="C615" i="78"/>
  <c r="B614" i="78"/>
  <c r="B613" i="78"/>
  <c r="B612" i="78"/>
  <c r="B611" i="78"/>
  <c r="B607" i="78"/>
  <c r="D606" i="78"/>
  <c r="B601" i="78"/>
  <c r="D600" i="78"/>
  <c r="B595" i="78"/>
  <c r="D594" i="78"/>
  <c r="B589" i="78"/>
  <c r="D588" i="78"/>
  <c r="B583" i="78"/>
  <c r="D582" i="78"/>
  <c r="B577" i="78"/>
  <c r="D576" i="78"/>
  <c r="B571" i="78"/>
  <c r="D570" i="78"/>
  <c r="B565" i="78"/>
  <c r="D564" i="78"/>
  <c r="B559" i="78"/>
  <c r="D558" i="78"/>
  <c r="B553" i="78"/>
  <c r="D552" i="78"/>
  <c r="B547" i="78"/>
  <c r="D546" i="78"/>
  <c r="B541" i="78"/>
  <c r="D540" i="78"/>
  <c r="B535" i="78"/>
  <c r="D534" i="78"/>
  <c r="B529" i="78"/>
  <c r="D528" i="78"/>
  <c r="B523" i="78"/>
  <c r="D522" i="78"/>
  <c r="B517" i="78"/>
  <c r="D516" i="78"/>
  <c r="B511" i="78"/>
  <c r="D510" i="78"/>
  <c r="B505" i="78"/>
  <c r="D504" i="78"/>
  <c r="B499" i="78"/>
  <c r="D498" i="78"/>
  <c r="B493" i="78"/>
  <c r="D492" i="78"/>
  <c r="B1080" i="78"/>
  <c r="C1037" i="78"/>
  <c r="C891" i="78"/>
  <c r="B860" i="78"/>
  <c r="D854" i="78"/>
  <c r="D816" i="78"/>
  <c r="B811" i="78"/>
  <c r="C806" i="78"/>
  <c r="E785" i="78"/>
  <c r="E742" i="78"/>
  <c r="E733" i="78"/>
  <c r="B701" i="78"/>
  <c r="C694" i="78"/>
  <c r="E689" i="78"/>
  <c r="E683" i="78"/>
  <c r="B672" i="78"/>
  <c r="D670" i="78"/>
  <c r="C665" i="78"/>
  <c r="C660" i="78"/>
  <c r="E657" i="78"/>
  <c r="D654" i="78"/>
  <c r="D647" i="78"/>
  <c r="B643" i="78"/>
  <c r="B638" i="78"/>
  <c r="E625" i="78"/>
  <c r="E624" i="78"/>
  <c r="E623" i="78"/>
  <c r="E622" i="78"/>
  <c r="E621" i="78"/>
  <c r="C620" i="78"/>
  <c r="C619" i="78"/>
  <c r="C618" i="78"/>
  <c r="C617" i="78"/>
  <c r="C616" i="78"/>
  <c r="C606" i="78"/>
  <c r="E605" i="78"/>
  <c r="C600" i="78"/>
  <c r="E599" i="78"/>
  <c r="C594" i="78"/>
  <c r="E593" i="78"/>
  <c r="C588" i="78"/>
  <c r="E587" i="78"/>
  <c r="C582" i="78"/>
  <c r="E581" i="78"/>
  <c r="C576" i="78"/>
  <c r="E575" i="78"/>
  <c r="C570" i="78"/>
  <c r="E569" i="78"/>
  <c r="C564" i="78"/>
  <c r="E563" i="78"/>
  <c r="C558" i="78"/>
  <c r="E557" i="78"/>
  <c r="C552" i="78"/>
  <c r="E551" i="78"/>
  <c r="C546" i="78"/>
  <c r="E545" i="78"/>
  <c r="C540" i="78"/>
  <c r="E539" i="78"/>
  <c r="C534" i="78"/>
  <c r="E533" i="78"/>
  <c r="C528" i="78"/>
  <c r="E527" i="78"/>
  <c r="C854" i="78"/>
  <c r="C826" i="78"/>
  <c r="E780" i="78"/>
  <c r="C765" i="78"/>
  <c r="C742" i="78"/>
  <c r="C733" i="78"/>
  <c r="B730" i="78"/>
  <c r="E712" i="78"/>
  <c r="C696" i="78"/>
  <c r="C689" i="78"/>
  <c r="E687" i="78"/>
  <c r="D683" i="78"/>
  <c r="C670" i="78"/>
  <c r="B665" i="78"/>
  <c r="B660" i="78"/>
  <c r="C654" i="78"/>
  <c r="C647" i="78"/>
  <c r="E626" i="78"/>
  <c r="D625" i="78"/>
  <c r="D624" i="78"/>
  <c r="D623" i="78"/>
  <c r="D622" i="78"/>
  <c r="C621" i="78"/>
  <c r="B620" i="78"/>
  <c r="B619" i="78"/>
  <c r="B618" i="78"/>
  <c r="B617" i="78"/>
  <c r="B606" i="78"/>
  <c r="D605" i="78"/>
  <c r="B600" i="78"/>
  <c r="D599" i="78"/>
  <c r="B594" i="78"/>
  <c r="D593" i="78"/>
  <c r="B588" i="78"/>
  <c r="D587" i="78"/>
  <c r="B582" i="78"/>
  <c r="D581" i="78"/>
  <c r="B576" i="78"/>
  <c r="D575" i="78"/>
  <c r="B570" i="78"/>
  <c r="D569" i="78"/>
  <c r="B564" i="78"/>
  <c r="D563" i="78"/>
  <c r="B558" i="78"/>
  <c r="D557" i="78"/>
  <c r="B552" i="78"/>
  <c r="D551" i="78"/>
  <c r="B546" i="78"/>
  <c r="D545" i="78"/>
  <c r="B540" i="78"/>
  <c r="D539" i="78"/>
  <c r="B534" i="78"/>
  <c r="D533" i="78"/>
  <c r="B528" i="78"/>
  <c r="D527" i="78"/>
  <c r="B522" i="78"/>
  <c r="D521" i="78"/>
  <c r="B516" i="78"/>
  <c r="D515" i="78"/>
  <c r="B510" i="78"/>
  <c r="D509" i="78"/>
  <c r="B504" i="78"/>
  <c r="D503" i="78"/>
  <c r="B498" i="78"/>
  <c r="D497" i="78"/>
  <c r="B492" i="78"/>
  <c r="D799" i="78"/>
  <c r="C794" i="78"/>
  <c r="E789" i="78"/>
  <c r="B733" i="78"/>
  <c r="D712" i="78"/>
  <c r="B689" i="78"/>
  <c r="C683" i="78"/>
  <c r="E677" i="78"/>
  <c r="C668" i="78"/>
  <c r="E658" i="78"/>
  <c r="B654" i="78"/>
  <c r="B647" i="78"/>
  <c r="C644" i="78"/>
  <c r="E639" i="78"/>
  <c r="E631" i="78"/>
  <c r="E630" i="78"/>
  <c r="E629" i="78"/>
  <c r="E628" i="78"/>
  <c r="E627" i="78"/>
  <c r="C626" i="78"/>
  <c r="C625" i="78"/>
  <c r="C624" i="78"/>
  <c r="C623" i="78"/>
  <c r="C622" i="78"/>
  <c r="C605" i="78"/>
  <c r="E604" i="78"/>
  <c r="C599" i="78"/>
  <c r="E598" i="78"/>
  <c r="C593" i="78"/>
  <c r="E592" i="78"/>
  <c r="C587" i="78"/>
  <c r="E586" i="78"/>
  <c r="C581" i="78"/>
  <c r="E580" i="78"/>
  <c r="C575" i="78"/>
  <c r="E574" i="78"/>
  <c r="C569" i="78"/>
  <c r="E568" i="78"/>
  <c r="C563" i="78"/>
  <c r="E562" i="78"/>
  <c r="C557" i="78"/>
  <c r="E556" i="78"/>
  <c r="C551" i="78"/>
  <c r="E550" i="78"/>
  <c r="C545" i="78"/>
  <c r="E544" i="78"/>
  <c r="C539" i="78"/>
  <c r="E538" i="78"/>
  <c r="C533" i="78"/>
  <c r="E532" i="78"/>
  <c r="C527" i="78"/>
  <c r="E526" i="78"/>
  <c r="C521" i="78"/>
  <c r="E520" i="78"/>
  <c r="D876" i="78"/>
  <c r="B819" i="78"/>
  <c r="E809" i="78"/>
  <c r="E798" i="78"/>
  <c r="C769" i="78"/>
  <c r="C741" i="78"/>
  <c r="D732" i="78"/>
  <c r="C714" i="78"/>
  <c r="C707" i="78"/>
  <c r="D700" i="78"/>
  <c r="C677" i="78"/>
  <c r="E671" i="78"/>
  <c r="C666" i="78"/>
  <c r="C658" i="78"/>
  <c r="E655" i="78"/>
  <c r="C648" i="78"/>
  <c r="D640" i="78"/>
  <c r="E635" i="78"/>
  <c r="E634" i="78"/>
  <c r="E633" i="78"/>
  <c r="C632" i="78"/>
  <c r="C631" i="78"/>
  <c r="C630" i="78"/>
  <c r="C629" i="78"/>
  <c r="C628" i="78"/>
  <c r="C604" i="78"/>
  <c r="E603" i="78"/>
  <c r="C598" i="78"/>
  <c r="E597" i="78"/>
  <c r="C592" i="78"/>
  <c r="E591" i="78"/>
  <c r="C586" i="78"/>
  <c r="E585" i="78"/>
  <c r="C580" i="78"/>
  <c r="E579" i="78"/>
  <c r="C574" i="78"/>
  <c r="E573" i="78"/>
  <c r="C568" i="78"/>
  <c r="E567" i="78"/>
  <c r="C562" i="78"/>
  <c r="E561" i="78"/>
  <c r="C556" i="78"/>
  <c r="E555" i="78"/>
  <c r="C550" i="78"/>
  <c r="E549" i="78"/>
  <c r="C544" i="78"/>
  <c r="E543" i="78"/>
  <c r="C538" i="78"/>
  <c r="E537" i="78"/>
  <c r="C532" i="78"/>
  <c r="E531" i="78"/>
  <c r="C526" i="78"/>
  <c r="E525" i="78"/>
  <c r="C520" i="78"/>
  <c r="E519" i="78"/>
  <c r="C514" i="78"/>
  <c r="E513" i="78"/>
  <c r="C740" i="78"/>
  <c r="C712" i="78"/>
  <c r="E707" i="78"/>
  <c r="E693" i="78"/>
  <c r="D688" i="78"/>
  <c r="D664" i="78"/>
  <c r="D603" i="78"/>
  <c r="E590" i="78"/>
  <c r="D579" i="78"/>
  <c r="E566" i="78"/>
  <c r="D555" i="78"/>
  <c r="E542" i="78"/>
  <c r="D531" i="78"/>
  <c r="B519" i="78"/>
  <c r="B513" i="78"/>
  <c r="B509" i="78"/>
  <c r="D495" i="78"/>
  <c r="D494" i="78"/>
  <c r="C489" i="78"/>
  <c r="E488" i="78"/>
  <c r="C483" i="78"/>
  <c r="E482" i="78"/>
  <c r="C477" i="78"/>
  <c r="E476" i="78"/>
  <c r="C471" i="78"/>
  <c r="E470" i="78"/>
  <c r="C465" i="78"/>
  <c r="E464" i="78"/>
  <c r="C459" i="78"/>
  <c r="E458" i="78"/>
  <c r="C453" i="78"/>
  <c r="E452" i="78"/>
  <c r="C447" i="78"/>
  <c r="E446" i="78"/>
  <c r="C441" i="78"/>
  <c r="E440" i="78"/>
  <c r="C435" i="78"/>
  <c r="E434" i="78"/>
  <c r="C429" i="78"/>
  <c r="E428" i="78"/>
  <c r="C423" i="78"/>
  <c r="E422" i="78"/>
  <c r="C417" i="78"/>
  <c r="E416" i="78"/>
  <c r="C411" i="78"/>
  <c r="E410" i="78"/>
  <c r="C405" i="78"/>
  <c r="E404" i="78"/>
  <c r="C399" i="78"/>
  <c r="E398" i="78"/>
  <c r="C393" i="78"/>
  <c r="E392" i="78"/>
  <c r="C387" i="78"/>
  <c r="E386" i="78"/>
  <c r="C381" i="78"/>
  <c r="E380" i="78"/>
  <c r="C375" i="78"/>
  <c r="E374" i="78"/>
  <c r="C369" i="78"/>
  <c r="E368" i="78"/>
  <c r="C856" i="78"/>
  <c r="C808" i="78"/>
  <c r="D774" i="78"/>
  <c r="B707" i="78"/>
  <c r="C688" i="78"/>
  <c r="C684" i="78"/>
  <c r="D671" i="78"/>
  <c r="D636" i="78"/>
  <c r="D630" i="78"/>
  <c r="C627" i="78"/>
  <c r="C603" i="78"/>
  <c r="D592" i="78"/>
  <c r="D590" i="78"/>
  <c r="C579" i="78"/>
  <c r="D568" i="78"/>
  <c r="D566" i="78"/>
  <c r="C555" i="78"/>
  <c r="D544" i="78"/>
  <c r="D542" i="78"/>
  <c r="C531" i="78"/>
  <c r="C517" i="78"/>
  <c r="E514" i="78"/>
  <c r="E510" i="78"/>
  <c r="E500" i="78"/>
  <c r="E496" i="78"/>
  <c r="C495" i="78"/>
  <c r="B494" i="78"/>
  <c r="B489" i="78"/>
  <c r="D488" i="78"/>
  <c r="B483" i="78"/>
  <c r="D482" i="78"/>
  <c r="B477" i="78"/>
  <c r="D476" i="78"/>
  <c r="B471" i="78"/>
  <c r="D470" i="78"/>
  <c r="B465" i="78"/>
  <c r="D464" i="78"/>
  <c r="B459" i="78"/>
  <c r="D458" i="78"/>
  <c r="B453" i="78"/>
  <c r="D452" i="78"/>
  <c r="B447" i="78"/>
  <c r="D446" i="78"/>
  <c r="B441" i="78"/>
  <c r="D440" i="78"/>
  <c r="B435" i="78"/>
  <c r="D434" i="78"/>
  <c r="B429" i="78"/>
  <c r="D428" i="78"/>
  <c r="B423" i="78"/>
  <c r="D422" i="78"/>
  <c r="B417" i="78"/>
  <c r="D416" i="78"/>
  <c r="B411" i="78"/>
  <c r="D410" i="78"/>
  <c r="B405" i="78"/>
  <c r="D404" i="78"/>
  <c r="B399" i="78"/>
  <c r="D398" i="78"/>
  <c r="B393" i="78"/>
  <c r="D392" i="78"/>
  <c r="B387" i="78"/>
  <c r="D386" i="78"/>
  <c r="B381" i="78"/>
  <c r="D380" i="78"/>
  <c r="B375" i="78"/>
  <c r="D374" i="78"/>
  <c r="D847" i="78"/>
  <c r="D798" i="78"/>
  <c r="C702" i="78"/>
  <c r="C671" i="78"/>
  <c r="E663" i="78"/>
  <c r="E652" i="78"/>
  <c r="C636" i="78"/>
  <c r="C633" i="78"/>
  <c r="B630" i="78"/>
  <c r="B605" i="78"/>
  <c r="B603" i="78"/>
  <c r="B592" i="78"/>
  <c r="B581" i="78"/>
  <c r="B579" i="78"/>
  <c r="B568" i="78"/>
  <c r="B557" i="78"/>
  <c r="B555" i="78"/>
  <c r="B544" i="78"/>
  <c r="B533" i="78"/>
  <c r="B531" i="78"/>
  <c r="D514" i="78"/>
  <c r="C510" i="78"/>
  <c r="C505" i="78"/>
  <c r="E501" i="78"/>
  <c r="D500" i="78"/>
  <c r="D496" i="78"/>
  <c r="B495" i="78"/>
  <c r="C488" i="78"/>
  <c r="E487" i="78"/>
  <c r="C482" i="78"/>
  <c r="E481" i="78"/>
  <c r="C476" i="78"/>
  <c r="E475" i="78"/>
  <c r="C470" i="78"/>
  <c r="E469" i="78"/>
  <c r="C464" i="78"/>
  <c r="E463" i="78"/>
  <c r="C458" i="78"/>
  <c r="E457" i="78"/>
  <c r="C452" i="78"/>
  <c r="E451" i="78"/>
  <c r="C446" i="78"/>
  <c r="E445" i="78"/>
  <c r="C440" i="78"/>
  <c r="E439" i="78"/>
  <c r="C434" i="78"/>
  <c r="E433" i="78"/>
  <c r="C428" i="78"/>
  <c r="E427" i="78"/>
  <c r="C422" i="78"/>
  <c r="E421" i="78"/>
  <c r="C416" i="78"/>
  <c r="E415" i="78"/>
  <c r="C410" i="78"/>
  <c r="E409" i="78"/>
  <c r="C404" i="78"/>
  <c r="E403" i="78"/>
  <c r="C398" i="78"/>
  <c r="E397" i="78"/>
  <c r="C392" i="78"/>
  <c r="E391" i="78"/>
  <c r="C386" i="78"/>
  <c r="E385" i="78"/>
  <c r="C380" i="78"/>
  <c r="E379" i="78"/>
  <c r="C374" i="78"/>
  <c r="E373" i="78"/>
  <c r="C368" i="78"/>
  <c r="E367" i="78"/>
  <c r="D910" i="78"/>
  <c r="B683" i="78"/>
  <c r="E675" i="78"/>
  <c r="B671" i="78"/>
  <c r="E659" i="78"/>
  <c r="D652" i="78"/>
  <c r="E649" i="78"/>
  <c r="E596" i="78"/>
  <c r="D585" i="78"/>
  <c r="E572" i="78"/>
  <c r="D561" i="78"/>
  <c r="E548" i="78"/>
  <c r="D537" i="78"/>
  <c r="E524" i="78"/>
  <c r="C522" i="78"/>
  <c r="B514" i="78"/>
  <c r="D501" i="78"/>
  <c r="C496" i="78"/>
  <c r="B488" i="78"/>
  <c r="D487" i="78"/>
  <c r="B482" i="78"/>
  <c r="D481" i="78"/>
  <c r="B476" i="78"/>
  <c r="D475" i="78"/>
  <c r="B470" i="78"/>
  <c r="D469" i="78"/>
  <c r="B464" i="78"/>
  <c r="D463" i="78"/>
  <c r="B458" i="78"/>
  <c r="D457" i="78"/>
  <c r="B452" i="78"/>
  <c r="D451" i="78"/>
  <c r="B446" i="78"/>
  <c r="D445" i="78"/>
  <c r="B440" i="78"/>
  <c r="D439" i="78"/>
  <c r="B434" i="78"/>
  <c r="D433" i="78"/>
  <c r="B428" i="78"/>
  <c r="D427" i="78"/>
  <c r="B422" i="78"/>
  <c r="D421" i="78"/>
  <c r="B416" i="78"/>
  <c r="D415" i="78"/>
  <c r="B410" i="78"/>
  <c r="D409" i="78"/>
  <c r="B404" i="78"/>
  <c r="D403" i="78"/>
  <c r="B398" i="78"/>
  <c r="D397" i="78"/>
  <c r="B392" i="78"/>
  <c r="D391" i="78"/>
  <c r="B386" i="78"/>
  <c r="D385" i="78"/>
  <c r="B380" i="78"/>
  <c r="D379" i="78"/>
  <c r="C1020" i="78"/>
  <c r="E846" i="78"/>
  <c r="E829" i="78"/>
  <c r="E773" i="78"/>
  <c r="B732" i="78"/>
  <c r="D659" i="78"/>
  <c r="C652" i="78"/>
  <c r="E645" i="78"/>
  <c r="B624" i="78"/>
  <c r="D598" i="78"/>
  <c r="D596" i="78"/>
  <c r="C585" i="78"/>
  <c r="D574" i="78"/>
  <c r="D572" i="78"/>
  <c r="C561" i="78"/>
  <c r="D550" i="78"/>
  <c r="D548" i="78"/>
  <c r="C537" i="78"/>
  <c r="D526" i="78"/>
  <c r="D524" i="78"/>
  <c r="D520" i="78"/>
  <c r="E515" i="78"/>
  <c r="E506" i="78"/>
  <c r="E502" i="78"/>
  <c r="C501" i="78"/>
  <c r="E497" i="78"/>
  <c r="B496" i="78"/>
  <c r="C487" i="78"/>
  <c r="E486" i="78"/>
  <c r="C481" i="78"/>
  <c r="E480" i="78"/>
  <c r="C475" i="78"/>
  <c r="E474" i="78"/>
  <c r="C469" i="78"/>
  <c r="E468" i="78"/>
  <c r="C463" i="78"/>
  <c r="E462" i="78"/>
  <c r="C457" i="78"/>
  <c r="E456" i="78"/>
  <c r="C451" i="78"/>
  <c r="E450" i="78"/>
  <c r="C445" i="78"/>
  <c r="E444" i="78"/>
  <c r="C439" i="78"/>
  <c r="E438" i="78"/>
  <c r="C433" i="78"/>
  <c r="E432" i="78"/>
  <c r="C427" i="78"/>
  <c r="E426" i="78"/>
  <c r="C421" i="78"/>
  <c r="E420" i="78"/>
  <c r="C415" i="78"/>
  <c r="E414" i="78"/>
  <c r="C409" i="78"/>
  <c r="E408" i="78"/>
  <c r="C403" i="78"/>
  <c r="E402" i="78"/>
  <c r="C397" i="78"/>
  <c r="E396" i="78"/>
  <c r="C391" i="78"/>
  <c r="E390" i="78"/>
  <c r="D870" i="78"/>
  <c r="D846" i="78"/>
  <c r="C829" i="78"/>
  <c r="E705" i="78"/>
  <c r="E700" i="78"/>
  <c r="B666" i="78"/>
  <c r="B655" i="78"/>
  <c r="D648" i="78"/>
  <c r="E641" i="78"/>
  <c r="D635" i="78"/>
  <c r="E632" i="78"/>
  <c r="D629" i="78"/>
  <c r="B598" i="78"/>
  <c r="B587" i="78"/>
  <c r="B585" i="78"/>
  <c r="B574" i="78"/>
  <c r="B563" i="78"/>
  <c r="B561" i="78"/>
  <c r="B550" i="78"/>
  <c r="B539" i="78"/>
  <c r="B537" i="78"/>
  <c r="B526" i="78"/>
  <c r="B520" i="78"/>
  <c r="E518" i="78"/>
  <c r="C515" i="78"/>
  <c r="C511" i="78"/>
  <c r="E507" i="78"/>
  <c r="D506" i="78"/>
  <c r="D502" i="78"/>
  <c r="B501" i="78"/>
  <c r="C497" i="78"/>
  <c r="B487" i="78"/>
  <c r="D486" i="78"/>
  <c r="B481" i="78"/>
  <c r="D480" i="78"/>
  <c r="B475" i="78"/>
  <c r="D474" i="78"/>
  <c r="B469" i="78"/>
  <c r="D468" i="78"/>
  <c r="B463" i="78"/>
  <c r="D462" i="78"/>
  <c r="B457" i="78"/>
  <c r="D456" i="78"/>
  <c r="B451" i="78"/>
  <c r="D450" i="78"/>
  <c r="B445" i="78"/>
  <c r="D444" i="78"/>
  <c r="B439" i="78"/>
  <c r="D438" i="78"/>
  <c r="B433" i="78"/>
  <c r="D432" i="78"/>
  <c r="B427" i="78"/>
  <c r="D426" i="78"/>
  <c r="B421" i="78"/>
  <c r="D420" i="78"/>
  <c r="B415" i="78"/>
  <c r="D414" i="78"/>
  <c r="B409" i="78"/>
  <c r="D408" i="78"/>
  <c r="B403" i="78"/>
  <c r="D402" i="78"/>
  <c r="B397" i="78"/>
  <c r="D396" i="78"/>
  <c r="B391" i="78"/>
  <c r="D390" i="78"/>
  <c r="B385" i="78"/>
  <c r="D384" i="78"/>
  <c r="B379" i="78"/>
  <c r="D378" i="78"/>
  <c r="B373" i="78"/>
  <c r="D372" i="78"/>
  <c r="D836" i="78"/>
  <c r="B829" i="78"/>
  <c r="C763" i="78"/>
  <c r="C700" i="78"/>
  <c r="E695" i="78"/>
  <c r="D658" i="78"/>
  <c r="E651" i="78"/>
  <c r="B648" i="78"/>
  <c r="D641" i="78"/>
  <c r="C635" i="78"/>
  <c r="B632" i="78"/>
  <c r="B629" i="78"/>
  <c r="B626" i="78"/>
  <c r="E602" i="78"/>
  <c r="D591" i="78"/>
  <c r="E578" i="78"/>
  <c r="D567" i="78"/>
  <c r="E554" i="78"/>
  <c r="D543" i="78"/>
  <c r="E530" i="78"/>
  <c r="D518" i="78"/>
  <c r="B515" i="78"/>
  <c r="D507" i="78"/>
  <c r="C502" i="78"/>
  <c r="B497" i="78"/>
  <c r="E491" i="78"/>
  <c r="C486" i="78"/>
  <c r="E485" i="78"/>
  <c r="C480" i="78"/>
  <c r="E479" i="78"/>
  <c r="C474" i="78"/>
  <c r="E473" i="78"/>
  <c r="C468" i="78"/>
  <c r="E467" i="78"/>
  <c r="C462" i="78"/>
  <c r="E461" i="78"/>
  <c r="C456" i="78"/>
  <c r="E455" i="78"/>
  <c r="C450" i="78"/>
  <c r="E449" i="78"/>
  <c r="C444" i="78"/>
  <c r="E443" i="78"/>
  <c r="C438" i="78"/>
  <c r="E437" i="78"/>
  <c r="C432" i="78"/>
  <c r="E431" i="78"/>
  <c r="C426" i="78"/>
  <c r="E425" i="78"/>
  <c r="C420" i="78"/>
  <c r="E419" i="78"/>
  <c r="C414" i="78"/>
  <c r="E413" i="78"/>
  <c r="C408" i="78"/>
  <c r="E407" i="78"/>
  <c r="C402" i="78"/>
  <c r="E401" i="78"/>
  <c r="C396" i="78"/>
  <c r="E395" i="78"/>
  <c r="C896" i="78"/>
  <c r="B886" i="78"/>
  <c r="B695" i="78"/>
  <c r="B604" i="78"/>
  <c r="B593" i="78"/>
  <c r="B591" i="78"/>
  <c r="B580" i="78"/>
  <c r="B569" i="78"/>
  <c r="B567" i="78"/>
  <c r="B556" i="78"/>
  <c r="B545" i="78"/>
  <c r="B543" i="78"/>
  <c r="B532" i="78"/>
  <c r="E516" i="78"/>
  <c r="D512" i="78"/>
  <c r="D508" i="78"/>
  <c r="B507" i="78"/>
  <c r="C503" i="78"/>
  <c r="C498" i="78"/>
  <c r="E492" i="78"/>
  <c r="C491" i="78"/>
  <c r="E490" i="78"/>
  <c r="C485" i="78"/>
  <c r="E484" i="78"/>
  <c r="C479" i="78"/>
  <c r="E478" i="78"/>
  <c r="C473" i="78"/>
  <c r="E472" i="78"/>
  <c r="C467" i="78"/>
  <c r="E466" i="78"/>
  <c r="C461" i="78"/>
  <c r="E460" i="78"/>
  <c r="C455" i="78"/>
  <c r="E454" i="78"/>
  <c r="C449" i="78"/>
  <c r="E448" i="78"/>
  <c r="C443" i="78"/>
  <c r="E442" i="78"/>
  <c r="C437" i="78"/>
  <c r="E436" i="78"/>
  <c r="C431" i="78"/>
  <c r="E430" i="78"/>
  <c r="C425" i="78"/>
  <c r="E424" i="78"/>
  <c r="C419" i="78"/>
  <c r="E418" i="78"/>
  <c r="C413" i="78"/>
  <c r="E412" i="78"/>
  <c r="C407" i="78"/>
  <c r="E406" i="78"/>
  <c r="C401" i="78"/>
  <c r="E400" i="78"/>
  <c r="C395" i="78"/>
  <c r="E394" i="78"/>
  <c r="C389" i="78"/>
  <c r="E388" i="78"/>
  <c r="C383" i="78"/>
  <c r="E382" i="78"/>
  <c r="C377" i="78"/>
  <c r="E376" i="78"/>
  <c r="C886" i="78"/>
  <c r="C876" i="78"/>
  <c r="E664" i="78"/>
  <c r="B631" i="78"/>
  <c r="D556" i="78"/>
  <c r="B538" i="78"/>
  <c r="C509" i="78"/>
  <c r="C484" i="78"/>
  <c r="D473" i="78"/>
  <c r="D471" i="78"/>
  <c r="C460" i="78"/>
  <c r="D449" i="78"/>
  <c r="D447" i="78"/>
  <c r="C436" i="78"/>
  <c r="D425" i="78"/>
  <c r="D423" i="78"/>
  <c r="C412" i="78"/>
  <c r="D401" i="78"/>
  <c r="D399" i="78"/>
  <c r="C382" i="78"/>
  <c r="E377" i="78"/>
  <c r="D371" i="78"/>
  <c r="C370" i="78"/>
  <c r="D369" i="78"/>
  <c r="D368" i="78"/>
  <c r="C367" i="78"/>
  <c r="C366" i="78"/>
  <c r="C365" i="78"/>
  <c r="C364" i="78"/>
  <c r="D363" i="78"/>
  <c r="B358" i="78"/>
  <c r="D357" i="78"/>
  <c r="B352" i="78"/>
  <c r="D351" i="78"/>
  <c r="B346" i="78"/>
  <c r="D345" i="78"/>
  <c r="B340" i="78"/>
  <c r="D339" i="78"/>
  <c r="B334" i="78"/>
  <c r="D333" i="78"/>
  <c r="B328" i="78"/>
  <c r="D327" i="78"/>
  <c r="B322" i="78"/>
  <c r="D321" i="78"/>
  <c r="B316" i="78"/>
  <c r="D315" i="78"/>
  <c r="B310" i="78"/>
  <c r="D309" i="78"/>
  <c r="B304" i="78"/>
  <c r="D303" i="78"/>
  <c r="B298" i="78"/>
  <c r="D297" i="78"/>
  <c r="B292" i="78"/>
  <c r="D291" i="78"/>
  <c r="B286" i="78"/>
  <c r="D285" i="78"/>
  <c r="B280" i="78"/>
  <c r="D279" i="78"/>
  <c r="B274" i="78"/>
  <c r="D273" i="78"/>
  <c r="B268" i="78"/>
  <c r="D267" i="78"/>
  <c r="B262" i="78"/>
  <c r="D261" i="78"/>
  <c r="B256" i="78"/>
  <c r="D255" i="78"/>
  <c r="B250" i="78"/>
  <c r="B599" i="78"/>
  <c r="D532" i="78"/>
  <c r="D519" i="78"/>
  <c r="B502" i="78"/>
  <c r="B486" i="78"/>
  <c r="B484" i="78"/>
  <c r="B473" i="78"/>
  <c r="B462" i="78"/>
  <c r="B460" i="78"/>
  <c r="B449" i="78"/>
  <c r="B438" i="78"/>
  <c r="B436" i="78"/>
  <c r="B425" i="78"/>
  <c r="B414" i="78"/>
  <c r="B412" i="78"/>
  <c r="B401" i="78"/>
  <c r="C390" i="78"/>
  <c r="C385" i="78"/>
  <c r="B382" i="78"/>
  <c r="D377" i="78"/>
  <c r="E372" i="78"/>
  <c r="C371" i="78"/>
  <c r="B370" i="78"/>
  <c r="B369" i="78"/>
  <c r="B368" i="78"/>
  <c r="B367" i="78"/>
  <c r="B366" i="78"/>
  <c r="B365" i="78"/>
  <c r="B364" i="78"/>
  <c r="C363" i="78"/>
  <c r="E362" i="78"/>
  <c r="C357" i="78"/>
  <c r="E356" i="78"/>
  <c r="C351" i="78"/>
  <c r="E350" i="78"/>
  <c r="C345" i="78"/>
  <c r="E344" i="78"/>
  <c r="C339" i="78"/>
  <c r="E338" i="78"/>
  <c r="D677" i="78"/>
  <c r="E608" i="78"/>
  <c r="E584" i="78"/>
  <c r="B575" i="78"/>
  <c r="C519" i="78"/>
  <c r="E508" i="78"/>
  <c r="D493" i="78"/>
  <c r="D490" i="78"/>
  <c r="E477" i="78"/>
  <c r="D466" i="78"/>
  <c r="E453" i="78"/>
  <c r="D442" i="78"/>
  <c r="E429" i="78"/>
  <c r="D418" i="78"/>
  <c r="E405" i="78"/>
  <c r="D394" i="78"/>
  <c r="B390" i="78"/>
  <c r="D388" i="78"/>
  <c r="B377" i="78"/>
  <c r="C372" i="78"/>
  <c r="B371" i="78"/>
  <c r="B363" i="78"/>
  <c r="D362" i="78"/>
  <c r="B357" i="78"/>
  <c r="D356" i="78"/>
  <c r="B351" i="78"/>
  <c r="D350" i="78"/>
  <c r="B345" i="78"/>
  <c r="D344" i="78"/>
  <c r="B339" i="78"/>
  <c r="D338" i="78"/>
  <c r="B333" i="78"/>
  <c r="D332" i="78"/>
  <c r="B327" i="78"/>
  <c r="D326" i="78"/>
  <c r="B321" i="78"/>
  <c r="D320" i="78"/>
  <c r="B315" i="78"/>
  <c r="D314" i="78"/>
  <c r="B309" i="78"/>
  <c r="D308" i="78"/>
  <c r="B303" i="78"/>
  <c r="D302" i="78"/>
  <c r="B297" i="78"/>
  <c r="D296" i="78"/>
  <c r="B291" i="78"/>
  <c r="D290" i="78"/>
  <c r="B285" i="78"/>
  <c r="D284" i="78"/>
  <c r="B279" i="78"/>
  <c r="D278" i="78"/>
  <c r="B273" i="78"/>
  <c r="D272" i="78"/>
  <c r="B267" i="78"/>
  <c r="D266" i="78"/>
  <c r="B261" i="78"/>
  <c r="D260" i="78"/>
  <c r="B255" i="78"/>
  <c r="D254" i="78"/>
  <c r="B677" i="78"/>
  <c r="E669" i="78"/>
  <c r="C641" i="78"/>
  <c r="B635" i="78"/>
  <c r="B623" i="78"/>
  <c r="D602" i="78"/>
  <c r="D584" i="78"/>
  <c r="E560" i="78"/>
  <c r="B551" i="78"/>
  <c r="C508" i="78"/>
  <c r="C499" i="78"/>
  <c r="C493" i="78"/>
  <c r="C490" i="78"/>
  <c r="D479" i="78"/>
  <c r="D477" i="78"/>
  <c r="C466" i="78"/>
  <c r="D455" i="78"/>
  <c r="D453" i="78"/>
  <c r="C442" i="78"/>
  <c r="D431" i="78"/>
  <c r="D429" i="78"/>
  <c r="C418" i="78"/>
  <c r="D407" i="78"/>
  <c r="D405" i="78"/>
  <c r="C394" i="78"/>
  <c r="C388" i="78"/>
  <c r="E383" i="78"/>
  <c r="D373" i="78"/>
  <c r="B372" i="78"/>
  <c r="C362" i="78"/>
  <c r="E361" i="78"/>
  <c r="C356" i="78"/>
  <c r="E355" i="78"/>
  <c r="C350" i="78"/>
  <c r="E349" i="78"/>
  <c r="C344" i="78"/>
  <c r="E343" i="78"/>
  <c r="C338" i="78"/>
  <c r="E337" i="78"/>
  <c r="C332" i="78"/>
  <c r="E331" i="78"/>
  <c r="C326" i="78"/>
  <c r="E325" i="78"/>
  <c r="C320" i="78"/>
  <c r="E319" i="78"/>
  <c r="C314" i="78"/>
  <c r="E313" i="78"/>
  <c r="C308" i="78"/>
  <c r="E307" i="78"/>
  <c r="C302" i="78"/>
  <c r="E301" i="78"/>
  <c r="C296" i="78"/>
  <c r="E295" i="78"/>
  <c r="C290" i="78"/>
  <c r="E289" i="78"/>
  <c r="C284" i="78"/>
  <c r="E283" i="78"/>
  <c r="C278" i="78"/>
  <c r="E277" i="78"/>
  <c r="D769" i="78"/>
  <c r="E661" i="78"/>
  <c r="D628" i="78"/>
  <c r="D578" i="78"/>
  <c r="D560" i="78"/>
  <c r="E536" i="78"/>
  <c r="B527" i="78"/>
  <c r="B508" i="78"/>
  <c r="B490" i="78"/>
  <c r="B479" i="78"/>
  <c r="B468" i="78"/>
  <c r="B466" i="78"/>
  <c r="B455" i="78"/>
  <c r="B444" i="78"/>
  <c r="B442" i="78"/>
  <c r="B431" i="78"/>
  <c r="B420" i="78"/>
  <c r="B418" i="78"/>
  <c r="B407" i="78"/>
  <c r="B396" i="78"/>
  <c r="B394" i="78"/>
  <c r="B388" i="78"/>
  <c r="D383" i="78"/>
  <c r="E378" i="78"/>
  <c r="C373" i="78"/>
  <c r="B362" i="78"/>
  <c r="D361" i="78"/>
  <c r="B356" i="78"/>
  <c r="D355" i="78"/>
  <c r="B350" i="78"/>
  <c r="D349" i="78"/>
  <c r="B344" i="78"/>
  <c r="D343" i="78"/>
  <c r="B338" i="78"/>
  <c r="D337" i="78"/>
  <c r="B332" i="78"/>
  <c r="D331" i="78"/>
  <c r="B326" i="78"/>
  <c r="D325" i="78"/>
  <c r="B320" i="78"/>
  <c r="D319" i="78"/>
  <c r="B314" i="78"/>
  <c r="D313" i="78"/>
  <c r="B308" i="78"/>
  <c r="D307" i="78"/>
  <c r="B302" i="78"/>
  <c r="D301" i="78"/>
  <c r="B296" i="78"/>
  <c r="D295" i="78"/>
  <c r="B290" i="78"/>
  <c r="D289" i="78"/>
  <c r="B778" i="78"/>
  <c r="B769" i="78"/>
  <c r="E747" i="78"/>
  <c r="E682" i="78"/>
  <c r="E640" i="78"/>
  <c r="D597" i="78"/>
  <c r="D554" i="78"/>
  <c r="D536" i="78"/>
  <c r="E498" i="78"/>
  <c r="E495" i="78"/>
  <c r="E483" i="78"/>
  <c r="D472" i="78"/>
  <c r="E459" i="78"/>
  <c r="D448" i="78"/>
  <c r="E435" i="78"/>
  <c r="D424" i="78"/>
  <c r="E411" i="78"/>
  <c r="D400" i="78"/>
  <c r="B383" i="78"/>
  <c r="C378" i="78"/>
  <c r="C361" i="78"/>
  <c r="E360" i="78"/>
  <c r="C355" i="78"/>
  <c r="E354" i="78"/>
  <c r="C349" i="78"/>
  <c r="E348" i="78"/>
  <c r="C343" i="78"/>
  <c r="E342" i="78"/>
  <c r="C337" i="78"/>
  <c r="E336" i="78"/>
  <c r="C331" i="78"/>
  <c r="E330" i="78"/>
  <c r="C325" i="78"/>
  <c r="E324" i="78"/>
  <c r="C319" i="78"/>
  <c r="E318" i="78"/>
  <c r="C313" i="78"/>
  <c r="E312" i="78"/>
  <c r="C307" i="78"/>
  <c r="E306" i="78"/>
  <c r="C301" i="78"/>
  <c r="E300" i="78"/>
  <c r="C295" i="78"/>
  <c r="E294" i="78"/>
  <c r="C289" i="78"/>
  <c r="E288" i="78"/>
  <c r="C283" i="78"/>
  <c r="E282" i="78"/>
  <c r="C277" i="78"/>
  <c r="E276" i="78"/>
  <c r="B794" i="78"/>
  <c r="D604" i="78"/>
  <c r="B586" i="78"/>
  <c r="D562" i="78"/>
  <c r="C543" i="78"/>
  <c r="B525" i="78"/>
  <c r="C516" i="78"/>
  <c r="B503" i="78"/>
  <c r="E494" i="78"/>
  <c r="B491" i="78"/>
  <c r="B480" i="78"/>
  <c r="B478" i="78"/>
  <c r="B467" i="78"/>
  <c r="B456" i="78"/>
  <c r="B454" i="78"/>
  <c r="B443" i="78"/>
  <c r="B432" i="78"/>
  <c r="B430" i="78"/>
  <c r="B419" i="78"/>
  <c r="B408" i="78"/>
  <c r="B406" i="78"/>
  <c r="B395" i="78"/>
  <c r="E387" i="78"/>
  <c r="C379" i="78"/>
  <c r="C376" i="78"/>
  <c r="E370" i="78"/>
  <c r="E366" i="78"/>
  <c r="E365" i="78"/>
  <c r="E364" i="78"/>
  <c r="B359" i="78"/>
  <c r="D358" i="78"/>
  <c r="B353" i="78"/>
  <c r="D352" i="78"/>
  <c r="B347" i="78"/>
  <c r="D346" i="78"/>
  <c r="B341" i="78"/>
  <c r="D340" i="78"/>
  <c r="B335" i="78"/>
  <c r="D334" i="78"/>
  <c r="B329" i="78"/>
  <c r="D328" i="78"/>
  <c r="B323" i="78"/>
  <c r="D322" i="78"/>
  <c r="B317" i="78"/>
  <c r="D316" i="78"/>
  <c r="B311" i="78"/>
  <c r="D310" i="78"/>
  <c r="B305" i="78"/>
  <c r="D304" i="78"/>
  <c r="B299" i="78"/>
  <c r="D298" i="78"/>
  <c r="B293" i="78"/>
  <c r="D292" i="78"/>
  <c r="D631" i="78"/>
  <c r="E509" i="78"/>
  <c r="D387" i="78"/>
  <c r="B374" i="78"/>
  <c r="B360" i="78"/>
  <c r="C358" i="78"/>
  <c r="D354" i="78"/>
  <c r="C341" i="78"/>
  <c r="E339" i="78"/>
  <c r="C334" i="78"/>
  <c r="D329" i="78"/>
  <c r="D324" i="78"/>
  <c r="C316" i="78"/>
  <c r="D311" i="78"/>
  <c r="D306" i="78"/>
  <c r="C298" i="78"/>
  <c r="D293" i="78"/>
  <c r="E287" i="78"/>
  <c r="C286" i="78"/>
  <c r="C281" i="78"/>
  <c r="C276" i="78"/>
  <c r="E266" i="78"/>
  <c r="D265" i="78"/>
  <c r="D264" i="78"/>
  <c r="D263" i="78"/>
  <c r="D262" i="78"/>
  <c r="C261" i="78"/>
  <c r="B260" i="78"/>
  <c r="B259" i="78"/>
  <c r="B258" i="78"/>
  <c r="B257" i="78"/>
  <c r="E681" i="78"/>
  <c r="B472" i="78"/>
  <c r="E323" i="78"/>
  <c r="E253" i="78"/>
  <c r="C254" i="78"/>
  <c r="D381" i="78"/>
  <c r="B313" i="78"/>
  <c r="E290" i="78"/>
  <c r="C280" i="78"/>
  <c r="D259" i="78"/>
  <c r="B252" i="78"/>
  <c r="C504" i="78"/>
  <c r="D441" i="78"/>
  <c r="D341" i="78"/>
  <c r="E311" i="78"/>
  <c r="E293" i="78"/>
  <c r="E262" i="78"/>
  <c r="C591" i="78"/>
  <c r="D549" i="78"/>
  <c r="E503" i="78"/>
  <c r="D491" i="78"/>
  <c r="B474" i="78"/>
  <c r="D461" i="78"/>
  <c r="D436" i="78"/>
  <c r="D419" i="78"/>
  <c r="B402" i="78"/>
  <c r="C354" i="78"/>
  <c r="E352" i="78"/>
  <c r="C329" i="78"/>
  <c r="C324" i="78"/>
  <c r="C311" i="78"/>
  <c r="C306" i="78"/>
  <c r="C293" i="78"/>
  <c r="D287" i="78"/>
  <c r="D282" i="78"/>
  <c r="B281" i="78"/>
  <c r="B276" i="78"/>
  <c r="E271" i="78"/>
  <c r="E270" i="78"/>
  <c r="E269" i="78"/>
  <c r="E268" i="78"/>
  <c r="E267" i="78"/>
  <c r="C266" i="78"/>
  <c r="C265" i="78"/>
  <c r="C264" i="78"/>
  <c r="C263" i="78"/>
  <c r="C262" i="78"/>
  <c r="D634" i="78"/>
  <c r="D489" i="78"/>
  <c r="D274" i="78"/>
  <c r="E251" i="78"/>
  <c r="D275" i="78"/>
  <c r="E259" i="78"/>
  <c r="C253" i="78"/>
  <c r="D586" i="78"/>
  <c r="E504" i="78"/>
  <c r="B437" i="78"/>
  <c r="D360" i="78"/>
  <c r="C347" i="78"/>
  <c r="E321" i="78"/>
  <c r="E308" i="78"/>
  <c r="B295" i="78"/>
  <c r="B254" i="78"/>
  <c r="B521" i="78"/>
  <c r="B424" i="78"/>
  <c r="E358" i="78"/>
  <c r="E265" i="78"/>
  <c r="C258" i="78"/>
  <c r="E735" i="78"/>
  <c r="C549" i="78"/>
  <c r="D513" i="78"/>
  <c r="D478" i="78"/>
  <c r="E465" i="78"/>
  <c r="B461" i="78"/>
  <c r="C448" i="78"/>
  <c r="E423" i="78"/>
  <c r="D406" i="78"/>
  <c r="E393" i="78"/>
  <c r="E389" i="78"/>
  <c r="B354" i="78"/>
  <c r="C352" i="78"/>
  <c r="D348" i="78"/>
  <c r="B337" i="78"/>
  <c r="E332" i="78"/>
  <c r="E327" i="78"/>
  <c r="B324" i="78"/>
  <c r="B319" i="78"/>
  <c r="E314" i="78"/>
  <c r="E309" i="78"/>
  <c r="B306" i="78"/>
  <c r="B301" i="78"/>
  <c r="E296" i="78"/>
  <c r="E291" i="78"/>
  <c r="C287" i="78"/>
  <c r="C282" i="78"/>
  <c r="D277" i="78"/>
  <c r="E272" i="78"/>
  <c r="D271" i="78"/>
  <c r="D270" i="78"/>
  <c r="D269" i="78"/>
  <c r="D268" i="78"/>
  <c r="C267" i="78"/>
  <c r="B266" i="78"/>
  <c r="B265" i="78"/>
  <c r="B264" i="78"/>
  <c r="B263" i="78"/>
  <c r="D459" i="78"/>
  <c r="D417" i="78"/>
  <c r="B355" i="78"/>
  <c r="E292" i="78"/>
  <c r="E250" i="78"/>
  <c r="C305" i="78"/>
  <c r="E255" i="78"/>
  <c r="C250" i="78"/>
  <c r="E441" i="78"/>
  <c r="E326" i="78"/>
  <c r="E281" i="78"/>
  <c r="E260" i="78"/>
  <c r="D483" i="78"/>
  <c r="E334" i="78"/>
  <c r="C321" i="78"/>
  <c r="C256" i="78"/>
  <c r="C695" i="78"/>
  <c r="C597" i="78"/>
  <c r="B549" i="78"/>
  <c r="D525" i="78"/>
  <c r="C513" i="78"/>
  <c r="C507" i="78"/>
  <c r="C478" i="78"/>
  <c r="D465" i="78"/>
  <c r="B448" i="78"/>
  <c r="D435" i="78"/>
  <c r="C406" i="78"/>
  <c r="D393" i="78"/>
  <c r="D389" i="78"/>
  <c r="C348" i="78"/>
  <c r="E346" i="78"/>
  <c r="E335" i="78"/>
  <c r="C327" i="78"/>
  <c r="E322" i="78"/>
  <c r="E317" i="78"/>
  <c r="C309" i="78"/>
  <c r="E304" i="78"/>
  <c r="E299" i="78"/>
  <c r="C291" i="78"/>
  <c r="D288" i="78"/>
  <c r="B287" i="78"/>
  <c r="B282" i="78"/>
  <c r="B277" i="78"/>
  <c r="C272" i="78"/>
  <c r="C271" i="78"/>
  <c r="C270" i="78"/>
  <c r="C269" i="78"/>
  <c r="C268" i="78"/>
  <c r="B289" i="78"/>
  <c r="C285" i="78"/>
  <c r="E521" i="78"/>
  <c r="E471" i="78"/>
  <c r="C424" i="78"/>
  <c r="D366" i="78"/>
  <c r="B318" i="78"/>
  <c r="D256" i="78"/>
  <c r="D286" i="78"/>
  <c r="E261" i="78"/>
  <c r="B597" i="78"/>
  <c r="C525" i="78"/>
  <c r="B389" i="78"/>
  <c r="D376" i="78"/>
  <c r="E371" i="78"/>
  <c r="E369" i="78"/>
  <c r="D367" i="78"/>
  <c r="D365" i="78"/>
  <c r="E363" i="78"/>
  <c r="E359" i="78"/>
  <c r="B348" i="78"/>
  <c r="C346" i="78"/>
  <c r="D342" i="78"/>
  <c r="D335" i="78"/>
  <c r="D330" i="78"/>
  <c r="C322" i="78"/>
  <c r="D317" i="78"/>
  <c r="D312" i="78"/>
  <c r="C304" i="78"/>
  <c r="D299" i="78"/>
  <c r="D294" i="78"/>
  <c r="C288" i="78"/>
  <c r="D283" i="78"/>
  <c r="E278" i="78"/>
  <c r="E273" i="78"/>
  <c r="B272" i="78"/>
  <c r="B271" i="78"/>
  <c r="B270" i="78"/>
  <c r="B269" i="78"/>
  <c r="B400" i="78"/>
  <c r="E328" i="78"/>
  <c r="C297" i="78"/>
  <c r="B284" i="78"/>
  <c r="E252" i="78"/>
  <c r="D280" i="78"/>
  <c r="E258" i="78"/>
  <c r="C252" i="78"/>
  <c r="E341" i="78"/>
  <c r="C255" i="78"/>
  <c r="C640" i="78"/>
  <c r="B384" i="78"/>
  <c r="C360" i="78"/>
  <c r="B343" i="78"/>
  <c r="E329" i="78"/>
  <c r="D281" i="78"/>
  <c r="B275" i="78"/>
  <c r="E263" i="78"/>
  <c r="C257" i="78"/>
  <c r="E857" i="78"/>
  <c r="B562" i="78"/>
  <c r="E512" i="78"/>
  <c r="D485" i="78"/>
  <c r="D460" i="78"/>
  <c r="D443" i="78"/>
  <c r="B426" i="78"/>
  <c r="D413" i="78"/>
  <c r="B376" i="78"/>
  <c r="B361" i="78"/>
  <c r="D359" i="78"/>
  <c r="C342" i="78"/>
  <c r="E340" i="78"/>
  <c r="C335" i="78"/>
  <c r="C330" i="78"/>
  <c r="C317" i="78"/>
  <c r="C312" i="78"/>
  <c r="C299" i="78"/>
  <c r="C294" i="78"/>
  <c r="B288" i="78"/>
  <c r="B283" i="78"/>
  <c r="B278" i="78"/>
  <c r="C273" i="78"/>
  <c r="D353" i="78"/>
  <c r="C333" i="78"/>
  <c r="E310" i="78"/>
  <c r="C300" i="78"/>
  <c r="E256" i="78"/>
  <c r="C492" i="78"/>
  <c r="D454" i="78"/>
  <c r="C384" i="78"/>
  <c r="E345" i="78"/>
  <c r="B331" i="78"/>
  <c r="E303" i="78"/>
  <c r="C275" i="78"/>
  <c r="D257" i="78"/>
  <c r="B251" i="78"/>
  <c r="D276" i="78"/>
  <c r="C259" i="78"/>
  <c r="D530" i="78"/>
  <c r="E489" i="78"/>
  <c r="B485" i="78"/>
  <c r="C472" i="78"/>
  <c r="E447" i="78"/>
  <c r="D430" i="78"/>
  <c r="E417" i="78"/>
  <c r="B413" i="78"/>
  <c r="C400" i="78"/>
  <c r="D382" i="78"/>
  <c r="C359" i="78"/>
  <c r="E357" i="78"/>
  <c r="E353" i="78"/>
  <c r="B342" i="78"/>
  <c r="C340" i="78"/>
  <c r="E333" i="78"/>
  <c r="B330" i="78"/>
  <c r="B325" i="78"/>
  <c r="E320" i="78"/>
  <c r="E315" i="78"/>
  <c r="B312" i="78"/>
  <c r="B307" i="78"/>
  <c r="E302" i="78"/>
  <c r="E297" i="78"/>
  <c r="B294" i="78"/>
  <c r="E284" i="78"/>
  <c r="E279" i="78"/>
  <c r="E274" i="78"/>
  <c r="D538" i="78"/>
  <c r="C430" i="78"/>
  <c r="B378" i="78"/>
  <c r="C315" i="78"/>
  <c r="E305" i="78"/>
  <c r="C279" i="78"/>
  <c r="E257" i="78"/>
  <c r="B573" i="78"/>
  <c r="E399" i="78"/>
  <c r="D370" i="78"/>
  <c r="B336" i="78"/>
  <c r="D258" i="78"/>
  <c r="E688" i="78"/>
  <c r="C454" i="78"/>
  <c r="E298" i="78"/>
  <c r="C260" i="78"/>
  <c r="E876" i="78"/>
  <c r="C634" i="78"/>
  <c r="D580" i="78"/>
  <c r="D573" i="78"/>
  <c r="C567" i="78"/>
  <c r="E375" i="78"/>
  <c r="C353" i="78"/>
  <c r="E351" i="78"/>
  <c r="E347" i="78"/>
  <c r="D336" i="78"/>
  <c r="C328" i="78"/>
  <c r="D323" i="78"/>
  <c r="D318" i="78"/>
  <c r="C310" i="78"/>
  <c r="D305" i="78"/>
  <c r="D300" i="78"/>
  <c r="C292" i="78"/>
  <c r="E285" i="78"/>
  <c r="E280" i="78"/>
  <c r="E275" i="78"/>
  <c r="C274" i="78"/>
  <c r="E254" i="78"/>
  <c r="D253" i="78"/>
  <c r="D252" i="78"/>
  <c r="D251" i="78"/>
  <c r="D250" i="78"/>
  <c r="B783" i="78"/>
  <c r="B625" i="78"/>
  <c r="C573" i="78"/>
  <c r="D484" i="78"/>
  <c r="D467" i="78"/>
  <c r="B450" i="78"/>
  <c r="D437" i="78"/>
  <c r="D412" i="78"/>
  <c r="D395" i="78"/>
  <c r="E384" i="78"/>
  <c r="E381" i="78"/>
  <c r="D375" i="78"/>
  <c r="B349" i="78"/>
  <c r="D347" i="78"/>
  <c r="C336" i="78"/>
  <c r="C323" i="78"/>
  <c r="C318" i="78"/>
  <c r="C251" i="78"/>
  <c r="D364" i="78"/>
  <c r="B300" i="78"/>
  <c r="E286" i="78"/>
  <c r="B253" i="78"/>
  <c r="D411" i="78"/>
  <c r="E316" i="78"/>
  <c r="C303" i="78"/>
  <c r="E264" i="78"/>
  <c r="B249" i="78"/>
  <c r="D248" i="78"/>
  <c r="B243" i="78"/>
  <c r="D242" i="78"/>
  <c r="B237" i="78"/>
  <c r="D236" i="78"/>
  <c r="B231" i="78"/>
  <c r="D230" i="78"/>
  <c r="B225" i="78"/>
  <c r="D224" i="78"/>
  <c r="B219" i="78"/>
  <c r="D218" i="78"/>
  <c r="B213" i="78"/>
  <c r="D212" i="78"/>
  <c r="B207" i="78"/>
  <c r="D206" i="78"/>
  <c r="B201" i="78"/>
  <c r="D200" i="78"/>
  <c r="B195" i="78"/>
  <c r="D194" i="78"/>
  <c r="B189" i="78"/>
  <c r="D188" i="78"/>
  <c r="B183" i="78"/>
  <c r="D182" i="78"/>
  <c r="B177" i="78"/>
  <c r="D176" i="78"/>
  <c r="B171" i="78"/>
  <c r="D170" i="78"/>
  <c r="B165" i="78"/>
  <c r="D164" i="78"/>
  <c r="B159" i="78"/>
  <c r="D158" i="78"/>
  <c r="C248" i="78"/>
  <c r="E247" i="78"/>
  <c r="C242" i="78"/>
  <c r="E241" i="78"/>
  <c r="C236" i="78"/>
  <c r="E235" i="78"/>
  <c r="C230" i="78"/>
  <c r="E229" i="78"/>
  <c r="C224" i="78"/>
  <c r="E223" i="78"/>
  <c r="C218" i="78"/>
  <c r="E217" i="78"/>
  <c r="C212" i="78"/>
  <c r="E211" i="78"/>
  <c r="C206" i="78"/>
  <c r="E205" i="78"/>
  <c r="C200" i="78"/>
  <c r="E199" i="78"/>
  <c r="C194" i="78"/>
  <c r="E193" i="78"/>
  <c r="C188" i="78"/>
  <c r="E187" i="78"/>
  <c r="C182" i="78"/>
  <c r="E181" i="78"/>
  <c r="C176" i="78"/>
  <c r="E175" i="78"/>
  <c r="B248" i="78"/>
  <c r="D247" i="78"/>
  <c r="B242" i="78"/>
  <c r="D241" i="78"/>
  <c r="B236" i="78"/>
  <c r="D235" i="78"/>
  <c r="B230" i="78"/>
  <c r="D229" i="78"/>
  <c r="B224" i="78"/>
  <c r="D223" i="78"/>
  <c r="B218" i="78"/>
  <c r="D217" i="78"/>
  <c r="B212" i="78"/>
  <c r="D211" i="78"/>
  <c r="B206" i="78"/>
  <c r="D205" i="78"/>
  <c r="B200" i="78"/>
  <c r="D199" i="78"/>
  <c r="B194" i="78"/>
  <c r="D193" i="78"/>
  <c r="B188" i="78"/>
  <c r="D187" i="78"/>
  <c r="B182" i="78"/>
  <c r="D181" i="78"/>
  <c r="B176" i="78"/>
  <c r="D175" i="78"/>
  <c r="B170" i="78"/>
  <c r="D169" i="78"/>
  <c r="B164" i="78"/>
  <c r="D163" i="78"/>
  <c r="B158" i="78"/>
  <c r="D157" i="78"/>
  <c r="C247" i="78"/>
  <c r="E246" i="78"/>
  <c r="C241" i="78"/>
  <c r="E240" i="78"/>
  <c r="C235" i="78"/>
  <c r="E234" i="78"/>
  <c r="C229" i="78"/>
  <c r="E228" i="78"/>
  <c r="C223" i="78"/>
  <c r="E222" i="78"/>
  <c r="C217" i="78"/>
  <c r="E216" i="78"/>
  <c r="C211" i="78"/>
  <c r="E210" i="78"/>
  <c r="C205" i="78"/>
  <c r="E204" i="78"/>
  <c r="C199" i="78"/>
  <c r="E198" i="78"/>
  <c r="C193" i="78"/>
  <c r="E192" i="78"/>
  <c r="C187" i="78"/>
  <c r="E186" i="78"/>
  <c r="B247" i="78"/>
  <c r="D246" i="78"/>
  <c r="B241" i="78"/>
  <c r="D240" i="78"/>
  <c r="B235" i="78"/>
  <c r="D234" i="78"/>
  <c r="B229" i="78"/>
  <c r="D228" i="78"/>
  <c r="B223" i="78"/>
  <c r="D222" i="78"/>
  <c r="B217" i="78"/>
  <c r="D216" i="78"/>
  <c r="B211" i="78"/>
  <c r="D210" i="78"/>
  <c r="B205" i="78"/>
  <c r="D204" i="78"/>
  <c r="B199" i="78"/>
  <c r="D198" i="78"/>
  <c r="B193" i="78"/>
  <c r="D192" i="78"/>
  <c r="B187" i="78"/>
  <c r="D186" i="78"/>
  <c r="B181" i="78"/>
  <c r="D180" i="78"/>
  <c r="B175" i="78"/>
  <c r="D174" i="78"/>
  <c r="C244" i="78"/>
  <c r="C237" i="78"/>
  <c r="C234" i="78"/>
  <c r="C227" i="78"/>
  <c r="C220" i="78"/>
  <c r="C213" i="78"/>
  <c r="C210" i="78"/>
  <c r="C203" i="78"/>
  <c r="C196" i="78"/>
  <c r="C189" i="78"/>
  <c r="C186" i="78"/>
  <c r="D178" i="78"/>
  <c r="E173" i="78"/>
  <c r="D172" i="78"/>
  <c r="C171" i="78"/>
  <c r="C151" i="78"/>
  <c r="E150" i="78"/>
  <c r="C145" i="78"/>
  <c r="E144" i="78"/>
  <c r="C139" i="78"/>
  <c r="E138" i="78"/>
  <c r="C133" i="78"/>
  <c r="E132" i="78"/>
  <c r="C127" i="78"/>
  <c r="E126" i="78"/>
  <c r="C121" i="78"/>
  <c r="E120" i="78"/>
  <c r="C115" i="78"/>
  <c r="E114" i="78"/>
  <c r="E245" i="78"/>
  <c r="B244" i="78"/>
  <c r="E238" i="78"/>
  <c r="B234" i="78"/>
  <c r="E231" i="78"/>
  <c r="B227" i="78"/>
  <c r="E221" i="78"/>
  <c r="B220" i="78"/>
  <c r="E214" i="78"/>
  <c r="B210" i="78"/>
  <c r="E207" i="78"/>
  <c r="B203" i="78"/>
  <c r="E197" i="78"/>
  <c r="B196" i="78"/>
  <c r="E190" i="78"/>
  <c r="B186" i="78"/>
  <c r="E183" i="78"/>
  <c r="E179" i="78"/>
  <c r="C178" i="78"/>
  <c r="D173" i="78"/>
  <c r="C172" i="78"/>
  <c r="B151" i="78"/>
  <c r="D150" i="78"/>
  <c r="B145" i="78"/>
  <c r="D144" i="78"/>
  <c r="B139" i="78"/>
  <c r="D138" i="78"/>
  <c r="B133" i="78"/>
  <c r="D132" i="78"/>
  <c r="B127" i="78"/>
  <c r="D126" i="78"/>
  <c r="B121" i="78"/>
  <c r="D120" i="78"/>
  <c r="B115" i="78"/>
  <c r="D114" i="78"/>
  <c r="E248" i="78"/>
  <c r="D245" i="78"/>
  <c r="D238" i="78"/>
  <c r="D231" i="78"/>
  <c r="E224" i="78"/>
  <c r="D221" i="78"/>
  <c r="D214" i="78"/>
  <c r="D207" i="78"/>
  <c r="E200" i="78"/>
  <c r="D197" i="78"/>
  <c r="D190" i="78"/>
  <c r="D183" i="78"/>
  <c r="D179" i="78"/>
  <c r="B178" i="78"/>
  <c r="E174" i="78"/>
  <c r="C173" i="78"/>
  <c r="B172" i="78"/>
  <c r="E156" i="78"/>
  <c r="E155" i="78"/>
  <c r="C150" i="78"/>
  <c r="E149" i="78"/>
  <c r="C144" i="78"/>
  <c r="E143" i="78"/>
  <c r="C138" i="78"/>
  <c r="E137" i="78"/>
  <c r="C132" i="78"/>
  <c r="E131" i="78"/>
  <c r="C126" i="78"/>
  <c r="E125" i="78"/>
  <c r="C120" i="78"/>
  <c r="E119" i="78"/>
  <c r="C245" i="78"/>
  <c r="C238" i="78"/>
  <c r="C231" i="78"/>
  <c r="C228" i="78"/>
  <c r="C221" i="78"/>
  <c r="C214" i="78"/>
  <c r="C207" i="78"/>
  <c r="C204" i="78"/>
  <c r="C197" i="78"/>
  <c r="C190" i="78"/>
  <c r="C183" i="78"/>
  <c r="C179" i="78"/>
  <c r="C174" i="78"/>
  <c r="B173" i="78"/>
  <c r="E157" i="78"/>
  <c r="D156" i="78"/>
  <c r="D155" i="78"/>
  <c r="B150" i="78"/>
  <c r="D149" i="78"/>
  <c r="B144" i="78"/>
  <c r="D143" i="78"/>
  <c r="B138" i="78"/>
  <c r="D137" i="78"/>
  <c r="B132" i="78"/>
  <c r="D131" i="78"/>
  <c r="B126" i="78"/>
  <c r="D125" i="78"/>
  <c r="E249" i="78"/>
  <c r="B245" i="78"/>
  <c r="E239" i="78"/>
  <c r="B238" i="78"/>
  <c r="E232" i="78"/>
  <c r="B228" i="78"/>
  <c r="E225" i="78"/>
  <c r="B221" i="78"/>
  <c r="E215" i="78"/>
  <c r="B214" i="78"/>
  <c r="E208" i="78"/>
  <c r="B204" i="78"/>
  <c r="E201" i="78"/>
  <c r="B197" i="78"/>
  <c r="E191" i="78"/>
  <c r="B190" i="78"/>
  <c r="E184" i="78"/>
  <c r="E180" i="78"/>
  <c r="B179" i="78"/>
  <c r="B174" i="78"/>
  <c r="E162" i="78"/>
  <c r="E161" i="78"/>
  <c r="E160" i="78"/>
  <c r="E159" i="78"/>
  <c r="E158" i="78"/>
  <c r="C157" i="78"/>
  <c r="C156" i="78"/>
  <c r="C155" i="78"/>
  <c r="E154" i="78"/>
  <c r="C149" i="78"/>
  <c r="E148" i="78"/>
  <c r="C143" i="78"/>
  <c r="E142" i="78"/>
  <c r="C137" i="78"/>
  <c r="E136" i="78"/>
  <c r="C131" i="78"/>
  <c r="E130" i="78"/>
  <c r="C125" i="78"/>
  <c r="E124" i="78"/>
  <c r="C119" i="78"/>
  <c r="E118" i="78"/>
  <c r="D249" i="78"/>
  <c r="E233" i="78"/>
  <c r="B222" i="78"/>
  <c r="C215" i="78"/>
  <c r="D213" i="78"/>
  <c r="D208" i="78"/>
  <c r="B202" i="78"/>
  <c r="C195" i="78"/>
  <c r="E188" i="78"/>
  <c r="C175" i="78"/>
  <c r="C170" i="78"/>
  <c r="C168" i="78"/>
  <c r="E166" i="78"/>
  <c r="B161" i="78"/>
  <c r="D159" i="78"/>
  <c r="C154" i="78"/>
  <c r="D147" i="78"/>
  <c r="B143" i="78"/>
  <c r="E140" i="78"/>
  <c r="C136" i="78"/>
  <c r="D129" i="78"/>
  <c r="B125" i="78"/>
  <c r="E121" i="78"/>
  <c r="C109" i="78"/>
  <c r="E108" i="78"/>
  <c r="C103" i="78"/>
  <c r="E102" i="78"/>
  <c r="C97" i="78"/>
  <c r="E96" i="78"/>
  <c r="D102" i="78"/>
  <c r="B97" i="78"/>
  <c r="D96" i="78"/>
  <c r="B246" i="78"/>
  <c r="B185" i="78"/>
  <c r="D160" i="78"/>
  <c r="E115" i="78"/>
  <c r="B107" i="78"/>
  <c r="C249" i="78"/>
  <c r="E242" i="78"/>
  <c r="C240" i="78"/>
  <c r="D233" i="78"/>
  <c r="B215" i="78"/>
  <c r="C208" i="78"/>
  <c r="E177" i="78"/>
  <c r="B168" i="78"/>
  <c r="D166" i="78"/>
  <c r="C159" i="78"/>
  <c r="B154" i="78"/>
  <c r="C147" i="78"/>
  <c r="D140" i="78"/>
  <c r="B136" i="78"/>
  <c r="C129" i="78"/>
  <c r="E122" i="78"/>
  <c r="D121" i="78"/>
  <c r="B109" i="78"/>
  <c r="D108" i="78"/>
  <c r="B103" i="78"/>
  <c r="B240" i="78"/>
  <c r="C233" i="78"/>
  <c r="E226" i="78"/>
  <c r="B208" i="78"/>
  <c r="E206" i="78"/>
  <c r="D201" i="78"/>
  <c r="E185" i="78"/>
  <c r="C181" i="78"/>
  <c r="D177" i="78"/>
  <c r="C166" i="78"/>
  <c r="E164" i="78"/>
  <c r="B157" i="78"/>
  <c r="E151" i="78"/>
  <c r="B147" i="78"/>
  <c r="C140" i="78"/>
  <c r="E133" i="78"/>
  <c r="B129" i="78"/>
  <c r="D122" i="78"/>
  <c r="C108" i="78"/>
  <c r="E107" i="78"/>
  <c r="C102" i="78"/>
  <c r="E101" i="78"/>
  <c r="C96" i="78"/>
  <c r="E95" i="78"/>
  <c r="D101" i="78"/>
  <c r="D95" i="78"/>
  <c r="D232" i="78"/>
  <c r="B226" i="78"/>
  <c r="E167" i="78"/>
  <c r="B130" i="78"/>
  <c r="C123" i="78"/>
  <c r="D118" i="78"/>
  <c r="D116" i="78"/>
  <c r="D112" i="78"/>
  <c r="D106" i="78"/>
  <c r="E244" i="78"/>
  <c r="B233" i="78"/>
  <c r="D226" i="78"/>
  <c r="E219" i="78"/>
  <c r="C201" i="78"/>
  <c r="E194" i="78"/>
  <c r="C192" i="78"/>
  <c r="D185" i="78"/>
  <c r="C177" i="78"/>
  <c r="B166" i="78"/>
  <c r="C164" i="78"/>
  <c r="D162" i="78"/>
  <c r="D151" i="78"/>
  <c r="D148" i="78"/>
  <c r="E141" i="78"/>
  <c r="B140" i="78"/>
  <c r="D133" i="78"/>
  <c r="D130" i="78"/>
  <c r="E123" i="78"/>
  <c r="C122" i="78"/>
  <c r="E113" i="78"/>
  <c r="B108" i="78"/>
  <c r="D107" i="78"/>
  <c r="B102" i="78"/>
  <c r="B96" i="78"/>
  <c r="E212" i="78"/>
  <c r="D203" i="78"/>
  <c r="C169" i="78"/>
  <c r="B148" i="78"/>
  <c r="C141" i="78"/>
  <c r="D134" i="78"/>
  <c r="C113" i="78"/>
  <c r="C246" i="78"/>
  <c r="D244" i="78"/>
  <c r="D239" i="78"/>
  <c r="E237" i="78"/>
  <c r="C226" i="78"/>
  <c r="D219" i="78"/>
  <c r="E203" i="78"/>
  <c r="B192" i="78"/>
  <c r="C185" i="78"/>
  <c r="E171" i="78"/>
  <c r="E169" i="78"/>
  <c r="C162" i="78"/>
  <c r="B155" i="78"/>
  <c r="E152" i="78"/>
  <c r="C148" i="78"/>
  <c r="D141" i="78"/>
  <c r="B137" i="78"/>
  <c r="E134" i="78"/>
  <c r="C130" i="78"/>
  <c r="D123" i="78"/>
  <c r="B122" i="78"/>
  <c r="E117" i="78"/>
  <c r="E116" i="78"/>
  <c r="D113" i="78"/>
  <c r="E112" i="78"/>
  <c r="C107" i="78"/>
  <c r="E106" i="78"/>
  <c r="C101" i="78"/>
  <c r="E100" i="78"/>
  <c r="C95" i="78"/>
  <c r="E94" i="78"/>
  <c r="C239" i="78"/>
  <c r="D237" i="78"/>
  <c r="C219" i="78"/>
  <c r="E196" i="78"/>
  <c r="D171" i="78"/>
  <c r="B162" i="78"/>
  <c r="D152" i="78"/>
  <c r="D117" i="78"/>
  <c r="C114" i="78"/>
  <c r="C225" i="78"/>
  <c r="D202" i="78"/>
  <c r="B198" i="78"/>
  <c r="E176" i="78"/>
  <c r="E163" i="78"/>
  <c r="B160" i="78"/>
  <c r="B142" i="78"/>
  <c r="D127" i="78"/>
  <c r="E110" i="78"/>
  <c r="B104" i="78"/>
  <c r="C98" i="78"/>
  <c r="C232" i="78"/>
  <c r="E209" i="78"/>
  <c r="C202" i="78"/>
  <c r="B169" i="78"/>
  <c r="C163" i="78"/>
  <c r="D154" i="78"/>
  <c r="B149" i="78"/>
  <c r="C134" i="78"/>
  <c r="D110" i="78"/>
  <c r="E105" i="78"/>
  <c r="E99" i="78"/>
  <c r="B98" i="78"/>
  <c r="D167" i="78"/>
  <c r="B93" i="78"/>
  <c r="B232" i="78"/>
  <c r="D209" i="78"/>
  <c r="B163" i="78"/>
  <c r="E146" i="78"/>
  <c r="E139" i="78"/>
  <c r="B134" i="78"/>
  <c r="E129" i="78"/>
  <c r="D124" i="78"/>
  <c r="B120" i="78"/>
  <c r="C110" i="78"/>
  <c r="D105" i="78"/>
  <c r="D99" i="78"/>
  <c r="B95" i="78"/>
  <c r="E92" i="78"/>
  <c r="B110" i="78"/>
  <c r="E243" i="78"/>
  <c r="C216" i="78"/>
  <c r="D189" i="78"/>
  <c r="D165" i="78"/>
  <c r="D136" i="78"/>
  <c r="D111" i="78"/>
  <c r="B92" i="78"/>
  <c r="B216" i="78"/>
  <c r="C165" i="78"/>
  <c r="C100" i="78"/>
  <c r="C243" i="78"/>
  <c r="E227" i="78"/>
  <c r="B153" i="78"/>
  <c r="B119" i="78"/>
  <c r="C106" i="78"/>
  <c r="C93" i="78"/>
  <c r="D227" i="78"/>
  <c r="D215" i="78"/>
  <c r="C184" i="78"/>
  <c r="D161" i="78"/>
  <c r="E135" i="78"/>
  <c r="C128" i="78"/>
  <c r="E97" i="78"/>
  <c r="E236" i="78"/>
  <c r="E213" i="78"/>
  <c r="C209" i="78"/>
  <c r="E172" i="78"/>
  <c r="D146" i="78"/>
  <c r="B141" i="78"/>
  <c r="D139" i="78"/>
  <c r="C124" i="78"/>
  <c r="C105" i="78"/>
  <c r="C99" i="78"/>
  <c r="D92" i="78"/>
  <c r="B239" i="78"/>
  <c r="D220" i="78"/>
  <c r="D196" i="78"/>
  <c r="E128" i="78"/>
  <c r="D93" i="78"/>
  <c r="D184" i="78"/>
  <c r="E145" i="78"/>
  <c r="B123" i="78"/>
  <c r="B111" i="78"/>
  <c r="D103" i="78"/>
  <c r="B209" i="78"/>
  <c r="E189" i="78"/>
  <c r="E182" i="78"/>
  <c r="E178" i="78"/>
  <c r="E165" i="78"/>
  <c r="B156" i="78"/>
  <c r="E153" i="78"/>
  <c r="C146" i="78"/>
  <c r="B124" i="78"/>
  <c r="C117" i="78"/>
  <c r="D115" i="78"/>
  <c r="B113" i="78"/>
  <c r="E111" i="78"/>
  <c r="B105" i="78"/>
  <c r="B99" i="78"/>
  <c r="C92" i="78"/>
  <c r="E220" i="78"/>
  <c r="E168" i="78"/>
  <c r="D153" i="78"/>
  <c r="B146" i="78"/>
  <c r="B131" i="78"/>
  <c r="B117" i="78"/>
  <c r="D100" i="78"/>
  <c r="E93" i="78"/>
  <c r="D243" i="78"/>
  <c r="D168" i="78"/>
  <c r="C153" i="78"/>
  <c r="D119" i="78"/>
  <c r="C111" i="78"/>
  <c r="E103" i="78"/>
  <c r="C158" i="78"/>
  <c r="D128" i="78"/>
  <c r="B100" i="78"/>
  <c r="C180" i="78"/>
  <c r="D145" i="78"/>
  <c r="B106" i="78"/>
  <c r="E230" i="78"/>
  <c r="C222" i="78"/>
  <c r="C167" i="78"/>
  <c r="C160" i="78"/>
  <c r="C135" i="78"/>
  <c r="C118" i="78"/>
  <c r="C104" i="78"/>
  <c r="B180" i="78"/>
  <c r="E218" i="78"/>
  <c r="D97" i="78"/>
  <c r="D191" i="78"/>
  <c r="B167" i="78"/>
  <c r="E147" i="78"/>
  <c r="B135" i="78"/>
  <c r="B118" i="78"/>
  <c r="B128" i="78"/>
  <c r="C112" i="78"/>
  <c r="C116" i="78"/>
  <c r="D98" i="78"/>
  <c r="B116" i="78"/>
  <c r="B184" i="78"/>
  <c r="C191" i="78"/>
  <c r="D142" i="78"/>
  <c r="E104" i="78"/>
  <c r="D135" i="78"/>
  <c r="B114" i="78"/>
  <c r="C142" i="78"/>
  <c r="E195" i="78"/>
  <c r="C152" i="78"/>
  <c r="B112" i="78"/>
  <c r="D94" i="78"/>
  <c r="E98" i="78"/>
  <c r="C198" i="78"/>
  <c r="E109" i="78"/>
  <c r="D109" i="78"/>
  <c r="E202" i="78"/>
  <c r="D195" i="78"/>
  <c r="B152" i="78"/>
  <c r="E127" i="78"/>
  <c r="C94" i="78"/>
  <c r="B94" i="78"/>
  <c r="D225" i="78"/>
  <c r="E170" i="78"/>
  <c r="B101" i="78"/>
  <c r="B191" i="78"/>
  <c r="D104" i="78"/>
  <c r="C161" i="78"/>
  <c r="AC1312" i="78"/>
  <c r="AC1311" i="78"/>
  <c r="AC1308" i="78"/>
  <c r="AC1307" i="78"/>
  <c r="AC1306" i="78"/>
  <c r="AC1305" i="78"/>
  <c r="AC1304" i="78"/>
  <c r="AC1310" i="78"/>
  <c r="AC1309" i="78"/>
  <c r="AC1301" i="78"/>
  <c r="AC1300" i="78"/>
  <c r="AC1299" i="78"/>
  <c r="AC1303" i="78"/>
  <c r="AC1302" i="78"/>
  <c r="AC1296" i="78"/>
  <c r="AC1295" i="78"/>
  <c r="AC1294" i="78"/>
  <c r="AC1289" i="78"/>
  <c r="AC1297" i="78"/>
  <c r="AC1293" i="78"/>
  <c r="AC1292" i="78"/>
  <c r="AC1291" i="78"/>
  <c r="AC1290" i="78"/>
  <c r="AC1288" i="78"/>
  <c r="AC1298" i="78"/>
  <c r="AC1284" i="78"/>
  <c r="AC1278" i="78"/>
  <c r="AC1272" i="78"/>
  <c r="AC1266" i="78"/>
  <c r="AC1260" i="78"/>
  <c r="AC1254" i="78"/>
  <c r="AC1248" i="78"/>
  <c r="AC1283" i="78"/>
  <c r="AC1277" i="78"/>
  <c r="AC1271" i="78"/>
  <c r="AC1265" i="78"/>
  <c r="AC1259" i="78"/>
  <c r="AC1253" i="78"/>
  <c r="AC1247" i="78"/>
  <c r="AC1241" i="78"/>
  <c r="AC1235" i="78"/>
  <c r="AC1287" i="78"/>
  <c r="AC1267" i="78"/>
  <c r="AC1262" i="78"/>
  <c r="AC1233" i="78"/>
  <c r="AC1219" i="78"/>
  <c r="AC1205" i="78"/>
  <c r="AC1252" i="78"/>
  <c r="AC1239" i="78"/>
  <c r="AC1238" i="78"/>
  <c r="AC1237" i="78"/>
  <c r="AC1236" i="78"/>
  <c r="AC1234" i="78"/>
  <c r="AC1232" i="78"/>
  <c r="AC1218" i="78"/>
  <c r="AC1204" i="78"/>
  <c r="AC1203" i="78"/>
  <c r="AC1191" i="78"/>
  <c r="AC1185" i="78"/>
  <c r="AC1179" i="78"/>
  <c r="AC1173" i="78"/>
  <c r="AC1281" i="78"/>
  <c r="AC1273" i="78"/>
  <c r="AC1268" i="78"/>
  <c r="AC1263" i="78"/>
  <c r="AC1243" i="78"/>
  <c r="AC1242" i="78"/>
  <c r="AC1240" i="78"/>
  <c r="AC1231" i="78"/>
  <c r="AC1217" i="78"/>
  <c r="AC1202" i="78"/>
  <c r="AC1244" i="78"/>
  <c r="AC1230" i="78"/>
  <c r="AC1216" i="78"/>
  <c r="AC1215" i="78"/>
  <c r="AC1201" i="78"/>
  <c r="AC1190" i="78"/>
  <c r="AC1184" i="78"/>
  <c r="AC1282" i="78"/>
  <c r="AC1275" i="78"/>
  <c r="AC1257" i="78"/>
  <c r="AC1246" i="78"/>
  <c r="AC1226" i="78"/>
  <c r="AC1212" i="78"/>
  <c r="AC1198" i="78"/>
  <c r="AC1197" i="78"/>
  <c r="AC1269" i="78"/>
  <c r="AC1258" i="78"/>
  <c r="AC1256" i="78"/>
  <c r="AC1228" i="78"/>
  <c r="AC1208" i="78"/>
  <c r="AC1249" i="78"/>
  <c r="AC1245" i="78"/>
  <c r="AC1214" i="78"/>
  <c r="AC1211" i="78"/>
  <c r="AC1199" i="78"/>
  <c r="AC1186" i="78"/>
  <c r="AC1181" i="78"/>
  <c r="AC1164" i="78"/>
  <c r="AC1158" i="78"/>
  <c r="AC1274" i="78"/>
  <c r="AC1255" i="78"/>
  <c r="AC1250" i="78"/>
  <c r="AC1221" i="78"/>
  <c r="AC1177" i="78"/>
  <c r="AC1280" i="78"/>
  <c r="AC1227" i="78"/>
  <c r="AC1209" i="78"/>
  <c r="AC1169" i="78"/>
  <c r="AC1161" i="78"/>
  <c r="AC1156" i="78"/>
  <c r="AC1133" i="78"/>
  <c r="AC1132" i="78"/>
  <c r="AC1131" i="78"/>
  <c r="AC1130" i="78"/>
  <c r="AC1129" i="78"/>
  <c r="AC1286" i="78"/>
  <c r="AC1207" i="78"/>
  <c r="AC1183" i="78"/>
  <c r="AC1166" i="78"/>
  <c r="AC1134" i="78"/>
  <c r="AC1124" i="78"/>
  <c r="AC1118" i="78"/>
  <c r="AC1112" i="78"/>
  <c r="AC1106" i="78"/>
  <c r="AC1279" i="78"/>
  <c r="AC1276" i="78"/>
  <c r="AC1220" i="78"/>
  <c r="AC1176" i="78"/>
  <c r="AC1157" i="78"/>
  <c r="AC1139" i="78"/>
  <c r="AC1138" i="78"/>
  <c r="AC1137" i="78"/>
  <c r="AC1136" i="78"/>
  <c r="AC1135" i="78"/>
  <c r="AC1200" i="78"/>
  <c r="AC1196" i="78"/>
  <c r="AC1171" i="78"/>
  <c r="AC1261" i="78"/>
  <c r="AC1206" i="78"/>
  <c r="AC1182" i="78"/>
  <c r="AC1152" i="78"/>
  <c r="AC1121" i="78"/>
  <c r="AC1115" i="78"/>
  <c r="AC1109" i="78"/>
  <c r="AC1103" i="78"/>
  <c r="AC1097" i="78"/>
  <c r="AC1091" i="78"/>
  <c r="AC1264" i="78"/>
  <c r="AC1225" i="78"/>
  <c r="AC1159" i="78"/>
  <c r="AC1143" i="78"/>
  <c r="AC1127" i="78"/>
  <c r="AC1083" i="78"/>
  <c r="AC1195" i="78"/>
  <c r="AC1149" i="78"/>
  <c r="AC1146" i="78"/>
  <c r="AC1192" i="78"/>
  <c r="AC1189" i="78"/>
  <c r="AC1178" i="78"/>
  <c r="AC1080" i="78"/>
  <c r="AC1285" i="78"/>
  <c r="AC1224" i="78"/>
  <c r="AC1210" i="78"/>
  <c r="AC1175" i="78"/>
  <c r="AC1155" i="78"/>
  <c r="AC1113" i="78"/>
  <c r="AC1108" i="78"/>
  <c r="AC1194" i="78"/>
  <c r="AC1162" i="78"/>
  <c r="AC1144" i="78"/>
  <c r="AC1141" i="78"/>
  <c r="AC1128" i="78"/>
  <c r="AC1251" i="78"/>
  <c r="AC1188" i="78"/>
  <c r="AC1180" i="78"/>
  <c r="AC1160" i="78"/>
  <c r="AC1150" i="78"/>
  <c r="AC1147" i="78"/>
  <c r="AC1119" i="78"/>
  <c r="AC1114" i="78"/>
  <c r="AC1078" i="78"/>
  <c r="AC1072" i="78"/>
  <c r="AC1066" i="78"/>
  <c r="AC1060" i="78"/>
  <c r="AC1054" i="78"/>
  <c r="AC1048" i="78"/>
  <c r="AC1174" i="78"/>
  <c r="AC1145" i="78"/>
  <c r="AC1142" i="78"/>
  <c r="AC1102" i="78"/>
  <c r="AC1101" i="78"/>
  <c r="AC1100" i="78"/>
  <c r="AC1088" i="78"/>
  <c r="AC1087" i="78"/>
  <c r="AC1140" i="78"/>
  <c r="AC1126" i="78"/>
  <c r="AC1099" i="78"/>
  <c r="AC1095" i="78"/>
  <c r="AC1093" i="78"/>
  <c r="AC1047" i="78"/>
  <c r="AC1046" i="78"/>
  <c r="AC1045" i="78"/>
  <c r="AC1011" i="78"/>
  <c r="AC1005" i="78"/>
  <c r="AC999" i="78"/>
  <c r="AC993" i="78"/>
  <c r="AC987" i="78"/>
  <c r="AC981" i="78"/>
  <c r="AC1270" i="78"/>
  <c r="AC1167" i="78"/>
  <c r="AC1105" i="78"/>
  <c r="AC1070" i="78"/>
  <c r="AC1065" i="78"/>
  <c r="AC1163" i="78"/>
  <c r="AC1107" i="78"/>
  <c r="AC1085" i="78"/>
  <c r="AC1075" i="78"/>
  <c r="AC1061" i="78"/>
  <c r="AC1056" i="78"/>
  <c r="AC1049" i="78"/>
  <c r="AC1019" i="78"/>
  <c r="AC1018" i="78"/>
  <c r="AC1017" i="78"/>
  <c r="AC1016" i="78"/>
  <c r="AC1010" i="78"/>
  <c r="AC1004" i="78"/>
  <c r="AC998" i="78"/>
  <c r="AC992" i="78"/>
  <c r="AC986" i="78"/>
  <c r="AC980" i="78"/>
  <c r="AC1213" i="78"/>
  <c r="AC1170" i="78"/>
  <c r="AC1116" i="78"/>
  <c r="AC1082" i="78"/>
  <c r="AC1079" i="78"/>
  <c r="AC1229" i="78"/>
  <c r="AC1125" i="78"/>
  <c r="AC1123" i="78"/>
  <c r="AC1111" i="78"/>
  <c r="AC1076" i="78"/>
  <c r="AC1071" i="78"/>
  <c r="AC1050" i="78"/>
  <c r="AC1025" i="78"/>
  <c r="AC1024" i="78"/>
  <c r="AC1023" i="78"/>
  <c r="AC1022" i="78"/>
  <c r="AC1021" i="78"/>
  <c r="AC1015" i="78"/>
  <c r="AC1009" i="78"/>
  <c r="AC1067" i="78"/>
  <c r="AC1062" i="78"/>
  <c r="AC1057" i="78"/>
  <c r="AC1026" i="78"/>
  <c r="AC1187" i="78"/>
  <c r="AC1165" i="78"/>
  <c r="AC1168" i="78"/>
  <c r="AC1122" i="78"/>
  <c r="AC1092" i="78"/>
  <c r="AC1039" i="78"/>
  <c r="AC1008" i="78"/>
  <c r="AC1063" i="78"/>
  <c r="AC976" i="78"/>
  <c r="AC970" i="78"/>
  <c r="AC964" i="78"/>
  <c r="AC958" i="78"/>
  <c r="AC1098" i="78"/>
  <c r="AC1058" i="78"/>
  <c r="AC1044" i="78"/>
  <c r="AC1030" i="78"/>
  <c r="AC1028" i="78"/>
  <c r="AC1012" i="78"/>
  <c r="AC1000" i="78"/>
  <c r="AC994" i="78"/>
  <c r="AC1223" i="78"/>
  <c r="AC1117" i="78"/>
  <c r="AC1089" i="78"/>
  <c r="AC1086" i="78"/>
  <c r="AC1084" i="78"/>
  <c r="AC1074" i="78"/>
  <c r="AC1051" i="78"/>
  <c r="AC1042" i="78"/>
  <c r="AC1032" i="78"/>
  <c r="AC995" i="78"/>
  <c r="AC975" i="78"/>
  <c r="AC969" i="78"/>
  <c r="AC1172" i="78"/>
  <c r="AC1154" i="78"/>
  <c r="AC1148" i="78"/>
  <c r="AC1120" i="78"/>
  <c r="AC1094" i="78"/>
  <c r="AC1036" i="78"/>
  <c r="AC1034" i="78"/>
  <c r="AC1001" i="78"/>
  <c r="AC996" i="78"/>
  <c r="AC1081" i="78"/>
  <c r="AC1053" i="78"/>
  <c r="AC1040" i="78"/>
  <c r="AC1038" i="78"/>
  <c r="AC1013" i="78"/>
  <c r="AC974" i="78"/>
  <c r="AC968" i="78"/>
  <c r="AC962" i="78"/>
  <c r="AC956" i="78"/>
  <c r="AC1096" i="78"/>
  <c r="AC1007" i="78"/>
  <c r="AC933" i="78"/>
  <c r="AC927" i="78"/>
  <c r="AC921" i="78"/>
  <c r="AC915" i="78"/>
  <c r="AC1151" i="78"/>
  <c r="AC1052" i="78"/>
  <c r="AC1014" i="78"/>
  <c r="AC960" i="78"/>
  <c r="AC955" i="78"/>
  <c r="AC997" i="78"/>
  <c r="AC971" i="78"/>
  <c r="AC965" i="78"/>
  <c r="AC932" i="78"/>
  <c r="AC1193" i="78"/>
  <c r="AC1055" i="78"/>
  <c r="AC1006" i="78"/>
  <c r="AC989" i="78"/>
  <c r="AC985" i="78"/>
  <c r="AC983" i="78"/>
  <c r="AC979" i="78"/>
  <c r="AC961" i="78"/>
  <c r="AC938" i="78"/>
  <c r="AC1059" i="78"/>
  <c r="AC1035" i="78"/>
  <c r="AC1031" i="78"/>
  <c r="AC991" i="78"/>
  <c r="AC940" i="78"/>
  <c r="AC939" i="78"/>
  <c r="AC937" i="78"/>
  <c r="AC931" i="78"/>
  <c r="AC925" i="78"/>
  <c r="AC919" i="78"/>
  <c r="AC913" i="78"/>
  <c r="AC907" i="78"/>
  <c r="AC901" i="78"/>
  <c r="AC895" i="78"/>
  <c r="AC889" i="78"/>
  <c r="AC1222" i="78"/>
  <c r="AC1073" i="78"/>
  <c r="AC977" i="78"/>
  <c r="AC966" i="78"/>
  <c r="AC944" i="78"/>
  <c r="AC943" i="78"/>
  <c r="AC942" i="78"/>
  <c r="AC941" i="78"/>
  <c r="AC1110" i="78"/>
  <c r="AC1104" i="78"/>
  <c r="AC1090" i="78"/>
  <c r="AC1077" i="78"/>
  <c r="AC1027" i="78"/>
  <c r="AC972" i="78"/>
  <c r="AC957" i="78"/>
  <c r="AC946" i="78"/>
  <c r="AC945" i="78"/>
  <c r="AC936" i="78"/>
  <c r="AC930" i="78"/>
  <c r="AC924" i="78"/>
  <c r="AC918" i="78"/>
  <c r="AC912" i="78"/>
  <c r="AC906" i="78"/>
  <c r="AC900" i="78"/>
  <c r="AC894" i="78"/>
  <c r="AC888" i="78"/>
  <c r="AC934" i="78"/>
  <c r="AC917" i="78"/>
  <c r="AC914" i="78"/>
  <c r="AC949" i="78"/>
  <c r="AC911" i="78"/>
  <c r="AC904" i="78"/>
  <c r="AC899" i="78"/>
  <c r="AC881" i="78"/>
  <c r="AC875" i="78"/>
  <c r="AC869" i="78"/>
  <c r="AC863" i="78"/>
  <c r="AC857" i="78"/>
  <c r="AC851" i="78"/>
  <c r="AC845" i="78"/>
  <c r="AC839" i="78"/>
  <c r="AC833" i="78"/>
  <c r="AC827" i="78"/>
  <c r="AC821" i="78"/>
  <c r="AC815" i="78"/>
  <c r="AC809" i="78"/>
  <c r="AC803" i="78"/>
  <c r="AC797" i="78"/>
  <c r="AC791" i="78"/>
  <c r="AC785" i="78"/>
  <c r="AC779" i="78"/>
  <c r="AC773" i="78"/>
  <c r="AC767" i="78"/>
  <c r="AC1041" i="78"/>
  <c r="AC920" i="78"/>
  <c r="AC967" i="78"/>
  <c r="AC954" i="78"/>
  <c r="AC928" i="78"/>
  <c r="AC923" i="78"/>
  <c r="AC908" i="78"/>
  <c r="AC880" i="78"/>
  <c r="AC874" i="78"/>
  <c r="AC868" i="78"/>
  <c r="AC862" i="78"/>
  <c r="AC1069" i="78"/>
  <c r="AC1064" i="78"/>
  <c r="AC1029" i="78"/>
  <c r="AC988" i="78"/>
  <c r="AC984" i="78"/>
  <c r="AC959" i="78"/>
  <c r="AC951" i="78"/>
  <c r="AC905" i="78"/>
  <c r="AC890" i="78"/>
  <c r="AC973" i="78"/>
  <c r="AC935" i="78"/>
  <c r="AC926" i="78"/>
  <c r="AC879" i="78"/>
  <c r="AC873" i="78"/>
  <c r="AC867" i="78"/>
  <c r="AC861" i="78"/>
  <c r="AC855" i="78"/>
  <c r="AC849" i="78"/>
  <c r="AC843" i="78"/>
  <c r="AC837" i="78"/>
  <c r="AC831" i="78"/>
  <c r="AC825" i="78"/>
  <c r="AC819" i="78"/>
  <c r="AC813" i="78"/>
  <c r="AC807" i="78"/>
  <c r="AC801" i="78"/>
  <c r="AC795" i="78"/>
  <c r="AC789" i="78"/>
  <c r="AC783" i="78"/>
  <c r="AC777" i="78"/>
  <c r="AC771" i="78"/>
  <c r="AC1068" i="78"/>
  <c r="AC1033" i="78"/>
  <c r="AC963" i="78"/>
  <c r="AC950" i="78"/>
  <c r="AC929" i="78"/>
  <c r="AC916" i="78"/>
  <c r="AC902" i="78"/>
  <c r="AC1043" i="78"/>
  <c r="AC978" i="78"/>
  <c r="AC952" i="78"/>
  <c r="AC871" i="78"/>
  <c r="AC844" i="78"/>
  <c r="AC820" i="78"/>
  <c r="AC796" i="78"/>
  <c r="AC780" i="78"/>
  <c r="AC775" i="78"/>
  <c r="AC770" i="78"/>
  <c r="AC748" i="78"/>
  <c r="AC747" i="78"/>
  <c r="AC746" i="78"/>
  <c r="AC745" i="78"/>
  <c r="AC744" i="78"/>
  <c r="AC909" i="78"/>
  <c r="AC866" i="78"/>
  <c r="AC749" i="78"/>
  <c r="AC1003" i="78"/>
  <c r="AC947" i="78"/>
  <c r="AC882" i="78"/>
  <c r="AC858" i="78"/>
  <c r="AC848" i="78"/>
  <c r="AC841" i="78"/>
  <c r="AC834" i="78"/>
  <c r="AC824" i="78"/>
  <c r="AC817" i="78"/>
  <c r="AC810" i="78"/>
  <c r="AC800" i="78"/>
  <c r="AC786" i="78"/>
  <c r="AC781" i="78"/>
  <c r="AC776" i="78"/>
  <c r="AC754" i="78"/>
  <c r="AC753" i="78"/>
  <c r="AC752" i="78"/>
  <c r="AC751" i="78"/>
  <c r="AC750" i="78"/>
  <c r="AC990" i="78"/>
  <c r="AC898" i="78"/>
  <c r="AC893" i="78"/>
  <c r="AC885" i="78"/>
  <c r="AC877" i="78"/>
  <c r="AC838" i="78"/>
  <c r="AC814" i="78"/>
  <c r="AC755" i="78"/>
  <c r="AC903" i="78"/>
  <c r="AC872" i="78"/>
  <c r="AC792" i="78"/>
  <c r="AC787" i="78"/>
  <c r="AC782" i="78"/>
  <c r="AC772" i="78"/>
  <c r="AC760" i="78"/>
  <c r="AC759" i="78"/>
  <c r="AC758" i="78"/>
  <c r="AC757" i="78"/>
  <c r="AC756" i="78"/>
  <c r="AC1153" i="78"/>
  <c r="AC1002" i="78"/>
  <c r="AC982" i="78"/>
  <c r="AC864" i="78"/>
  <c r="AC852" i="78"/>
  <c r="AC842" i="78"/>
  <c r="AC835" i="78"/>
  <c r="AC828" i="78"/>
  <c r="AC818" i="78"/>
  <c r="AC811" i="78"/>
  <c r="AC804" i="78"/>
  <c r="AC761" i="78"/>
  <c r="AC887" i="78"/>
  <c r="AC883" i="78"/>
  <c r="AC859" i="78"/>
  <c r="AC846" i="78"/>
  <c r="AC836" i="78"/>
  <c r="AC816" i="78"/>
  <c r="AC798" i="78"/>
  <c r="AC735" i="78"/>
  <c r="AC948" i="78"/>
  <c r="AC878" i="78"/>
  <c r="AC793" i="78"/>
  <c r="AC766" i="78"/>
  <c r="AC764" i="78"/>
  <c r="AC762" i="78"/>
  <c r="AC743" i="78"/>
  <c r="AC711" i="78"/>
  <c r="AC705" i="78"/>
  <c r="AC699" i="78"/>
  <c r="AC693" i="78"/>
  <c r="AC687" i="78"/>
  <c r="AC681" i="78"/>
  <c r="AC675" i="78"/>
  <c r="AC669" i="78"/>
  <c r="AC663" i="78"/>
  <c r="AC657" i="78"/>
  <c r="AC651" i="78"/>
  <c r="AC645" i="78"/>
  <c r="AC639" i="78"/>
  <c r="AC865" i="78"/>
  <c r="AC823" i="78"/>
  <c r="AC784" i="78"/>
  <c r="AC736" i="78"/>
  <c r="AC718" i="78"/>
  <c r="AC717" i="78"/>
  <c r="AC853" i="78"/>
  <c r="AC805" i="78"/>
  <c r="AC722" i="78"/>
  <c r="AC721" i="78"/>
  <c r="AC720" i="78"/>
  <c r="AC719" i="78"/>
  <c r="AC716" i="78"/>
  <c r="AC710" i="78"/>
  <c r="AC704" i="78"/>
  <c r="AC698" i="78"/>
  <c r="AC692" i="78"/>
  <c r="AC686" i="78"/>
  <c r="AC680" i="78"/>
  <c r="AC674" i="78"/>
  <c r="AC953" i="78"/>
  <c r="AC897" i="78"/>
  <c r="AC884" i="78"/>
  <c r="AC788" i="78"/>
  <c r="AC768" i="78"/>
  <c r="AC737" i="78"/>
  <c r="AC724" i="78"/>
  <c r="AC723" i="78"/>
  <c r="AC892" i="78"/>
  <c r="AC850" i="78"/>
  <c r="AC832" i="78"/>
  <c r="AC830" i="78"/>
  <c r="AC802" i="78"/>
  <c r="AC738" i="78"/>
  <c r="AC728" i="78"/>
  <c r="AC727" i="78"/>
  <c r="AC726" i="78"/>
  <c r="AC725" i="78"/>
  <c r="AC715" i="78"/>
  <c r="AC709" i="78"/>
  <c r="AC703" i="78"/>
  <c r="AC697" i="78"/>
  <c r="AC691" i="78"/>
  <c r="AC685" i="78"/>
  <c r="AC679" i="78"/>
  <c r="AC673" i="78"/>
  <c r="AC667" i="78"/>
  <c r="AC661" i="78"/>
  <c r="AC655" i="78"/>
  <c r="AC649" i="78"/>
  <c r="AC643" i="78"/>
  <c r="AC637" i="78"/>
  <c r="AC922" i="78"/>
  <c r="AC840" i="78"/>
  <c r="AC822" i="78"/>
  <c r="AC812" i="78"/>
  <c r="AC739" i="78"/>
  <c r="AC730" i="78"/>
  <c r="AC729" i="78"/>
  <c r="AC910" i="78"/>
  <c r="AC870" i="78"/>
  <c r="AC847" i="78"/>
  <c r="AC799" i="78"/>
  <c r="AC778" i="78"/>
  <c r="AC774" i="78"/>
  <c r="AC732" i="78"/>
  <c r="AC731" i="78"/>
  <c r="AC690" i="78"/>
  <c r="AC664" i="78"/>
  <c r="AC659" i="78"/>
  <c r="AC656" i="78"/>
  <c r="AC608" i="78"/>
  <c r="AC602" i="78"/>
  <c r="AC596" i="78"/>
  <c r="AC590" i="78"/>
  <c r="AC584" i="78"/>
  <c r="AC578" i="78"/>
  <c r="AC572" i="78"/>
  <c r="AC566" i="78"/>
  <c r="AC560" i="78"/>
  <c r="AC554" i="78"/>
  <c r="AC548" i="78"/>
  <c r="AC542" i="78"/>
  <c r="AC536" i="78"/>
  <c r="AC530" i="78"/>
  <c r="AC524" i="78"/>
  <c r="AC518" i="78"/>
  <c r="AC512" i="78"/>
  <c r="AC506" i="78"/>
  <c r="AC500" i="78"/>
  <c r="AC494" i="78"/>
  <c r="AC734" i="78"/>
  <c r="AC713" i="78"/>
  <c r="AC682" i="78"/>
  <c r="AC678" i="78"/>
  <c r="AC642" i="78"/>
  <c r="AC609" i="78"/>
  <c r="AC706" i="78"/>
  <c r="AC662" i="78"/>
  <c r="AC653" i="78"/>
  <c r="AC646" i="78"/>
  <c r="AC614" i="78"/>
  <c r="AC613" i="78"/>
  <c r="AC612" i="78"/>
  <c r="AC611" i="78"/>
  <c r="AC610" i="78"/>
  <c r="AC607" i="78"/>
  <c r="AC601" i="78"/>
  <c r="AC595" i="78"/>
  <c r="AC589" i="78"/>
  <c r="AC583" i="78"/>
  <c r="AC577" i="78"/>
  <c r="AC571" i="78"/>
  <c r="AC565" i="78"/>
  <c r="AC559" i="78"/>
  <c r="AC553" i="78"/>
  <c r="AC547" i="78"/>
  <c r="AC541" i="78"/>
  <c r="AC535" i="78"/>
  <c r="AC529" i="78"/>
  <c r="AC523" i="78"/>
  <c r="AC860" i="78"/>
  <c r="AC790" i="78"/>
  <c r="AC708" i="78"/>
  <c r="AC701" i="78"/>
  <c r="AC676" i="78"/>
  <c r="AC672" i="78"/>
  <c r="AC650" i="78"/>
  <c r="AC638" i="78"/>
  <c r="AC615" i="78"/>
  <c r="AC1037" i="78"/>
  <c r="AC891" i="78"/>
  <c r="AC806" i="78"/>
  <c r="AC694" i="78"/>
  <c r="AC665" i="78"/>
  <c r="AC660" i="78"/>
  <c r="AC620" i="78"/>
  <c r="AC619" i="78"/>
  <c r="AC618" i="78"/>
  <c r="AC617" i="78"/>
  <c r="AC616" i="78"/>
  <c r="AC606" i="78"/>
  <c r="AC600" i="78"/>
  <c r="AC594" i="78"/>
  <c r="AC588" i="78"/>
  <c r="AC582" i="78"/>
  <c r="AC576" i="78"/>
  <c r="AC570" i="78"/>
  <c r="AC564" i="78"/>
  <c r="AC558" i="78"/>
  <c r="AC552" i="78"/>
  <c r="AC546" i="78"/>
  <c r="AC540" i="78"/>
  <c r="AC534" i="78"/>
  <c r="AC528" i="78"/>
  <c r="AC854" i="78"/>
  <c r="AC826" i="78"/>
  <c r="AC765" i="78"/>
  <c r="AC742" i="78"/>
  <c r="AC733" i="78"/>
  <c r="AC696" i="78"/>
  <c r="AC689" i="78"/>
  <c r="AC670" i="78"/>
  <c r="AC654" i="78"/>
  <c r="AC647" i="78"/>
  <c r="AC621" i="78"/>
  <c r="AC794" i="78"/>
  <c r="AC683" i="78"/>
  <c r="AC668" i="78"/>
  <c r="AC644" i="78"/>
  <c r="AC626" i="78"/>
  <c r="AC625" i="78"/>
  <c r="AC624" i="78"/>
  <c r="AC623" i="78"/>
  <c r="AC622" i="78"/>
  <c r="AC605" i="78"/>
  <c r="AC599" i="78"/>
  <c r="AC593" i="78"/>
  <c r="AC587" i="78"/>
  <c r="AC581" i="78"/>
  <c r="AC575" i="78"/>
  <c r="AC569" i="78"/>
  <c r="AC563" i="78"/>
  <c r="AC557" i="78"/>
  <c r="AC551" i="78"/>
  <c r="AC545" i="78"/>
  <c r="AC539" i="78"/>
  <c r="AC533" i="78"/>
  <c r="AC527" i="78"/>
  <c r="AC521" i="78"/>
  <c r="AC769" i="78"/>
  <c r="AC741" i="78"/>
  <c r="AC714" i="78"/>
  <c r="AC707" i="78"/>
  <c r="AC677" i="78"/>
  <c r="AC666" i="78"/>
  <c r="AC658" i="78"/>
  <c r="AC648" i="78"/>
  <c r="AC632" i="78"/>
  <c r="AC631" i="78"/>
  <c r="AC630" i="78"/>
  <c r="AC629" i="78"/>
  <c r="AC628" i="78"/>
  <c r="AC604" i="78"/>
  <c r="AC598" i="78"/>
  <c r="AC592" i="78"/>
  <c r="AC586" i="78"/>
  <c r="AC580" i="78"/>
  <c r="AC574" i="78"/>
  <c r="AC568" i="78"/>
  <c r="AC562" i="78"/>
  <c r="AC556" i="78"/>
  <c r="AC550" i="78"/>
  <c r="AC544" i="78"/>
  <c r="AC538" i="78"/>
  <c r="AC532" i="78"/>
  <c r="AC526" i="78"/>
  <c r="AC520" i="78"/>
  <c r="AC514" i="78"/>
  <c r="AC740" i="78"/>
  <c r="AC712" i="78"/>
  <c r="AC489" i="78"/>
  <c r="AC483" i="78"/>
  <c r="AC477" i="78"/>
  <c r="AC471" i="78"/>
  <c r="AC465" i="78"/>
  <c r="AC459" i="78"/>
  <c r="AC453" i="78"/>
  <c r="AC447" i="78"/>
  <c r="AC441" i="78"/>
  <c r="AC435" i="78"/>
  <c r="AC429" i="78"/>
  <c r="AC423" i="78"/>
  <c r="AC417" i="78"/>
  <c r="AC411" i="78"/>
  <c r="AC405" i="78"/>
  <c r="AC399" i="78"/>
  <c r="AC393" i="78"/>
  <c r="AC387" i="78"/>
  <c r="AC381" i="78"/>
  <c r="AC375" i="78"/>
  <c r="AC369" i="78"/>
  <c r="AC856" i="78"/>
  <c r="AC808" i="78"/>
  <c r="AC688" i="78"/>
  <c r="AC684" i="78"/>
  <c r="AC627" i="78"/>
  <c r="AC603" i="78"/>
  <c r="AC579" i="78"/>
  <c r="AC555" i="78"/>
  <c r="AC531" i="78"/>
  <c r="AC517" i="78"/>
  <c r="AC495" i="78"/>
  <c r="AC702" i="78"/>
  <c r="AC671" i="78"/>
  <c r="AC636" i="78"/>
  <c r="AC633" i="78"/>
  <c r="AC510" i="78"/>
  <c r="AC505" i="78"/>
  <c r="AC488" i="78"/>
  <c r="AC482" i="78"/>
  <c r="AC476" i="78"/>
  <c r="AC470" i="78"/>
  <c r="AC464" i="78"/>
  <c r="AC458" i="78"/>
  <c r="AC452" i="78"/>
  <c r="AC446" i="78"/>
  <c r="AC440" i="78"/>
  <c r="AC434" i="78"/>
  <c r="AC428" i="78"/>
  <c r="AC422" i="78"/>
  <c r="AC416" i="78"/>
  <c r="AC410" i="78"/>
  <c r="AC404" i="78"/>
  <c r="AC398" i="78"/>
  <c r="AC392" i="78"/>
  <c r="AC386" i="78"/>
  <c r="AC380" i="78"/>
  <c r="AC374" i="78"/>
  <c r="AC368" i="78"/>
  <c r="AC522" i="78"/>
  <c r="AC496" i="78"/>
  <c r="AC1020" i="78"/>
  <c r="AC652" i="78"/>
  <c r="AC585" i="78"/>
  <c r="AC561" i="78"/>
  <c r="AC537" i="78"/>
  <c r="AC501" i="78"/>
  <c r="AC487" i="78"/>
  <c r="AC481" i="78"/>
  <c r="AC475" i="78"/>
  <c r="AC469" i="78"/>
  <c r="AC463" i="78"/>
  <c r="AC457" i="78"/>
  <c r="AC451" i="78"/>
  <c r="AC445" i="78"/>
  <c r="AC439" i="78"/>
  <c r="AC433" i="78"/>
  <c r="AC427" i="78"/>
  <c r="AC421" i="78"/>
  <c r="AC415" i="78"/>
  <c r="AC409" i="78"/>
  <c r="AC403" i="78"/>
  <c r="AC397" i="78"/>
  <c r="AC391" i="78"/>
  <c r="AC829" i="78"/>
  <c r="AC515" i="78"/>
  <c r="AC511" i="78"/>
  <c r="AC497" i="78"/>
  <c r="AC763" i="78"/>
  <c r="AC700" i="78"/>
  <c r="AC635" i="78"/>
  <c r="AC502" i="78"/>
  <c r="AC486" i="78"/>
  <c r="AC480" i="78"/>
  <c r="AC474" i="78"/>
  <c r="AC468" i="78"/>
  <c r="AC462" i="78"/>
  <c r="AC456" i="78"/>
  <c r="AC450" i="78"/>
  <c r="AC444" i="78"/>
  <c r="AC438" i="78"/>
  <c r="AC432" i="78"/>
  <c r="AC426" i="78"/>
  <c r="AC420" i="78"/>
  <c r="AC414" i="78"/>
  <c r="AC408" i="78"/>
  <c r="AC402" i="78"/>
  <c r="AC396" i="78"/>
  <c r="AC896" i="78"/>
  <c r="AC503" i="78"/>
  <c r="AC498" i="78"/>
  <c r="AC491" i="78"/>
  <c r="AC485" i="78"/>
  <c r="AC479" i="78"/>
  <c r="AC473" i="78"/>
  <c r="AC467" i="78"/>
  <c r="AC461" i="78"/>
  <c r="AC455" i="78"/>
  <c r="AC449" i="78"/>
  <c r="AC443" i="78"/>
  <c r="AC437" i="78"/>
  <c r="AC431" i="78"/>
  <c r="AC425" i="78"/>
  <c r="AC419" i="78"/>
  <c r="AC413" i="78"/>
  <c r="AC407" i="78"/>
  <c r="AC401" i="78"/>
  <c r="AC395" i="78"/>
  <c r="AC389" i="78"/>
  <c r="AC383" i="78"/>
  <c r="AC377" i="78"/>
  <c r="AC886" i="78"/>
  <c r="AC876" i="78"/>
  <c r="AC509" i="78"/>
  <c r="AC484" i="78"/>
  <c r="AC460" i="78"/>
  <c r="AC436" i="78"/>
  <c r="AC412" i="78"/>
  <c r="AC382" i="78"/>
  <c r="AC370" i="78"/>
  <c r="AC367" i="78"/>
  <c r="AC366" i="78"/>
  <c r="AC365" i="78"/>
  <c r="AC364" i="78"/>
  <c r="AC390" i="78"/>
  <c r="AC385" i="78"/>
  <c r="AC371" i="78"/>
  <c r="AC363" i="78"/>
  <c r="AC357" i="78"/>
  <c r="AC351" i="78"/>
  <c r="AC345" i="78"/>
  <c r="AC339" i="78"/>
  <c r="AC519" i="78"/>
  <c r="AC372" i="78"/>
  <c r="AC641" i="78"/>
  <c r="AC508" i="78"/>
  <c r="AC499" i="78"/>
  <c r="AC493" i="78"/>
  <c r="AC490" i="78"/>
  <c r="AC466" i="78"/>
  <c r="AC442" i="78"/>
  <c r="AC418" i="78"/>
  <c r="AC394" i="78"/>
  <c r="AC388" i="78"/>
  <c r="AC362" i="78"/>
  <c r="AC356" i="78"/>
  <c r="AC350" i="78"/>
  <c r="AC344" i="78"/>
  <c r="AC338" i="78"/>
  <c r="AC332" i="78"/>
  <c r="AC326" i="78"/>
  <c r="AC320" i="78"/>
  <c r="AC314" i="78"/>
  <c r="AC308" i="78"/>
  <c r="AC302" i="78"/>
  <c r="AC296" i="78"/>
  <c r="AC290" i="78"/>
  <c r="AC284" i="78"/>
  <c r="AC278" i="78"/>
  <c r="AC373" i="78"/>
  <c r="AC378" i="78"/>
  <c r="AC361" i="78"/>
  <c r="AC355" i="78"/>
  <c r="AC349" i="78"/>
  <c r="AC343" i="78"/>
  <c r="AC337" i="78"/>
  <c r="AC331" i="78"/>
  <c r="AC325" i="78"/>
  <c r="AC319" i="78"/>
  <c r="AC313" i="78"/>
  <c r="AC307" i="78"/>
  <c r="AC301" i="78"/>
  <c r="AC295" i="78"/>
  <c r="AC289" i="78"/>
  <c r="AC283" i="78"/>
  <c r="AC277" i="78"/>
  <c r="AC543" i="78"/>
  <c r="AC516" i="78"/>
  <c r="AC379" i="78"/>
  <c r="AC376" i="78"/>
  <c r="AC358" i="78"/>
  <c r="AC341" i="78"/>
  <c r="AC334" i="78"/>
  <c r="AC316" i="78"/>
  <c r="AC298" i="78"/>
  <c r="AC286" i="78"/>
  <c r="AC281" i="78"/>
  <c r="AC276" i="78"/>
  <c r="AC261" i="78"/>
  <c r="AC254" i="78"/>
  <c r="AC280" i="78"/>
  <c r="AC504" i="78"/>
  <c r="AC591" i="78"/>
  <c r="AC354" i="78"/>
  <c r="AC329" i="78"/>
  <c r="AC324" i="78"/>
  <c r="AC311" i="78"/>
  <c r="AC306" i="78"/>
  <c r="AC293" i="78"/>
  <c r="AC266" i="78"/>
  <c r="AC265" i="78"/>
  <c r="AC264" i="78"/>
  <c r="AC263" i="78"/>
  <c r="AC262" i="78"/>
  <c r="AC253" i="78"/>
  <c r="AC347" i="78"/>
  <c r="AC258" i="78"/>
  <c r="AC549" i="78"/>
  <c r="AC448" i="78"/>
  <c r="AC352" i="78"/>
  <c r="AC287" i="78"/>
  <c r="AC282" i="78"/>
  <c r="AC267" i="78"/>
  <c r="AC305" i="78"/>
  <c r="AC250" i="78"/>
  <c r="AC321" i="78"/>
  <c r="AC256" i="78"/>
  <c r="AC695" i="78"/>
  <c r="AC597" i="78"/>
  <c r="AC513" i="78"/>
  <c r="AC507" i="78"/>
  <c r="AC478" i="78"/>
  <c r="AC406" i="78"/>
  <c r="AC348" i="78"/>
  <c r="AC327" i="78"/>
  <c r="AC309" i="78"/>
  <c r="AC291" i="78"/>
  <c r="AC272" i="78"/>
  <c r="AC271" i="78"/>
  <c r="AC270" i="78"/>
  <c r="AC269" i="78"/>
  <c r="AC268" i="78"/>
  <c r="AC285" i="78"/>
  <c r="AC424" i="78"/>
  <c r="AC525" i="78"/>
  <c r="AC346" i="78"/>
  <c r="AC322" i="78"/>
  <c r="AC304" i="78"/>
  <c r="AC288" i="78"/>
  <c r="AC297" i="78"/>
  <c r="AC252" i="78"/>
  <c r="AC255" i="78"/>
  <c r="AC640" i="78"/>
  <c r="AC360" i="78"/>
  <c r="AC257" i="78"/>
  <c r="AC342" i="78"/>
  <c r="AC335" i="78"/>
  <c r="AC330" i="78"/>
  <c r="AC317" i="78"/>
  <c r="AC312" i="78"/>
  <c r="AC299" i="78"/>
  <c r="AC294" i="78"/>
  <c r="AC273" i="78"/>
  <c r="AC333" i="78"/>
  <c r="AC300" i="78"/>
  <c r="AC492" i="78"/>
  <c r="AC384" i="78"/>
  <c r="AC275" i="78"/>
  <c r="AC259" i="78"/>
  <c r="AC472" i="78"/>
  <c r="AC400" i="78"/>
  <c r="AC359" i="78"/>
  <c r="AC340" i="78"/>
  <c r="AC430" i="78"/>
  <c r="AC315" i="78"/>
  <c r="AC279" i="78"/>
  <c r="AC454" i="78"/>
  <c r="AC260" i="78"/>
  <c r="AC634" i="78"/>
  <c r="AC567" i="78"/>
  <c r="AC353" i="78"/>
  <c r="AC328" i="78"/>
  <c r="AC310" i="78"/>
  <c r="AC292" i="78"/>
  <c r="AC274" i="78"/>
  <c r="AC573" i="78"/>
  <c r="AC336" i="78"/>
  <c r="AC323" i="78"/>
  <c r="AC318" i="78"/>
  <c r="AC251" i="78"/>
  <c r="AC303" i="78"/>
  <c r="AC248" i="78"/>
  <c r="AC242" i="78"/>
  <c r="AC236" i="78"/>
  <c r="AC230" i="78"/>
  <c r="AC224" i="78"/>
  <c r="AC218" i="78"/>
  <c r="AC212" i="78"/>
  <c r="AC206" i="78"/>
  <c r="AC200" i="78"/>
  <c r="AC194" i="78"/>
  <c r="AC188" i="78"/>
  <c r="AC182" i="78"/>
  <c r="AC176" i="78"/>
  <c r="AC247" i="78"/>
  <c r="AC241" i="78"/>
  <c r="AC235" i="78"/>
  <c r="AC229" i="78"/>
  <c r="AC223" i="78"/>
  <c r="AC217" i="78"/>
  <c r="AC211" i="78"/>
  <c r="AC205" i="78"/>
  <c r="AC199" i="78"/>
  <c r="AC193" i="78"/>
  <c r="AC187" i="78"/>
  <c r="AC244" i="78"/>
  <c r="AC237" i="78"/>
  <c r="AC234" i="78"/>
  <c r="AC227" i="78"/>
  <c r="AC220" i="78"/>
  <c r="AC213" i="78"/>
  <c r="AC210" i="78"/>
  <c r="AC203" i="78"/>
  <c r="AC196" i="78"/>
  <c r="AC189" i="78"/>
  <c r="AC186" i="78"/>
  <c r="AC171" i="78"/>
  <c r="AC151" i="78"/>
  <c r="AC145" i="78"/>
  <c r="AC139" i="78"/>
  <c r="AC133" i="78"/>
  <c r="AC127" i="78"/>
  <c r="AC121" i="78"/>
  <c r="AC115" i="78"/>
  <c r="AC178" i="78"/>
  <c r="AC172" i="78"/>
  <c r="AC173" i="78"/>
  <c r="AC150" i="78"/>
  <c r="AC144" i="78"/>
  <c r="AC138" i="78"/>
  <c r="AC132" i="78"/>
  <c r="AC126" i="78"/>
  <c r="AC120" i="78"/>
  <c r="AC245" i="78"/>
  <c r="AC238" i="78"/>
  <c r="AC231" i="78"/>
  <c r="AC228" i="78"/>
  <c r="AC221" i="78"/>
  <c r="AC214" i="78"/>
  <c r="AC207" i="78"/>
  <c r="AC204" i="78"/>
  <c r="AC197" i="78"/>
  <c r="AC190" i="78"/>
  <c r="AC183" i="78"/>
  <c r="AC179" i="78"/>
  <c r="AC174" i="78"/>
  <c r="AC157" i="78"/>
  <c r="AC156" i="78"/>
  <c r="AC155" i="78"/>
  <c r="AC149" i="78"/>
  <c r="AC143" i="78"/>
  <c r="AC137" i="78"/>
  <c r="AC131" i="78"/>
  <c r="AC125" i="78"/>
  <c r="AC119" i="78"/>
  <c r="AC215" i="78"/>
  <c r="AC195" i="78"/>
  <c r="AC175" i="78"/>
  <c r="AC170" i="78"/>
  <c r="AC168" i="78"/>
  <c r="AC154" i="78"/>
  <c r="AC136" i="78"/>
  <c r="AC109" i="78"/>
  <c r="AC103" i="78"/>
  <c r="AC97" i="78"/>
  <c r="AC249" i="78"/>
  <c r="AC240" i="78"/>
  <c r="AC208" i="78"/>
  <c r="AC159" i="78"/>
  <c r="AC147" i="78"/>
  <c r="AC129" i="78"/>
  <c r="AC233" i="78"/>
  <c r="AC181" i="78"/>
  <c r="AC166" i="78"/>
  <c r="AC140" i="78"/>
  <c r="AC108" i="78"/>
  <c r="AC102" i="78"/>
  <c r="AC96" i="78"/>
  <c r="AC123" i="78"/>
  <c r="AC201" i="78"/>
  <c r="AC192" i="78"/>
  <c r="AC177" i="78"/>
  <c r="AC164" i="78"/>
  <c r="AC122" i="78"/>
  <c r="AC169" i="78"/>
  <c r="AC141" i="78"/>
  <c r="AC113" i="78"/>
  <c r="AC246" i="78"/>
  <c r="AC226" i="78"/>
  <c r="AC185" i="78"/>
  <c r="AC162" i="78"/>
  <c r="AC148" i="78"/>
  <c r="AC130" i="78"/>
  <c r="AC107" i="78"/>
  <c r="AC101" i="78"/>
  <c r="AC95" i="78"/>
  <c r="AC239" i="78"/>
  <c r="AC219" i="78"/>
  <c r="AC114" i="78"/>
  <c r="AC225" i="78"/>
  <c r="AC98" i="78"/>
  <c r="AC232" i="78"/>
  <c r="AC202" i="78"/>
  <c r="AC163" i="78"/>
  <c r="AC134" i="78"/>
  <c r="AC110" i="78"/>
  <c r="AC216" i="78"/>
  <c r="AC165" i="78"/>
  <c r="AC100" i="78"/>
  <c r="AC243" i="78"/>
  <c r="AC106" i="78"/>
  <c r="AC93" i="78"/>
  <c r="AC184" i="78"/>
  <c r="AC128" i="78"/>
  <c r="AC209" i="78"/>
  <c r="AC124" i="78"/>
  <c r="AC105" i="78"/>
  <c r="AC99" i="78"/>
  <c r="AC146" i="78"/>
  <c r="AC117" i="78"/>
  <c r="AC92" i="78"/>
  <c r="AC153" i="78"/>
  <c r="AC111" i="78"/>
  <c r="AC158" i="78"/>
  <c r="AC180" i="78"/>
  <c r="AC222" i="78"/>
  <c r="AC167" i="78"/>
  <c r="AC160" i="78"/>
  <c r="AC135" i="78"/>
  <c r="AC118" i="78"/>
  <c r="AC104" i="78"/>
  <c r="AC112" i="78"/>
  <c r="AC116" i="78"/>
  <c r="AC191" i="78"/>
  <c r="AC142" i="78"/>
  <c r="AC152" i="78"/>
  <c r="AC198" i="78"/>
  <c r="AC94" i="78"/>
  <c r="AC161" i="78"/>
  <c r="AF161" i="78" l="1"/>
  <c r="AG104" i="78"/>
  <c r="AE191" i="78"/>
  <c r="AE101" i="78"/>
  <c r="AG225" i="78"/>
  <c r="AE94" i="78"/>
  <c r="AF94" i="78"/>
  <c r="AE152" i="78"/>
  <c r="AG195" i="78"/>
  <c r="AG109" i="78"/>
  <c r="AF198" i="78"/>
  <c r="AG94" i="78"/>
  <c r="AE112" i="78"/>
  <c r="AF152" i="78"/>
  <c r="AF142" i="78"/>
  <c r="AE114" i="78"/>
  <c r="AG135" i="78"/>
  <c r="AG142" i="78"/>
  <c r="AF191" i="78"/>
  <c r="AH191" i="78" s="1"/>
  <c r="AE184" i="78"/>
  <c r="AE116" i="78"/>
  <c r="AG98" i="78"/>
  <c r="AH98" i="78" s="1"/>
  <c r="AF116" i="78"/>
  <c r="AH116" i="78" s="1"/>
  <c r="AF112" i="78"/>
  <c r="AH112" i="78" s="1"/>
  <c r="AE128" i="78"/>
  <c r="AE118" i="78"/>
  <c r="AE135" i="78"/>
  <c r="AE167" i="78"/>
  <c r="AG191" i="78"/>
  <c r="AG97" i="78"/>
  <c r="AE180" i="78"/>
  <c r="AH180" i="78" s="1"/>
  <c r="AF104" i="78"/>
  <c r="AF118" i="78"/>
  <c r="AH118" i="78" s="1"/>
  <c r="AF135" i="78"/>
  <c r="AF160" i="78"/>
  <c r="AH160" i="78" s="1"/>
  <c r="AF167" i="78"/>
  <c r="AF222" i="78"/>
  <c r="AE106" i="78"/>
  <c r="AG145" i="78"/>
  <c r="AF180" i="78"/>
  <c r="AE100" i="78"/>
  <c r="AG128" i="78"/>
  <c r="AF158" i="78"/>
  <c r="AF111" i="78"/>
  <c r="AG119" i="78"/>
  <c r="AF153" i="78"/>
  <c r="AG168" i="78"/>
  <c r="AG243" i="78"/>
  <c r="AG100" i="78"/>
  <c r="AE117" i="78"/>
  <c r="AE131" i="78"/>
  <c r="AE146" i="78"/>
  <c r="AG153" i="78"/>
  <c r="AF92" i="78"/>
  <c r="AE99" i="78"/>
  <c r="AE105" i="78"/>
  <c r="AH105" i="78" s="1"/>
  <c r="AE113" i="78"/>
  <c r="AG115" i="78"/>
  <c r="AF117" i="78"/>
  <c r="AE124" i="78"/>
  <c r="AH124" i="78" s="1"/>
  <c r="AF146" i="78"/>
  <c r="AE156" i="78"/>
  <c r="AE209" i="78"/>
  <c r="AG103" i="78"/>
  <c r="AE111" i="78"/>
  <c r="AE123" i="78"/>
  <c r="AG184" i="78"/>
  <c r="AG93" i="78"/>
  <c r="AG196" i="78"/>
  <c r="AG220" i="78"/>
  <c r="AH220" i="78" s="1"/>
  <c r="AE239" i="78"/>
  <c r="AH239" i="78" s="1"/>
  <c r="AG92" i="78"/>
  <c r="AF99" i="78"/>
  <c r="AF105" i="78"/>
  <c r="AF124" i="78"/>
  <c r="AG139" i="78"/>
  <c r="AE141" i="78"/>
  <c r="AG146" i="78"/>
  <c r="AF209" i="78"/>
  <c r="AH209" i="78" s="1"/>
  <c r="AF128" i="78"/>
  <c r="AH128" i="78" s="1"/>
  <c r="AG161" i="78"/>
  <c r="AF184" i="78"/>
  <c r="AH184" i="78" s="1"/>
  <c r="AG215" i="78"/>
  <c r="AG227" i="78"/>
  <c r="AF93" i="78"/>
  <c r="AF106" i="78"/>
  <c r="AE119" i="78"/>
  <c r="AE153" i="78"/>
  <c r="AF243" i="78"/>
  <c r="AF100" i="78"/>
  <c r="AF165" i="78"/>
  <c r="AE216" i="78"/>
  <c r="AH216" i="78" s="1"/>
  <c r="AE92" i="78"/>
  <c r="AG111" i="78"/>
  <c r="AG136" i="78"/>
  <c r="AH136" i="78" s="1"/>
  <c r="AG165" i="78"/>
  <c r="AG189" i="78"/>
  <c r="AF216" i="78"/>
  <c r="AE110" i="78"/>
  <c r="AE95" i="78"/>
  <c r="AG99" i="78"/>
  <c r="AG105" i="78"/>
  <c r="AF110" i="78"/>
  <c r="AH110" i="78" s="1"/>
  <c r="AE120" i="78"/>
  <c r="AG124" i="78"/>
  <c r="AE134" i="78"/>
  <c r="AE163" i="78"/>
  <c r="AG209" i="78"/>
  <c r="AE232" i="78"/>
  <c r="AE93" i="78"/>
  <c r="AG167" i="78"/>
  <c r="AE98" i="78"/>
  <c r="AG110" i="78"/>
  <c r="AF134" i="78"/>
  <c r="AE149" i="78"/>
  <c r="AG154" i="78"/>
  <c r="AF163" i="78"/>
  <c r="AE169" i="78"/>
  <c r="AH169" i="78" s="1"/>
  <c r="AF202" i="78"/>
  <c r="AH202" i="78" s="1"/>
  <c r="AF232" i="78"/>
  <c r="AF98" i="78"/>
  <c r="AE104" i="78"/>
  <c r="AG127" i="78"/>
  <c r="AE142" i="78"/>
  <c r="AE160" i="78"/>
  <c r="AE198" i="78"/>
  <c r="AG202" i="78"/>
  <c r="AF225" i="78"/>
  <c r="AF114" i="78"/>
  <c r="AG117" i="78"/>
  <c r="AG152" i="78"/>
  <c r="AH152" i="78" s="1"/>
  <c r="AE162" i="78"/>
  <c r="AH162" i="78" s="1"/>
  <c r="AG171" i="78"/>
  <c r="AF219" i="78"/>
  <c r="AG237" i="78"/>
  <c r="AF239" i="78"/>
  <c r="AF95" i="78"/>
  <c r="AF101" i="78"/>
  <c r="AF107" i="78"/>
  <c r="AG113" i="78"/>
  <c r="AH113" i="78" s="1"/>
  <c r="AE122" i="78"/>
  <c r="AG123" i="78"/>
  <c r="AF130" i="78"/>
  <c r="AH130" i="78" s="1"/>
  <c r="AE137" i="78"/>
  <c r="AG141" i="78"/>
  <c r="AF148" i="78"/>
  <c r="AE155" i="78"/>
  <c r="AF162" i="78"/>
  <c r="AF185" i="78"/>
  <c r="AE192" i="78"/>
  <c r="AG219" i="78"/>
  <c r="AF226" i="78"/>
  <c r="AG239" i="78"/>
  <c r="AG244" i="78"/>
  <c r="AF246" i="78"/>
  <c r="AF113" i="78"/>
  <c r="AG134" i="78"/>
  <c r="AF141" i="78"/>
  <c r="AE148" i="78"/>
  <c r="AF169" i="78"/>
  <c r="AG203" i="78"/>
  <c r="AE96" i="78"/>
  <c r="AE102" i="78"/>
  <c r="AH102" i="78" s="1"/>
  <c r="AG107" i="78"/>
  <c r="AE108" i="78"/>
  <c r="AH108" i="78" s="1"/>
  <c r="AF122" i="78"/>
  <c r="AG130" i="78"/>
  <c r="AG133" i="78"/>
  <c r="AE140" i="78"/>
  <c r="AG148" i="78"/>
  <c r="AG151" i="78"/>
  <c r="AG162" i="78"/>
  <c r="AF164" i="78"/>
  <c r="AE166" i="78"/>
  <c r="AF177" i="78"/>
  <c r="AG185" i="78"/>
  <c r="AF192" i="78"/>
  <c r="AF201" i="78"/>
  <c r="AG226" i="78"/>
  <c r="AE233" i="78"/>
  <c r="AG106" i="78"/>
  <c r="AG112" i="78"/>
  <c r="AG116" i="78"/>
  <c r="AG118" i="78"/>
  <c r="AF123" i="78"/>
  <c r="AE130" i="78"/>
  <c r="AE226" i="78"/>
  <c r="AG232" i="78"/>
  <c r="AH232" i="78" s="1"/>
  <c r="AG95" i="78"/>
  <c r="AH95" i="78" s="1"/>
  <c r="AG101" i="78"/>
  <c r="AF96" i="78"/>
  <c r="AF102" i="78"/>
  <c r="AF108" i="78"/>
  <c r="AG122" i="78"/>
  <c r="AE129" i="78"/>
  <c r="AF140" i="78"/>
  <c r="AE147" i="78"/>
  <c r="AE157" i="78"/>
  <c r="AF166" i="78"/>
  <c r="AH166" i="78" s="1"/>
  <c r="AG177" i="78"/>
  <c r="AF181" i="78"/>
  <c r="AG201" i="78"/>
  <c r="AE208" i="78"/>
  <c r="AH208" i="78" s="1"/>
  <c r="AF233" i="78"/>
  <c r="AE240" i="78"/>
  <c r="AE103" i="78"/>
  <c r="AG108" i="78"/>
  <c r="AE109" i="78"/>
  <c r="AG121" i="78"/>
  <c r="AF129" i="78"/>
  <c r="AE136" i="78"/>
  <c r="AG140" i="78"/>
  <c r="AH140" i="78" s="1"/>
  <c r="AF147" i="78"/>
  <c r="AE154" i="78"/>
  <c r="AF159" i="78"/>
  <c r="AG166" i="78"/>
  <c r="AE168" i="78"/>
  <c r="AF208" i="78"/>
  <c r="AE215" i="78"/>
  <c r="AG233" i="78"/>
  <c r="AF240" i="78"/>
  <c r="AF249" i="78"/>
  <c r="AE107" i="78"/>
  <c r="AG160" i="78"/>
  <c r="AE185" i="78"/>
  <c r="AE246" i="78"/>
  <c r="AG96" i="78"/>
  <c r="AE97" i="78"/>
  <c r="AG102" i="78"/>
  <c r="AF97" i="78"/>
  <c r="AF103" i="78"/>
  <c r="AF109" i="78"/>
  <c r="AE125" i="78"/>
  <c r="AG129" i="78"/>
  <c r="AF136" i="78"/>
  <c r="AE143" i="78"/>
  <c r="AG147" i="78"/>
  <c r="AF154" i="78"/>
  <c r="AH154" i="78" s="1"/>
  <c r="AG159" i="78"/>
  <c r="AE161" i="78"/>
  <c r="AF168" i="78"/>
  <c r="AF170" i="78"/>
  <c r="AF175" i="78"/>
  <c r="AF195" i="78"/>
  <c r="AE202" i="78"/>
  <c r="AG208" i="78"/>
  <c r="AG213" i="78"/>
  <c r="AF215" i="78"/>
  <c r="AE222" i="78"/>
  <c r="AH222" i="78" s="1"/>
  <c r="AG249" i="78"/>
  <c r="AF119" i="78"/>
  <c r="AH119" i="78" s="1"/>
  <c r="AF125" i="78"/>
  <c r="AF131" i="78"/>
  <c r="AF137" i="78"/>
  <c r="AF143" i="78"/>
  <c r="AF149" i="78"/>
  <c r="AF155" i="78"/>
  <c r="AH155" i="78" s="1"/>
  <c r="AF156" i="78"/>
  <c r="AF157" i="78"/>
  <c r="AH157" i="78" s="1"/>
  <c r="AE174" i="78"/>
  <c r="AH174" i="78" s="1"/>
  <c r="AE179" i="78"/>
  <c r="AE190" i="78"/>
  <c r="AE197" i="78"/>
  <c r="AE204" i="78"/>
  <c r="AE214" i="78"/>
  <c r="AE221" i="78"/>
  <c r="AE228" i="78"/>
  <c r="AE238" i="78"/>
  <c r="AE245" i="78"/>
  <c r="AG125" i="78"/>
  <c r="AE126" i="78"/>
  <c r="AG131" i="78"/>
  <c r="AH131" i="78" s="1"/>
  <c r="AE132" i="78"/>
  <c r="AG137" i="78"/>
  <c r="AE138" i="78"/>
  <c r="AG143" i="78"/>
  <c r="AE144" i="78"/>
  <c r="AG149" i="78"/>
  <c r="AE150" i="78"/>
  <c r="AG155" i="78"/>
  <c r="AG156" i="78"/>
  <c r="AE173" i="78"/>
  <c r="AF174" i="78"/>
  <c r="AF179" i="78"/>
  <c r="AF183" i="78"/>
  <c r="AF190" i="78"/>
  <c r="AH190" i="78" s="1"/>
  <c r="AF197" i="78"/>
  <c r="AH197" i="78" s="1"/>
  <c r="AF204" i="78"/>
  <c r="AF207" i="78"/>
  <c r="AF214" i="78"/>
  <c r="AF221" i="78"/>
  <c r="AF228" i="78"/>
  <c r="AF231" i="78"/>
  <c r="AF238" i="78"/>
  <c r="AH238" i="78" s="1"/>
  <c r="AF245" i="78"/>
  <c r="AF120" i="78"/>
  <c r="AF126" i="78"/>
  <c r="AF132" i="78"/>
  <c r="AF138" i="78"/>
  <c r="AF144" i="78"/>
  <c r="AF150" i="78"/>
  <c r="AE172" i="78"/>
  <c r="AF173" i="78"/>
  <c r="AE178" i="78"/>
  <c r="AG179" i="78"/>
  <c r="AG183" i="78"/>
  <c r="AG190" i="78"/>
  <c r="AG197" i="78"/>
  <c r="AG207" i="78"/>
  <c r="AG214" i="78"/>
  <c r="AH214" i="78" s="1"/>
  <c r="AG221" i="78"/>
  <c r="AH221" i="78" s="1"/>
  <c r="AG231" i="78"/>
  <c r="AG238" i="78"/>
  <c r="AG245" i="78"/>
  <c r="AG114" i="78"/>
  <c r="AE115" i="78"/>
  <c r="AG120" i="78"/>
  <c r="AE121" i="78"/>
  <c r="AG126" i="78"/>
  <c r="AE127" i="78"/>
  <c r="AG132" i="78"/>
  <c r="AE133" i="78"/>
  <c r="AH133" i="78" s="1"/>
  <c r="AG138" i="78"/>
  <c r="AE139" i="78"/>
  <c r="AG144" i="78"/>
  <c r="AE145" i="78"/>
  <c r="AG150" i="78"/>
  <c r="AE151" i="78"/>
  <c r="AF172" i="78"/>
  <c r="AH172" i="78" s="1"/>
  <c r="AG173" i="78"/>
  <c r="AF178" i="78"/>
  <c r="AE186" i="78"/>
  <c r="AH186" i="78" s="1"/>
  <c r="AE196" i="78"/>
  <c r="AH196" i="78" s="1"/>
  <c r="AE203" i="78"/>
  <c r="AE210" i="78"/>
  <c r="AH210" i="78" s="1"/>
  <c r="AE220" i="78"/>
  <c r="AE227" i="78"/>
  <c r="AE234" i="78"/>
  <c r="AE244" i="78"/>
  <c r="AF115" i="78"/>
  <c r="AF121" i="78"/>
  <c r="AH121" i="78" s="1"/>
  <c r="AF127" i="78"/>
  <c r="AF133" i="78"/>
  <c r="AF139" i="78"/>
  <c r="AH139" i="78" s="1"/>
  <c r="AF145" i="78"/>
  <c r="AH145" i="78" s="1"/>
  <c r="AF151" i="78"/>
  <c r="AF171" i="78"/>
  <c r="AG172" i="78"/>
  <c r="AG178" i="78"/>
  <c r="AF186" i="78"/>
  <c r="AF189" i="78"/>
  <c r="AF196" i="78"/>
  <c r="AF203" i="78"/>
  <c r="AF210" i="78"/>
  <c r="AF213" i="78"/>
  <c r="AF220" i="78"/>
  <c r="AF227" i="78"/>
  <c r="AF234" i="78"/>
  <c r="AF237" i="78"/>
  <c r="AF244" i="78"/>
  <c r="AG174" i="78"/>
  <c r="AE175" i="78"/>
  <c r="AG180" i="78"/>
  <c r="AE181" i="78"/>
  <c r="AG186" i="78"/>
  <c r="AE187" i="78"/>
  <c r="AH187" i="78" s="1"/>
  <c r="AG192" i="78"/>
  <c r="AE193" i="78"/>
  <c r="AG198" i="78"/>
  <c r="AE199" i="78"/>
  <c r="AG204" i="78"/>
  <c r="AE205" i="78"/>
  <c r="AG210" i="78"/>
  <c r="AE211" i="78"/>
  <c r="AG216" i="78"/>
  <c r="AE217" i="78"/>
  <c r="AG222" i="78"/>
  <c r="AE223" i="78"/>
  <c r="AG228" i="78"/>
  <c r="AE229" i="78"/>
  <c r="AG234" i="78"/>
  <c r="AE235" i="78"/>
  <c r="AG240" i="78"/>
  <c r="AE241" i="78"/>
  <c r="AG246" i="78"/>
  <c r="AE247" i="78"/>
  <c r="AF187" i="78"/>
  <c r="AF193" i="78"/>
  <c r="AF199" i="78"/>
  <c r="AF205" i="78"/>
  <c r="AF211" i="78"/>
  <c r="AF217" i="78"/>
  <c r="AF223" i="78"/>
  <c r="AH223" i="78" s="1"/>
  <c r="AF229" i="78"/>
  <c r="AH229" i="78" s="1"/>
  <c r="AF235" i="78"/>
  <c r="AH235" i="78" s="1"/>
  <c r="AF241" i="78"/>
  <c r="AF247" i="78"/>
  <c r="AG157" i="78"/>
  <c r="AE158" i="78"/>
  <c r="AG163" i="78"/>
  <c r="AE164" i="78"/>
  <c r="AG169" i="78"/>
  <c r="AE170" i="78"/>
  <c r="AG175" i="78"/>
  <c r="AH175" i="78" s="1"/>
  <c r="AE176" i="78"/>
  <c r="AG181" i="78"/>
  <c r="AE182" i="78"/>
  <c r="AG187" i="78"/>
  <c r="AE188" i="78"/>
  <c r="AG193" i="78"/>
  <c r="AE194" i="78"/>
  <c r="AG199" i="78"/>
  <c r="AE200" i="78"/>
  <c r="AG205" i="78"/>
  <c r="AE206" i="78"/>
  <c r="AG211" i="78"/>
  <c r="AE212" i="78"/>
  <c r="AH212" i="78" s="1"/>
  <c r="AG217" i="78"/>
  <c r="AE218" i="78"/>
  <c r="AG223" i="78"/>
  <c r="AE224" i="78"/>
  <c r="AG229" i="78"/>
  <c r="AE230" i="78"/>
  <c r="AG235" i="78"/>
  <c r="AE236" i="78"/>
  <c r="AG241" i="78"/>
  <c r="AE242" i="78"/>
  <c r="AG247" i="78"/>
  <c r="AH247" i="78" s="1"/>
  <c r="AE248" i="78"/>
  <c r="AF176" i="78"/>
  <c r="AF182" i="78"/>
  <c r="AH182" i="78" s="1"/>
  <c r="AF188" i="78"/>
  <c r="AF194" i="78"/>
  <c r="AF200" i="78"/>
  <c r="AF206" i="78"/>
  <c r="AF212" i="78"/>
  <c r="AF218" i="78"/>
  <c r="AF224" i="78"/>
  <c r="AF230" i="78"/>
  <c r="AF236" i="78"/>
  <c r="AH236" i="78" s="1"/>
  <c r="AF242" i="78"/>
  <c r="AH242" i="78" s="1"/>
  <c r="AF248" i="78"/>
  <c r="AH248" i="78" s="1"/>
  <c r="AG158" i="78"/>
  <c r="AH158" i="78" s="1"/>
  <c r="AE159" i="78"/>
  <c r="AG164" i="78"/>
  <c r="AE165" i="78"/>
  <c r="AG170" i="78"/>
  <c r="AE171" i="78"/>
  <c r="AG176" i="78"/>
  <c r="AE177" i="78"/>
  <c r="AG182" i="78"/>
  <c r="AE183" i="78"/>
  <c r="AG188" i="78"/>
  <c r="AE189" i="78"/>
  <c r="AH189" i="78" s="1"/>
  <c r="AG194" i="78"/>
  <c r="AH194" i="78" s="1"/>
  <c r="AE195" i="78"/>
  <c r="AG200" i="78"/>
  <c r="AE201" i="78"/>
  <c r="AG206" i="78"/>
  <c r="AE207" i="78"/>
  <c r="AG212" i="78"/>
  <c r="AE213" i="78"/>
  <c r="AG218" i="78"/>
  <c r="AE219" i="78"/>
  <c r="AH219" i="78" s="1"/>
  <c r="AG224" i="78"/>
  <c r="AH224" i="78" s="1"/>
  <c r="AE225" i="78"/>
  <c r="AH225" i="78" s="1"/>
  <c r="AG230" i="78"/>
  <c r="AE231" i="78"/>
  <c r="AG236" i="78"/>
  <c r="AE237" i="78"/>
  <c r="AG242" i="78"/>
  <c r="AE243" i="78"/>
  <c r="AG248" i="78"/>
  <c r="AE249" i="78"/>
  <c r="AF303" i="78"/>
  <c r="AH303" i="78" s="1"/>
  <c r="AG411" i="78"/>
  <c r="AE253" i="78"/>
  <c r="AH253" i="78" s="1"/>
  <c r="AE300" i="78"/>
  <c r="AG364" i="78"/>
  <c r="AF251" i="78"/>
  <c r="AF318" i="78"/>
  <c r="AF323" i="78"/>
  <c r="AF336" i="78"/>
  <c r="AG347" i="78"/>
  <c r="AE349" i="78"/>
  <c r="AG375" i="78"/>
  <c r="AG395" i="78"/>
  <c r="AG412" i="78"/>
  <c r="AG437" i="78"/>
  <c r="AE450" i="78"/>
  <c r="AG467" i="78"/>
  <c r="AG484" i="78"/>
  <c r="AF573" i="78"/>
  <c r="AE625" i="78"/>
  <c r="AE783" i="78"/>
  <c r="AG250" i="78"/>
  <c r="AG251" i="78"/>
  <c r="AG252" i="78"/>
  <c r="AG253" i="78"/>
  <c r="AF274" i="78"/>
  <c r="AF292" i="78"/>
  <c r="AH292" i="78" s="1"/>
  <c r="AG300" i="78"/>
  <c r="AG305" i="78"/>
  <c r="AF310" i="78"/>
  <c r="AG318" i="78"/>
  <c r="AG323" i="78"/>
  <c r="AF328" i="78"/>
  <c r="AG336" i="78"/>
  <c r="AF353" i="78"/>
  <c r="AF567" i="78"/>
  <c r="AG573" i="78"/>
  <c r="AG580" i="78"/>
  <c r="AF634" i="78"/>
  <c r="AH634" i="78" s="1"/>
  <c r="AF260" i="78"/>
  <c r="AF454" i="78"/>
  <c r="AH454" i="78" s="1"/>
  <c r="AG258" i="78"/>
  <c r="AE336" i="78"/>
  <c r="AG370" i="78"/>
  <c r="AE573" i="78"/>
  <c r="AF279" i="78"/>
  <c r="AF315" i="78"/>
  <c r="AE378" i="78"/>
  <c r="AF430" i="78"/>
  <c r="AG538" i="78"/>
  <c r="AH538" i="78" s="1"/>
  <c r="AE294" i="78"/>
  <c r="AE307" i="78"/>
  <c r="AE312" i="78"/>
  <c r="AE325" i="78"/>
  <c r="AE330" i="78"/>
  <c r="AF340" i="78"/>
  <c r="AE342" i="78"/>
  <c r="AF359" i="78"/>
  <c r="AG382" i="78"/>
  <c r="AF400" i="78"/>
  <c r="AE413" i="78"/>
  <c r="AG430" i="78"/>
  <c r="AF472" i="78"/>
  <c r="AH472" i="78" s="1"/>
  <c r="AE485" i="78"/>
  <c r="AG530" i="78"/>
  <c r="AH530" i="78" s="1"/>
  <c r="AF259" i="78"/>
  <c r="AG276" i="78"/>
  <c r="AE251" i="78"/>
  <c r="AG257" i="78"/>
  <c r="AF275" i="78"/>
  <c r="AE331" i="78"/>
  <c r="AF384" i="78"/>
  <c r="AG454" i="78"/>
  <c r="AF492" i="78"/>
  <c r="AF300" i="78"/>
  <c r="AF333" i="78"/>
  <c r="AG353" i="78"/>
  <c r="AF273" i="78"/>
  <c r="AE278" i="78"/>
  <c r="AE283" i="78"/>
  <c r="AE288" i="78"/>
  <c r="AF294" i="78"/>
  <c r="AF299" i="78"/>
  <c r="AF312" i="78"/>
  <c r="AF317" i="78"/>
  <c r="AF330" i="78"/>
  <c r="AF335" i="78"/>
  <c r="AF342" i="78"/>
  <c r="AG359" i="78"/>
  <c r="AE361" i="78"/>
  <c r="AE376" i="78"/>
  <c r="AG413" i="78"/>
  <c r="AE426" i="78"/>
  <c r="AG443" i="78"/>
  <c r="AG460" i="78"/>
  <c r="AG485" i="78"/>
  <c r="AE562" i="78"/>
  <c r="AF257" i="78"/>
  <c r="AH257" i="78" s="1"/>
  <c r="AE275" i="78"/>
  <c r="AG281" i="78"/>
  <c r="AE343" i="78"/>
  <c r="AF360" i="78"/>
  <c r="AE384" i="78"/>
  <c r="AF640" i="78"/>
  <c r="AF255" i="78"/>
  <c r="AF252" i="78"/>
  <c r="AG280" i="78"/>
  <c r="AE284" i="78"/>
  <c r="AF297" i="78"/>
  <c r="AH297" i="78" s="1"/>
  <c r="AE400" i="78"/>
  <c r="AE269" i="78"/>
  <c r="AE270" i="78"/>
  <c r="AE271" i="78"/>
  <c r="AE272" i="78"/>
  <c r="AG283" i="78"/>
  <c r="AF288" i="78"/>
  <c r="AG294" i="78"/>
  <c r="AG299" i="78"/>
  <c r="AF304" i="78"/>
  <c r="AG312" i="78"/>
  <c r="AG317" i="78"/>
  <c r="AF322" i="78"/>
  <c r="AH322" i="78" s="1"/>
  <c r="AG330" i="78"/>
  <c r="AH330" i="78" s="1"/>
  <c r="AG335" i="78"/>
  <c r="AG342" i="78"/>
  <c r="AF346" i="78"/>
  <c r="AE348" i="78"/>
  <c r="AG365" i="78"/>
  <c r="AG367" i="78"/>
  <c r="AG376" i="78"/>
  <c r="AE389" i="78"/>
  <c r="AF525" i="78"/>
  <c r="AE597" i="78"/>
  <c r="AG286" i="78"/>
  <c r="AG256" i="78"/>
  <c r="AE318" i="78"/>
  <c r="AG366" i="78"/>
  <c r="AH366" i="78" s="1"/>
  <c r="AF424" i="78"/>
  <c r="AF285" i="78"/>
  <c r="AE289" i="78"/>
  <c r="AF268" i="78"/>
  <c r="AF269" i="78"/>
  <c r="AF270" i="78"/>
  <c r="AF271" i="78"/>
  <c r="AF272" i="78"/>
  <c r="AH272" i="78" s="1"/>
  <c r="AE277" i="78"/>
  <c r="AE282" i="78"/>
  <c r="AE287" i="78"/>
  <c r="AG288" i="78"/>
  <c r="AF291" i="78"/>
  <c r="AF309" i="78"/>
  <c r="AF327" i="78"/>
  <c r="AF348" i="78"/>
  <c r="AG389" i="78"/>
  <c r="AG393" i="78"/>
  <c r="AF406" i="78"/>
  <c r="AG435" i="78"/>
  <c r="AE448" i="78"/>
  <c r="AG465" i="78"/>
  <c r="AH465" i="78" s="1"/>
  <c r="AF478" i="78"/>
  <c r="AH478" i="78" s="1"/>
  <c r="AF507" i="78"/>
  <c r="AF513" i="78"/>
  <c r="AG525" i="78"/>
  <c r="AE549" i="78"/>
  <c r="AF597" i="78"/>
  <c r="AF695" i="78"/>
  <c r="AF256" i="78"/>
  <c r="AF321" i="78"/>
  <c r="AG483" i="78"/>
  <c r="AF250" i="78"/>
  <c r="AH250" i="78" s="1"/>
  <c r="AF305" i="78"/>
  <c r="AE355" i="78"/>
  <c r="AG417" i="78"/>
  <c r="AG459" i="78"/>
  <c r="AE263" i="78"/>
  <c r="AE264" i="78"/>
  <c r="AE265" i="78"/>
  <c r="AE266" i="78"/>
  <c r="AF267" i="78"/>
  <c r="AG268" i="78"/>
  <c r="AG269" i="78"/>
  <c r="AG270" i="78"/>
  <c r="AG271" i="78"/>
  <c r="AG277" i="78"/>
  <c r="AF282" i="78"/>
  <c r="AF287" i="78"/>
  <c r="AE301" i="78"/>
  <c r="AE306" i="78"/>
  <c r="AE319" i="78"/>
  <c r="AE324" i="78"/>
  <c r="AE337" i="78"/>
  <c r="AG348" i="78"/>
  <c r="AF352" i="78"/>
  <c r="AE354" i="78"/>
  <c r="AG406" i="78"/>
  <c r="AH406" i="78" s="1"/>
  <c r="AF448" i="78"/>
  <c r="AE461" i="78"/>
  <c r="AG478" i="78"/>
  <c r="AG513" i="78"/>
  <c r="AF549" i="78"/>
  <c r="AF258" i="78"/>
  <c r="AE424" i="78"/>
  <c r="AE521" i="78"/>
  <c r="AE254" i="78"/>
  <c r="AE295" i="78"/>
  <c r="AF347" i="78"/>
  <c r="AH347" i="78" s="1"/>
  <c r="AG360" i="78"/>
  <c r="AE437" i="78"/>
  <c r="AG586" i="78"/>
  <c r="AF253" i="78"/>
  <c r="AG275" i="78"/>
  <c r="AG274" i="78"/>
  <c r="AG489" i="78"/>
  <c r="AG634" i="78"/>
  <c r="AF262" i="78"/>
  <c r="AF263" i="78"/>
  <c r="AF264" i="78"/>
  <c r="AF265" i="78"/>
  <c r="AF266" i="78"/>
  <c r="AH266" i="78" s="1"/>
  <c r="AE276" i="78"/>
  <c r="AE281" i="78"/>
  <c r="AG282" i="78"/>
  <c r="AG287" i="78"/>
  <c r="AF293" i="78"/>
  <c r="AF306" i="78"/>
  <c r="AF311" i="78"/>
  <c r="AF324" i="78"/>
  <c r="AF329" i="78"/>
  <c r="AF354" i="78"/>
  <c r="AE402" i="78"/>
  <c r="AG419" i="78"/>
  <c r="AG436" i="78"/>
  <c r="AG461" i="78"/>
  <c r="AE474" i="78"/>
  <c r="AG491" i="78"/>
  <c r="AG549" i="78"/>
  <c r="AF591" i="78"/>
  <c r="AG341" i="78"/>
  <c r="AG441" i="78"/>
  <c r="AF504" i="78"/>
  <c r="AE252" i="78"/>
  <c r="AG259" i="78"/>
  <c r="AF280" i="78"/>
  <c r="AE313" i="78"/>
  <c r="AG381" i="78"/>
  <c r="AF254" i="78"/>
  <c r="AE472" i="78"/>
  <c r="AE257" i="78"/>
  <c r="AE258" i="78"/>
  <c r="AE259" i="78"/>
  <c r="AE260" i="78"/>
  <c r="AF261" i="78"/>
  <c r="AH261" i="78" s="1"/>
  <c r="AG262" i="78"/>
  <c r="AG263" i="78"/>
  <c r="AG264" i="78"/>
  <c r="AG265" i="78"/>
  <c r="AF276" i="78"/>
  <c r="AH276" i="78" s="1"/>
  <c r="AF281" i="78"/>
  <c r="AF286" i="78"/>
  <c r="AG293" i="78"/>
  <c r="AF298" i="78"/>
  <c r="AG306" i="78"/>
  <c r="AH306" i="78" s="1"/>
  <c r="AG311" i="78"/>
  <c r="AF316" i="78"/>
  <c r="AG324" i="78"/>
  <c r="AG329" i="78"/>
  <c r="AF334" i="78"/>
  <c r="AH334" i="78" s="1"/>
  <c r="AF341" i="78"/>
  <c r="AH341" i="78" s="1"/>
  <c r="AG354" i="78"/>
  <c r="AF358" i="78"/>
  <c r="AE360" i="78"/>
  <c r="AE374" i="78"/>
  <c r="AG387" i="78"/>
  <c r="AG631" i="78"/>
  <c r="AG292" i="78"/>
  <c r="AE293" i="78"/>
  <c r="AG298" i="78"/>
  <c r="AH298" i="78" s="1"/>
  <c r="AE299" i="78"/>
  <c r="AG304" i="78"/>
  <c r="AE305" i="78"/>
  <c r="AG310" i="78"/>
  <c r="AH310" i="78" s="1"/>
  <c r="AE311" i="78"/>
  <c r="AG316" i="78"/>
  <c r="AE317" i="78"/>
  <c r="AG322" i="78"/>
  <c r="AE323" i="78"/>
  <c r="AG328" i="78"/>
  <c r="AH328" i="78" s="1"/>
  <c r="AE329" i="78"/>
  <c r="AG334" i="78"/>
  <c r="AE335" i="78"/>
  <c r="AG340" i="78"/>
  <c r="AE341" i="78"/>
  <c r="AG346" i="78"/>
  <c r="AE347" i="78"/>
  <c r="AG352" i="78"/>
  <c r="AE353" i="78"/>
  <c r="AG358" i="78"/>
  <c r="AE359" i="78"/>
  <c r="AF376" i="78"/>
  <c r="AH376" i="78" s="1"/>
  <c r="AF379" i="78"/>
  <c r="AE395" i="78"/>
  <c r="AE406" i="78"/>
  <c r="AE408" i="78"/>
  <c r="AE419" i="78"/>
  <c r="AE430" i="78"/>
  <c r="AE432" i="78"/>
  <c r="AE443" i="78"/>
  <c r="AE454" i="78"/>
  <c r="AE456" i="78"/>
  <c r="AE467" i="78"/>
  <c r="AE478" i="78"/>
  <c r="AE480" i="78"/>
  <c r="AE491" i="78"/>
  <c r="AE503" i="78"/>
  <c r="AF516" i="78"/>
  <c r="AE525" i="78"/>
  <c r="AH525" i="78" s="1"/>
  <c r="AF543" i="78"/>
  <c r="AH543" i="78" s="1"/>
  <c r="AG562" i="78"/>
  <c r="AE586" i="78"/>
  <c r="AG604" i="78"/>
  <c r="AE794" i="78"/>
  <c r="AF277" i="78"/>
  <c r="AF283" i="78"/>
  <c r="AH283" i="78" s="1"/>
  <c r="AF289" i="78"/>
  <c r="AF295" i="78"/>
  <c r="AF301" i="78"/>
  <c r="AF307" i="78"/>
  <c r="AF313" i="78"/>
  <c r="AH313" i="78" s="1"/>
  <c r="AF319" i="78"/>
  <c r="AH319" i="78" s="1"/>
  <c r="AF325" i="78"/>
  <c r="AF331" i="78"/>
  <c r="AF337" i="78"/>
  <c r="AF343" i="78"/>
  <c r="AF349" i="78"/>
  <c r="AF355" i="78"/>
  <c r="AF361" i="78"/>
  <c r="AF378" i="78"/>
  <c r="AE383" i="78"/>
  <c r="AG400" i="78"/>
  <c r="AG424" i="78"/>
  <c r="AG448" i="78"/>
  <c r="AG472" i="78"/>
  <c r="AG536" i="78"/>
  <c r="AG554" i="78"/>
  <c r="AG597" i="78"/>
  <c r="AE769" i="78"/>
  <c r="AE778" i="78"/>
  <c r="AG289" i="78"/>
  <c r="AE290" i="78"/>
  <c r="AG295" i="78"/>
  <c r="AE296" i="78"/>
  <c r="AG301" i="78"/>
  <c r="AE302" i="78"/>
  <c r="AG307" i="78"/>
  <c r="AE308" i="78"/>
  <c r="AG313" i="78"/>
  <c r="AE314" i="78"/>
  <c r="AG319" i="78"/>
  <c r="AE320" i="78"/>
  <c r="AG325" i="78"/>
  <c r="AE326" i="78"/>
  <c r="AG331" i="78"/>
  <c r="AE332" i="78"/>
  <c r="AG337" i="78"/>
  <c r="AE338" i="78"/>
  <c r="AG343" i="78"/>
  <c r="AE344" i="78"/>
  <c r="AG349" i="78"/>
  <c r="AE350" i="78"/>
  <c r="AG355" i="78"/>
  <c r="AE356" i="78"/>
  <c r="AG361" i="78"/>
  <c r="AE362" i="78"/>
  <c r="AF373" i="78"/>
  <c r="AG383" i="78"/>
  <c r="AE388" i="78"/>
  <c r="AE394" i="78"/>
  <c r="AE396" i="78"/>
  <c r="AE407" i="78"/>
  <c r="AE418" i="78"/>
  <c r="AE420" i="78"/>
  <c r="AE431" i="78"/>
  <c r="AE442" i="78"/>
  <c r="AE444" i="78"/>
  <c r="AE455" i="78"/>
  <c r="AE466" i="78"/>
  <c r="AE468" i="78"/>
  <c r="AE479" i="78"/>
  <c r="AE490" i="78"/>
  <c r="AE508" i="78"/>
  <c r="AE527" i="78"/>
  <c r="AG560" i="78"/>
  <c r="AG578" i="78"/>
  <c r="AG628" i="78"/>
  <c r="AG769" i="78"/>
  <c r="AF278" i="78"/>
  <c r="AF284" i="78"/>
  <c r="AF290" i="78"/>
  <c r="AF296" i="78"/>
  <c r="AH296" i="78" s="1"/>
  <c r="AF302" i="78"/>
  <c r="AF308" i="78"/>
  <c r="AH308" i="78" s="1"/>
  <c r="AF314" i="78"/>
  <c r="AF320" i="78"/>
  <c r="AF326" i="78"/>
  <c r="AF332" i="78"/>
  <c r="AF338" i="78"/>
  <c r="AF344" i="78"/>
  <c r="AH344" i="78" s="1"/>
  <c r="AF350" i="78"/>
  <c r="AF356" i="78"/>
  <c r="AF362" i="78"/>
  <c r="AE372" i="78"/>
  <c r="AG373" i="78"/>
  <c r="AF388" i="78"/>
  <c r="AH388" i="78" s="1"/>
  <c r="AF394" i="78"/>
  <c r="AG405" i="78"/>
  <c r="AG407" i="78"/>
  <c r="AF418" i="78"/>
  <c r="AG429" i="78"/>
  <c r="AG431" i="78"/>
  <c r="AH431" i="78" s="1"/>
  <c r="AF442" i="78"/>
  <c r="AG453" i="78"/>
  <c r="AG455" i="78"/>
  <c r="AF466" i="78"/>
  <c r="AH466" i="78" s="1"/>
  <c r="AG477" i="78"/>
  <c r="AG479" i="78"/>
  <c r="AF490" i="78"/>
  <c r="AF493" i="78"/>
  <c r="AF499" i="78"/>
  <c r="AF508" i="78"/>
  <c r="AE551" i="78"/>
  <c r="AG584" i="78"/>
  <c r="AG602" i="78"/>
  <c r="AE623" i="78"/>
  <c r="AE635" i="78"/>
  <c r="AF641" i="78"/>
  <c r="AE677" i="78"/>
  <c r="AG254" i="78"/>
  <c r="AE255" i="78"/>
  <c r="AH255" i="78" s="1"/>
  <c r="AG260" i="78"/>
  <c r="AE261" i="78"/>
  <c r="AG266" i="78"/>
  <c r="AE267" i="78"/>
  <c r="AG272" i="78"/>
  <c r="AE273" i="78"/>
  <c r="AG278" i="78"/>
  <c r="AE279" i="78"/>
  <c r="AG284" i="78"/>
  <c r="AE285" i="78"/>
  <c r="AG290" i="78"/>
  <c r="AE291" i="78"/>
  <c r="AG296" i="78"/>
  <c r="AE297" i="78"/>
  <c r="AG302" i="78"/>
  <c r="AE303" i="78"/>
  <c r="AG308" i="78"/>
  <c r="AE309" i="78"/>
  <c r="AG314" i="78"/>
  <c r="AH314" i="78" s="1"/>
  <c r="AE315" i="78"/>
  <c r="AG320" i="78"/>
  <c r="AE321" i="78"/>
  <c r="AG326" i="78"/>
  <c r="AE327" i="78"/>
  <c r="AG332" i="78"/>
  <c r="AE333" i="78"/>
  <c r="AG338" i="78"/>
  <c r="AE339" i="78"/>
  <c r="AG344" i="78"/>
  <c r="AE345" i="78"/>
  <c r="AG350" i="78"/>
  <c r="AH350" i="78" s="1"/>
  <c r="AE351" i="78"/>
  <c r="AG356" i="78"/>
  <c r="AE357" i="78"/>
  <c r="AG362" i="78"/>
  <c r="AE363" i="78"/>
  <c r="AE371" i="78"/>
  <c r="AF372" i="78"/>
  <c r="AE377" i="78"/>
  <c r="AG388" i="78"/>
  <c r="AE390" i="78"/>
  <c r="AG394" i="78"/>
  <c r="AG418" i="78"/>
  <c r="AG442" i="78"/>
  <c r="AG466" i="78"/>
  <c r="AG490" i="78"/>
  <c r="AG493" i="78"/>
  <c r="AF519" i="78"/>
  <c r="AE575" i="78"/>
  <c r="AG677" i="78"/>
  <c r="AF339" i="78"/>
  <c r="AF345" i="78"/>
  <c r="AF351" i="78"/>
  <c r="AF357" i="78"/>
  <c r="AF363" i="78"/>
  <c r="AE364" i="78"/>
  <c r="AE365" i="78"/>
  <c r="AE366" i="78"/>
  <c r="AE367" i="78"/>
  <c r="AE368" i="78"/>
  <c r="AE369" i="78"/>
  <c r="AE370" i="78"/>
  <c r="AF371" i="78"/>
  <c r="AG377" i="78"/>
  <c r="AE382" i="78"/>
  <c r="AF385" i="78"/>
  <c r="AF390" i="78"/>
  <c r="AH390" i="78" s="1"/>
  <c r="AE401" i="78"/>
  <c r="AE412" i="78"/>
  <c r="AE414" i="78"/>
  <c r="AE425" i="78"/>
  <c r="AE436" i="78"/>
  <c r="AE438" i="78"/>
  <c r="AE449" i="78"/>
  <c r="AE460" i="78"/>
  <c r="AE462" i="78"/>
  <c r="AE473" i="78"/>
  <c r="AE484" i="78"/>
  <c r="AE486" i="78"/>
  <c r="AE502" i="78"/>
  <c r="AG519" i="78"/>
  <c r="AG532" i="78"/>
  <c r="AE599" i="78"/>
  <c r="AH599" i="78" s="1"/>
  <c r="AE250" i="78"/>
  <c r="AG255" i="78"/>
  <c r="AE256" i="78"/>
  <c r="AG261" i="78"/>
  <c r="AE262" i="78"/>
  <c r="AG267" i="78"/>
  <c r="AH267" i="78" s="1"/>
  <c r="AE268" i="78"/>
  <c r="AG273" i="78"/>
  <c r="AE274" i="78"/>
  <c r="AG279" i="78"/>
  <c r="AH279" i="78" s="1"/>
  <c r="AE280" i="78"/>
  <c r="AG285" i="78"/>
  <c r="AH285" i="78" s="1"/>
  <c r="AE286" i="78"/>
  <c r="AG291" i="78"/>
  <c r="AE292" i="78"/>
  <c r="AG297" i="78"/>
  <c r="AE298" i="78"/>
  <c r="AG303" i="78"/>
  <c r="AE304" i="78"/>
  <c r="AG309" i="78"/>
  <c r="AE310" i="78"/>
  <c r="AG315" i="78"/>
  <c r="AE316" i="78"/>
  <c r="AG321" i="78"/>
  <c r="AH321" i="78" s="1"/>
  <c r="AE322" i="78"/>
  <c r="AG327" i="78"/>
  <c r="AE328" i="78"/>
  <c r="AG333" i="78"/>
  <c r="AE334" i="78"/>
  <c r="AG339" i="78"/>
  <c r="AE340" i="78"/>
  <c r="AG345" i="78"/>
  <c r="AH345" i="78" s="1"/>
  <c r="AE346" i="78"/>
  <c r="AG351" i="78"/>
  <c r="AH351" i="78" s="1"/>
  <c r="AE352" i="78"/>
  <c r="AG357" i="78"/>
  <c r="AH357" i="78" s="1"/>
  <c r="AE358" i="78"/>
  <c r="AG363" i="78"/>
  <c r="AF364" i="78"/>
  <c r="AF365" i="78"/>
  <c r="AF366" i="78"/>
  <c r="AF367" i="78"/>
  <c r="AG368" i="78"/>
  <c r="AG369" i="78"/>
  <c r="AF370" i="78"/>
  <c r="AH370" i="78" s="1"/>
  <c r="AG371" i="78"/>
  <c r="AF382" i="78"/>
  <c r="AH382" i="78" s="1"/>
  <c r="AG399" i="78"/>
  <c r="AG401" i="78"/>
  <c r="AF412" i="78"/>
  <c r="AG423" i="78"/>
  <c r="AG425" i="78"/>
  <c r="AF436" i="78"/>
  <c r="AG447" i="78"/>
  <c r="AG449" i="78"/>
  <c r="AF460" i="78"/>
  <c r="AG471" i="78"/>
  <c r="AG473" i="78"/>
  <c r="AF484" i="78"/>
  <c r="AH484" i="78" s="1"/>
  <c r="AF509" i="78"/>
  <c r="AE538" i="78"/>
  <c r="AG556" i="78"/>
  <c r="AE631" i="78"/>
  <c r="AF876" i="78"/>
  <c r="AF886" i="78"/>
  <c r="AF377" i="78"/>
  <c r="AH377" i="78" s="1"/>
  <c r="AF383" i="78"/>
  <c r="AF389" i="78"/>
  <c r="AF395" i="78"/>
  <c r="AH395" i="78" s="1"/>
  <c r="AF401" i="78"/>
  <c r="AH401" i="78" s="1"/>
  <c r="AF407" i="78"/>
  <c r="AH407" i="78" s="1"/>
  <c r="AF413" i="78"/>
  <c r="AH413" i="78" s="1"/>
  <c r="AF419" i="78"/>
  <c r="AF425" i="78"/>
  <c r="AF431" i="78"/>
  <c r="AF437" i="78"/>
  <c r="AF443" i="78"/>
  <c r="AH443" i="78" s="1"/>
  <c r="AF449" i="78"/>
  <c r="AH449" i="78" s="1"/>
  <c r="AF455" i="78"/>
  <c r="AF461" i="78"/>
  <c r="AF467" i="78"/>
  <c r="AF473" i="78"/>
  <c r="AH473" i="78" s="1"/>
  <c r="AF479" i="78"/>
  <c r="AF485" i="78"/>
  <c r="AH485" i="78" s="1"/>
  <c r="AF491" i="78"/>
  <c r="AF498" i="78"/>
  <c r="AF503" i="78"/>
  <c r="AE507" i="78"/>
  <c r="AG508" i="78"/>
  <c r="AG512" i="78"/>
  <c r="AE532" i="78"/>
  <c r="AE543" i="78"/>
  <c r="AE545" i="78"/>
  <c r="AE556" i="78"/>
  <c r="AE567" i="78"/>
  <c r="AE569" i="78"/>
  <c r="AE580" i="78"/>
  <c r="AE591" i="78"/>
  <c r="AE593" i="78"/>
  <c r="AE604" i="78"/>
  <c r="AE695" i="78"/>
  <c r="AE886" i="78"/>
  <c r="AF896" i="78"/>
  <c r="AH896" i="78" s="1"/>
  <c r="AF396" i="78"/>
  <c r="AH396" i="78" s="1"/>
  <c r="AF402" i="78"/>
  <c r="AH402" i="78" s="1"/>
  <c r="AF408" i="78"/>
  <c r="AH408" i="78" s="1"/>
  <c r="AF414" i="78"/>
  <c r="AH414" i="78" s="1"/>
  <c r="AF420" i="78"/>
  <c r="AH420" i="78" s="1"/>
  <c r="AF426" i="78"/>
  <c r="AF432" i="78"/>
  <c r="AF438" i="78"/>
  <c r="AF444" i="78"/>
  <c r="AF450" i="78"/>
  <c r="AF456" i="78"/>
  <c r="AF462" i="78"/>
  <c r="AH462" i="78" s="1"/>
  <c r="AF468" i="78"/>
  <c r="AF474" i="78"/>
  <c r="AH474" i="78" s="1"/>
  <c r="AF480" i="78"/>
  <c r="AF486" i="78"/>
  <c r="AE497" i="78"/>
  <c r="AF502" i="78"/>
  <c r="AG507" i="78"/>
  <c r="AE515" i="78"/>
  <c r="AG518" i="78"/>
  <c r="AG543" i="78"/>
  <c r="AG567" i="78"/>
  <c r="AG591" i="78"/>
  <c r="AH591" i="78" s="1"/>
  <c r="AE626" i="78"/>
  <c r="AH626" i="78" s="1"/>
  <c r="AE629" i="78"/>
  <c r="AE632" i="78"/>
  <c r="AF635" i="78"/>
  <c r="AG641" i="78"/>
  <c r="AE648" i="78"/>
  <c r="AG658" i="78"/>
  <c r="AF700" i="78"/>
  <c r="AF763" i="78"/>
  <c r="AE829" i="78"/>
  <c r="AG836" i="78"/>
  <c r="AH836" i="78" s="1"/>
  <c r="AG372" i="78"/>
  <c r="AE373" i="78"/>
  <c r="AG378" i="78"/>
  <c r="AE379" i="78"/>
  <c r="AG384" i="78"/>
  <c r="AE385" i="78"/>
  <c r="AG390" i="78"/>
  <c r="AE391" i="78"/>
  <c r="AG396" i="78"/>
  <c r="AE397" i="78"/>
  <c r="AG402" i="78"/>
  <c r="AE403" i="78"/>
  <c r="AG408" i="78"/>
  <c r="AE409" i="78"/>
  <c r="AG414" i="78"/>
  <c r="AE415" i="78"/>
  <c r="AG420" i="78"/>
  <c r="AE421" i="78"/>
  <c r="AG426" i="78"/>
  <c r="AE427" i="78"/>
  <c r="AG432" i="78"/>
  <c r="AE433" i="78"/>
  <c r="AG438" i="78"/>
  <c r="AE439" i="78"/>
  <c r="AG444" i="78"/>
  <c r="AE445" i="78"/>
  <c r="AG450" i="78"/>
  <c r="AE451" i="78"/>
  <c r="AG456" i="78"/>
  <c r="AE457" i="78"/>
  <c r="AG462" i="78"/>
  <c r="AE463" i="78"/>
  <c r="AG468" i="78"/>
  <c r="AE469" i="78"/>
  <c r="AG474" i="78"/>
  <c r="AE475" i="78"/>
  <c r="AG480" i="78"/>
  <c r="AE481" i="78"/>
  <c r="AG486" i="78"/>
  <c r="AE487" i="78"/>
  <c r="AF497" i="78"/>
  <c r="AE501" i="78"/>
  <c r="AH501" i="78" s="1"/>
  <c r="AG502" i="78"/>
  <c r="AG506" i="78"/>
  <c r="AF511" i="78"/>
  <c r="AF515" i="78"/>
  <c r="AE520" i="78"/>
  <c r="AE526" i="78"/>
  <c r="AE537" i="78"/>
  <c r="AE539" i="78"/>
  <c r="AE550" i="78"/>
  <c r="AE561" i="78"/>
  <c r="AE563" i="78"/>
  <c r="AE574" i="78"/>
  <c r="AH574" i="78" s="1"/>
  <c r="AE585" i="78"/>
  <c r="AE587" i="78"/>
  <c r="AE598" i="78"/>
  <c r="AG629" i="78"/>
  <c r="AG635" i="78"/>
  <c r="AG648" i="78"/>
  <c r="AE655" i="78"/>
  <c r="AE666" i="78"/>
  <c r="AF829" i="78"/>
  <c r="AG846" i="78"/>
  <c r="AG870" i="78"/>
  <c r="AF391" i="78"/>
  <c r="AH391" i="78" s="1"/>
  <c r="AF397" i="78"/>
  <c r="AF403" i="78"/>
  <c r="AF409" i="78"/>
  <c r="AF415" i="78"/>
  <c r="AF421" i="78"/>
  <c r="AF427" i="78"/>
  <c r="AH427" i="78" s="1"/>
  <c r="AF433" i="78"/>
  <c r="AF439" i="78"/>
  <c r="AH439" i="78" s="1"/>
  <c r="AF445" i="78"/>
  <c r="AF451" i="78"/>
  <c r="AF457" i="78"/>
  <c r="AF463" i="78"/>
  <c r="AH463" i="78" s="1"/>
  <c r="AF469" i="78"/>
  <c r="AF475" i="78"/>
  <c r="AF481" i="78"/>
  <c r="AF487" i="78"/>
  <c r="AE496" i="78"/>
  <c r="AF501" i="78"/>
  <c r="AG520" i="78"/>
  <c r="AG524" i="78"/>
  <c r="AG526" i="78"/>
  <c r="AF537" i="78"/>
  <c r="AH537" i="78" s="1"/>
  <c r="AG548" i="78"/>
  <c r="AG550" i="78"/>
  <c r="AF561" i="78"/>
  <c r="AG572" i="78"/>
  <c r="AG574" i="78"/>
  <c r="AF585" i="78"/>
  <c r="AG596" i="78"/>
  <c r="AG598" i="78"/>
  <c r="AE624" i="78"/>
  <c r="AF652" i="78"/>
  <c r="AG659" i="78"/>
  <c r="AE732" i="78"/>
  <c r="AF1020" i="78"/>
  <c r="AH1020" i="78" s="1"/>
  <c r="AG379" i="78"/>
  <c r="AE380" i="78"/>
  <c r="AG385" i="78"/>
  <c r="AE386" i="78"/>
  <c r="AG391" i="78"/>
  <c r="AE392" i="78"/>
  <c r="AG397" i="78"/>
  <c r="AE398" i="78"/>
  <c r="AG403" i="78"/>
  <c r="AE404" i="78"/>
  <c r="AG409" i="78"/>
  <c r="AE410" i="78"/>
  <c r="AH410" i="78" s="1"/>
  <c r="AG415" i="78"/>
  <c r="AE416" i="78"/>
  <c r="AG421" i="78"/>
  <c r="AE422" i="78"/>
  <c r="AG427" i="78"/>
  <c r="AE428" i="78"/>
  <c r="AG433" i="78"/>
  <c r="AE434" i="78"/>
  <c r="AG439" i="78"/>
  <c r="AE440" i="78"/>
  <c r="AG445" i="78"/>
  <c r="AE446" i="78"/>
  <c r="AG451" i="78"/>
  <c r="AE452" i="78"/>
  <c r="AG457" i="78"/>
  <c r="AE458" i="78"/>
  <c r="AG463" i="78"/>
  <c r="AE464" i="78"/>
  <c r="AG469" i="78"/>
  <c r="AE470" i="78"/>
  <c r="AG475" i="78"/>
  <c r="AE476" i="78"/>
  <c r="AG481" i="78"/>
  <c r="AE482" i="78"/>
  <c r="AG487" i="78"/>
  <c r="AH487" i="78" s="1"/>
  <c r="AE488" i="78"/>
  <c r="AF496" i="78"/>
  <c r="AG501" i="78"/>
  <c r="AE514" i="78"/>
  <c r="AF522" i="78"/>
  <c r="AG537" i="78"/>
  <c r="AG561" i="78"/>
  <c r="AG585" i="78"/>
  <c r="AH585" i="78" s="1"/>
  <c r="AG652" i="78"/>
  <c r="AE671" i="78"/>
  <c r="AH671" i="78" s="1"/>
  <c r="AE683" i="78"/>
  <c r="AG910" i="78"/>
  <c r="AF368" i="78"/>
  <c r="AF374" i="78"/>
  <c r="AF380" i="78"/>
  <c r="AF386" i="78"/>
  <c r="AH386" i="78" s="1"/>
  <c r="AF392" i="78"/>
  <c r="AF398" i="78"/>
  <c r="AH398" i="78" s="1"/>
  <c r="AF404" i="78"/>
  <c r="AF410" i="78"/>
  <c r="AF416" i="78"/>
  <c r="AF422" i="78"/>
  <c r="AH422" i="78" s="1"/>
  <c r="AF428" i="78"/>
  <c r="AH428" i="78" s="1"/>
  <c r="AF434" i="78"/>
  <c r="AF440" i="78"/>
  <c r="AF446" i="78"/>
  <c r="AF452" i="78"/>
  <c r="AF458" i="78"/>
  <c r="AF464" i="78"/>
  <c r="AH464" i="78" s="1"/>
  <c r="AF470" i="78"/>
  <c r="AF476" i="78"/>
  <c r="AF482" i="78"/>
  <c r="AF488" i="78"/>
  <c r="AE495" i="78"/>
  <c r="AG496" i="78"/>
  <c r="AG500" i="78"/>
  <c r="AF505" i="78"/>
  <c r="AF510" i="78"/>
  <c r="AG514" i="78"/>
  <c r="AE531" i="78"/>
  <c r="AE533" i="78"/>
  <c r="AE544" i="78"/>
  <c r="AE555" i="78"/>
  <c r="AE557" i="78"/>
  <c r="AE568" i="78"/>
  <c r="AE579" i="78"/>
  <c r="AE581" i="78"/>
  <c r="AE592" i="78"/>
  <c r="AE603" i="78"/>
  <c r="AE605" i="78"/>
  <c r="AE630" i="78"/>
  <c r="AF633" i="78"/>
  <c r="AF636" i="78"/>
  <c r="AF671" i="78"/>
  <c r="AF702" i="78"/>
  <c r="AG798" i="78"/>
  <c r="AG847" i="78"/>
  <c r="AG374" i="78"/>
  <c r="AE375" i="78"/>
  <c r="AG380" i="78"/>
  <c r="AH380" i="78" s="1"/>
  <c r="AE381" i="78"/>
  <c r="AG386" i="78"/>
  <c r="AE387" i="78"/>
  <c r="AG392" i="78"/>
  <c r="AE393" i="78"/>
  <c r="AG398" i="78"/>
  <c r="AE399" i="78"/>
  <c r="AG404" i="78"/>
  <c r="AE405" i="78"/>
  <c r="AG410" i="78"/>
  <c r="AE411" i="78"/>
  <c r="AG416" i="78"/>
  <c r="AE417" i="78"/>
  <c r="AG422" i="78"/>
  <c r="AE423" i="78"/>
  <c r="AG428" i="78"/>
  <c r="AE429" i="78"/>
  <c r="AG434" i="78"/>
  <c r="AE435" i="78"/>
  <c r="AG440" i="78"/>
  <c r="AE441" i="78"/>
  <c r="AG446" i="78"/>
  <c r="AE447" i="78"/>
  <c r="AG452" i="78"/>
  <c r="AH452" i="78" s="1"/>
  <c r="AE453" i="78"/>
  <c r="AG458" i="78"/>
  <c r="AE459" i="78"/>
  <c r="AG464" i="78"/>
  <c r="AE465" i="78"/>
  <c r="AG470" i="78"/>
  <c r="AH470" i="78" s="1"/>
  <c r="AE471" i="78"/>
  <c r="AG476" i="78"/>
  <c r="AE477" i="78"/>
  <c r="AG482" i="78"/>
  <c r="AE483" i="78"/>
  <c r="AG488" i="78"/>
  <c r="AH488" i="78" s="1"/>
  <c r="AE489" i="78"/>
  <c r="AE494" i="78"/>
  <c r="AF495" i="78"/>
  <c r="AF517" i="78"/>
  <c r="AF531" i="78"/>
  <c r="AH531" i="78" s="1"/>
  <c r="AG542" i="78"/>
  <c r="AG544" i="78"/>
  <c r="AF555" i="78"/>
  <c r="AH555" i="78" s="1"/>
  <c r="AG566" i="78"/>
  <c r="AH566" i="78" s="1"/>
  <c r="AG568" i="78"/>
  <c r="AH568" i="78" s="1"/>
  <c r="AF579" i="78"/>
  <c r="AH579" i="78" s="1"/>
  <c r="AG590" i="78"/>
  <c r="AG592" i="78"/>
  <c r="AF603" i="78"/>
  <c r="AF627" i="78"/>
  <c r="AG630" i="78"/>
  <c r="AG636" i="78"/>
  <c r="AG671" i="78"/>
  <c r="AF684" i="78"/>
  <c r="AF688" i="78"/>
  <c r="AE707" i="78"/>
  <c r="AG774" i="78"/>
  <c r="AF808" i="78"/>
  <c r="AH808" i="78" s="1"/>
  <c r="AF856" i="78"/>
  <c r="AH856" i="78" s="1"/>
  <c r="AF369" i="78"/>
  <c r="AF375" i="78"/>
  <c r="AF381" i="78"/>
  <c r="AF387" i="78"/>
  <c r="AH387" i="78" s="1"/>
  <c r="AF393" i="78"/>
  <c r="AF399" i="78"/>
  <c r="AF405" i="78"/>
  <c r="AF411" i="78"/>
  <c r="AF417" i="78"/>
  <c r="AF423" i="78"/>
  <c r="AH423" i="78" s="1"/>
  <c r="AF429" i="78"/>
  <c r="AH429" i="78" s="1"/>
  <c r="AF435" i="78"/>
  <c r="AH435" i="78" s="1"/>
  <c r="AF441" i="78"/>
  <c r="AF447" i="78"/>
  <c r="AF453" i="78"/>
  <c r="AF459" i="78"/>
  <c r="AH459" i="78" s="1"/>
  <c r="AF465" i="78"/>
  <c r="AF471" i="78"/>
  <c r="AF477" i="78"/>
  <c r="AF483" i="78"/>
  <c r="AF489" i="78"/>
  <c r="AH489" i="78" s="1"/>
  <c r="AG494" i="78"/>
  <c r="AG495" i="78"/>
  <c r="AE509" i="78"/>
  <c r="AE513" i="78"/>
  <c r="AE519" i="78"/>
  <c r="AG531" i="78"/>
  <c r="AG555" i="78"/>
  <c r="AG579" i="78"/>
  <c r="AG603" i="78"/>
  <c r="AH603" i="78" s="1"/>
  <c r="AG664" i="78"/>
  <c r="AG688" i="78"/>
  <c r="AF712" i="78"/>
  <c r="AF740" i="78"/>
  <c r="AF514" i="78"/>
  <c r="AF520" i="78"/>
  <c r="AH520" i="78" s="1"/>
  <c r="AF526" i="78"/>
  <c r="AF532" i="78"/>
  <c r="AF538" i="78"/>
  <c r="AF544" i="78"/>
  <c r="AF550" i="78"/>
  <c r="AF556" i="78"/>
  <c r="AF562" i="78"/>
  <c r="AF568" i="78"/>
  <c r="AF574" i="78"/>
  <c r="AF580" i="78"/>
  <c r="AH580" i="78" s="1"/>
  <c r="AF586" i="78"/>
  <c r="AH586" i="78" s="1"/>
  <c r="AF592" i="78"/>
  <c r="AH592" i="78" s="1"/>
  <c r="AF598" i="78"/>
  <c r="AF604" i="78"/>
  <c r="AF628" i="78"/>
  <c r="AF629" i="78"/>
  <c r="AF630" i="78"/>
  <c r="AH630" i="78" s="1"/>
  <c r="AF631" i="78"/>
  <c r="AH631" i="78" s="1"/>
  <c r="AF632" i="78"/>
  <c r="AG640" i="78"/>
  <c r="AF648" i="78"/>
  <c r="AH648" i="78" s="1"/>
  <c r="AF658" i="78"/>
  <c r="AH658" i="78" s="1"/>
  <c r="AF666" i="78"/>
  <c r="AH666" i="78" s="1"/>
  <c r="AF677" i="78"/>
  <c r="AG700" i="78"/>
  <c r="AF707" i="78"/>
  <c r="AF714" i="78"/>
  <c r="AG732" i="78"/>
  <c r="AF741" i="78"/>
  <c r="AF769" i="78"/>
  <c r="AH769" i="78" s="1"/>
  <c r="AE819" i="78"/>
  <c r="AG876" i="78"/>
  <c r="AF521" i="78"/>
  <c r="AF527" i="78"/>
  <c r="AH527" i="78" s="1"/>
  <c r="AF533" i="78"/>
  <c r="AF539" i="78"/>
  <c r="AH539" i="78" s="1"/>
  <c r="AF545" i="78"/>
  <c r="AF551" i="78"/>
  <c r="AF557" i="78"/>
  <c r="AF563" i="78"/>
  <c r="AF569" i="78"/>
  <c r="AF575" i="78"/>
  <c r="AF581" i="78"/>
  <c r="AF587" i="78"/>
  <c r="AF593" i="78"/>
  <c r="AF599" i="78"/>
  <c r="AF605" i="78"/>
  <c r="AH605" i="78" s="1"/>
  <c r="AF622" i="78"/>
  <c r="AF623" i="78"/>
  <c r="AF624" i="78"/>
  <c r="AF625" i="78"/>
  <c r="AH625" i="78" s="1"/>
  <c r="AF626" i="78"/>
  <c r="AF644" i="78"/>
  <c r="AE647" i="78"/>
  <c r="AH647" i="78" s="1"/>
  <c r="AE654" i="78"/>
  <c r="AF668" i="78"/>
  <c r="AF683" i="78"/>
  <c r="AE689" i="78"/>
  <c r="AG712" i="78"/>
  <c r="AE733" i="78"/>
  <c r="AF794" i="78"/>
  <c r="AG799" i="78"/>
  <c r="AE492" i="78"/>
  <c r="AG497" i="78"/>
  <c r="AE498" i="78"/>
  <c r="AG503" i="78"/>
  <c r="AE504" i="78"/>
  <c r="AG509" i="78"/>
  <c r="AE510" i="78"/>
  <c r="AG515" i="78"/>
  <c r="AE516" i="78"/>
  <c r="AG521" i="78"/>
  <c r="AE522" i="78"/>
  <c r="AG527" i="78"/>
  <c r="AE528" i="78"/>
  <c r="AG533" i="78"/>
  <c r="AE534" i="78"/>
  <c r="AG539" i="78"/>
  <c r="AE540" i="78"/>
  <c r="AG545" i="78"/>
  <c r="AE546" i="78"/>
  <c r="AG551" i="78"/>
  <c r="AE552" i="78"/>
  <c r="AH552" i="78" s="1"/>
  <c r="AG557" i="78"/>
  <c r="AE558" i="78"/>
  <c r="AG563" i="78"/>
  <c r="AE564" i="78"/>
  <c r="AG569" i="78"/>
  <c r="AE570" i="78"/>
  <c r="AG575" i="78"/>
  <c r="AH575" i="78" s="1"/>
  <c r="AE576" i="78"/>
  <c r="AG581" i="78"/>
  <c r="AE582" i="78"/>
  <c r="AG587" i="78"/>
  <c r="AE588" i="78"/>
  <c r="AG593" i="78"/>
  <c r="AH593" i="78" s="1"/>
  <c r="AE594" i="78"/>
  <c r="AG599" i="78"/>
  <c r="AE600" i="78"/>
  <c r="AG605" i="78"/>
  <c r="AE606" i="78"/>
  <c r="AE617" i="78"/>
  <c r="AE618" i="78"/>
  <c r="AE619" i="78"/>
  <c r="AE620" i="78"/>
  <c r="AF621" i="78"/>
  <c r="AG622" i="78"/>
  <c r="AG623" i="78"/>
  <c r="AH623" i="78" s="1"/>
  <c r="AG624" i="78"/>
  <c r="AG625" i="78"/>
  <c r="AF647" i="78"/>
  <c r="AF654" i="78"/>
  <c r="AE660" i="78"/>
  <c r="AE665" i="78"/>
  <c r="AF670" i="78"/>
  <c r="AG683" i="78"/>
  <c r="AF689" i="78"/>
  <c r="AF696" i="78"/>
  <c r="AH696" i="78" s="1"/>
  <c r="AE730" i="78"/>
  <c r="AF733" i="78"/>
  <c r="AH733" i="78" s="1"/>
  <c r="AF742" i="78"/>
  <c r="AF765" i="78"/>
  <c r="AF826" i="78"/>
  <c r="AF854" i="78"/>
  <c r="AF528" i="78"/>
  <c r="AF534" i="78"/>
  <c r="AF540" i="78"/>
  <c r="AF546" i="78"/>
  <c r="AF552" i="78"/>
  <c r="AF558" i="78"/>
  <c r="AH558" i="78" s="1"/>
  <c r="AF564" i="78"/>
  <c r="AH564" i="78" s="1"/>
  <c r="AF570" i="78"/>
  <c r="AH570" i="78" s="1"/>
  <c r="AF576" i="78"/>
  <c r="AF582" i="78"/>
  <c r="AF588" i="78"/>
  <c r="AF594" i="78"/>
  <c r="AF600" i="78"/>
  <c r="AF606" i="78"/>
  <c r="AF616" i="78"/>
  <c r="AF617" i="78"/>
  <c r="AF618" i="78"/>
  <c r="AH618" i="78" s="1"/>
  <c r="AF619" i="78"/>
  <c r="AH619" i="78" s="1"/>
  <c r="AF620" i="78"/>
  <c r="AE638" i="78"/>
  <c r="AE643" i="78"/>
  <c r="AG647" i="78"/>
  <c r="AG654" i="78"/>
  <c r="AF660" i="78"/>
  <c r="AF665" i="78"/>
  <c r="AG670" i="78"/>
  <c r="AE672" i="78"/>
  <c r="AF694" i="78"/>
  <c r="AH694" i="78" s="1"/>
  <c r="AE701" i="78"/>
  <c r="AH701" i="78" s="1"/>
  <c r="AF806" i="78"/>
  <c r="AH806" i="78" s="1"/>
  <c r="AE811" i="78"/>
  <c r="AG816" i="78"/>
  <c r="AG854" i="78"/>
  <c r="AE860" i="78"/>
  <c r="AF891" i="78"/>
  <c r="AF1037" i="78"/>
  <c r="AE1080" i="78"/>
  <c r="AG492" i="78"/>
  <c r="AE493" i="78"/>
  <c r="AG498" i="78"/>
  <c r="AE499" i="78"/>
  <c r="AH499" i="78" s="1"/>
  <c r="AG504" i="78"/>
  <c r="AH504" i="78" s="1"/>
  <c r="AE505" i="78"/>
  <c r="AH505" i="78" s="1"/>
  <c r="AG510" i="78"/>
  <c r="AE511" i="78"/>
  <c r="AG516" i="78"/>
  <c r="AE517" i="78"/>
  <c r="AG522" i="78"/>
  <c r="AE523" i="78"/>
  <c r="AG528" i="78"/>
  <c r="AE529" i="78"/>
  <c r="AG534" i="78"/>
  <c r="AE535" i="78"/>
  <c r="AG540" i="78"/>
  <c r="AH540" i="78" s="1"/>
  <c r="AE541" i="78"/>
  <c r="AG546" i="78"/>
  <c r="AE547" i="78"/>
  <c r="AG552" i="78"/>
  <c r="AE553" i="78"/>
  <c r="AG558" i="78"/>
  <c r="AE559" i="78"/>
  <c r="AG564" i="78"/>
  <c r="AE565" i="78"/>
  <c r="AG570" i="78"/>
  <c r="AE571" i="78"/>
  <c r="AG576" i="78"/>
  <c r="AE577" i="78"/>
  <c r="AH577" i="78" s="1"/>
  <c r="AG582" i="78"/>
  <c r="AE583" i="78"/>
  <c r="AG588" i="78"/>
  <c r="AE589" i="78"/>
  <c r="AG594" i="78"/>
  <c r="AE595" i="78"/>
  <c r="AG600" i="78"/>
  <c r="AE601" i="78"/>
  <c r="AG606" i="78"/>
  <c r="AH606" i="78" s="1"/>
  <c r="AE607" i="78"/>
  <c r="AE611" i="78"/>
  <c r="AE612" i="78"/>
  <c r="AH612" i="78" s="1"/>
  <c r="AE613" i="78"/>
  <c r="AH613" i="78" s="1"/>
  <c r="AE614" i="78"/>
  <c r="AF615" i="78"/>
  <c r="AG616" i="78"/>
  <c r="AG617" i="78"/>
  <c r="AG618" i="78"/>
  <c r="AG619" i="78"/>
  <c r="AF638" i="78"/>
  <c r="AG643" i="78"/>
  <c r="AF650" i="78"/>
  <c r="AE653" i="78"/>
  <c r="AG665" i="78"/>
  <c r="AF672" i="78"/>
  <c r="AH672" i="78" s="1"/>
  <c r="AF676" i="78"/>
  <c r="AG694" i="78"/>
  <c r="AF701" i="78"/>
  <c r="AF708" i="78"/>
  <c r="AE739" i="78"/>
  <c r="AE745" i="78"/>
  <c r="AF790" i="78"/>
  <c r="AH790" i="78" s="1"/>
  <c r="AG806" i="78"/>
  <c r="AF860" i="78"/>
  <c r="AE883" i="78"/>
  <c r="AF523" i="78"/>
  <c r="AH523" i="78" s="1"/>
  <c r="AF529" i="78"/>
  <c r="AH529" i="78" s="1"/>
  <c r="AF535" i="78"/>
  <c r="AF541" i="78"/>
  <c r="AF547" i="78"/>
  <c r="AF553" i="78"/>
  <c r="AF559" i="78"/>
  <c r="AH559" i="78" s="1"/>
  <c r="AF565" i="78"/>
  <c r="AH565" i="78" s="1"/>
  <c r="AF571" i="78"/>
  <c r="AF577" i="78"/>
  <c r="AF583" i="78"/>
  <c r="AF589" i="78"/>
  <c r="AH589" i="78" s="1"/>
  <c r="AF595" i="78"/>
  <c r="AH595" i="78" s="1"/>
  <c r="AF601" i="78"/>
  <c r="AH601" i="78" s="1"/>
  <c r="AF607" i="78"/>
  <c r="AF610" i="78"/>
  <c r="AF611" i="78"/>
  <c r="AF612" i="78"/>
  <c r="AF613" i="78"/>
  <c r="AF614" i="78"/>
  <c r="AE637" i="78"/>
  <c r="AE642" i="78"/>
  <c r="AF646" i="78"/>
  <c r="AF653" i="78"/>
  <c r="AF662" i="78"/>
  <c r="AH662" i="78" s="1"/>
  <c r="AG676" i="78"/>
  <c r="AE678" i="78"/>
  <c r="AF706" i="78"/>
  <c r="AE713" i="78"/>
  <c r="AE734" i="78"/>
  <c r="AE873" i="78"/>
  <c r="AE973" i="78"/>
  <c r="AG499" i="78"/>
  <c r="AE500" i="78"/>
  <c r="AG505" i="78"/>
  <c r="AE506" i="78"/>
  <c r="AG511" i="78"/>
  <c r="AE512" i="78"/>
  <c r="AG517" i="78"/>
  <c r="AE518" i="78"/>
  <c r="AG523" i="78"/>
  <c r="AE524" i="78"/>
  <c r="AG529" i="78"/>
  <c r="AE530" i="78"/>
  <c r="AG535" i="78"/>
  <c r="AE536" i="78"/>
  <c r="AG541" i="78"/>
  <c r="AE542" i="78"/>
  <c r="AG547" i="78"/>
  <c r="AE548" i="78"/>
  <c r="AG553" i="78"/>
  <c r="AE554" i="78"/>
  <c r="AG559" i="78"/>
  <c r="AE560" i="78"/>
  <c r="AG565" i="78"/>
  <c r="AE566" i="78"/>
  <c r="AG571" i="78"/>
  <c r="AE572" i="78"/>
  <c r="AG577" i="78"/>
  <c r="AE578" i="78"/>
  <c r="AG583" i="78"/>
  <c r="AE584" i="78"/>
  <c r="AG589" i="78"/>
  <c r="AE590" i="78"/>
  <c r="AG595" i="78"/>
  <c r="AE596" i="78"/>
  <c r="AG601" i="78"/>
  <c r="AE602" i="78"/>
  <c r="AG607" i="78"/>
  <c r="AE608" i="78"/>
  <c r="AF609" i="78"/>
  <c r="AG610" i="78"/>
  <c r="AG611" i="78"/>
  <c r="AG612" i="78"/>
  <c r="AG613" i="78"/>
  <c r="AG637" i="78"/>
  <c r="AF642" i="78"/>
  <c r="AG646" i="78"/>
  <c r="AG653" i="78"/>
  <c r="AE659" i="78"/>
  <c r="AF678" i="78"/>
  <c r="AF682" i="78"/>
  <c r="AG706" i="78"/>
  <c r="AF713" i="78"/>
  <c r="AH713" i="78" s="1"/>
  <c r="AF734" i="78"/>
  <c r="AH734" i="78" s="1"/>
  <c r="AE812" i="78"/>
  <c r="AG901" i="78"/>
  <c r="AG963" i="78"/>
  <c r="AF494" i="78"/>
  <c r="AF500" i="78"/>
  <c r="AF506" i="78"/>
  <c r="AF512" i="78"/>
  <c r="AF518" i="78"/>
  <c r="AH518" i="78" s="1"/>
  <c r="AF524" i="78"/>
  <c r="AF530" i="78"/>
  <c r="AF536" i="78"/>
  <c r="AH536" i="78" s="1"/>
  <c r="AF542" i="78"/>
  <c r="AF548" i="78"/>
  <c r="AH548" i="78" s="1"/>
  <c r="AF554" i="78"/>
  <c r="AH554" i="78" s="1"/>
  <c r="AF560" i="78"/>
  <c r="AF566" i="78"/>
  <c r="AF572" i="78"/>
  <c r="AF578" i="78"/>
  <c r="AF584" i="78"/>
  <c r="AF590" i="78"/>
  <c r="AF596" i="78"/>
  <c r="AH596" i="78" s="1"/>
  <c r="AF602" i="78"/>
  <c r="AF608" i="78"/>
  <c r="AE636" i="78"/>
  <c r="AH636" i="78" s="1"/>
  <c r="AE641" i="78"/>
  <c r="AH641" i="78" s="1"/>
  <c r="AG642" i="78"/>
  <c r="AE649" i="78"/>
  <c r="AF656" i="78"/>
  <c r="AF659" i="78"/>
  <c r="AF664" i="78"/>
  <c r="AG682" i="78"/>
  <c r="AE684" i="78"/>
  <c r="AF690" i="78"/>
  <c r="AH690" i="78" s="1"/>
  <c r="AF731" i="78"/>
  <c r="AG746" i="78"/>
  <c r="AE910" i="78"/>
  <c r="AG689" i="78"/>
  <c r="AE690" i="78"/>
  <c r="AG695" i="78"/>
  <c r="AE696" i="78"/>
  <c r="AG701" i="78"/>
  <c r="AE702" i="78"/>
  <c r="AG707" i="78"/>
  <c r="AE708" i="78"/>
  <c r="AG713" i="78"/>
  <c r="AE714" i="78"/>
  <c r="AF732" i="78"/>
  <c r="AH732" i="78" s="1"/>
  <c r="AG733" i="78"/>
  <c r="AE740" i="78"/>
  <c r="AE763" i="78"/>
  <c r="AE765" i="78"/>
  <c r="AF774" i="78"/>
  <c r="AF778" i="78"/>
  <c r="AE790" i="78"/>
  <c r="AG794" i="78"/>
  <c r="AF799" i="78"/>
  <c r="AH799" i="78" s="1"/>
  <c r="AE801" i="78"/>
  <c r="AG829" i="78"/>
  <c r="AF847" i="78"/>
  <c r="AE849" i="78"/>
  <c r="AG860" i="78"/>
  <c r="AH860" i="78" s="1"/>
  <c r="AF870" i="78"/>
  <c r="AG886" i="78"/>
  <c r="AG891" i="78"/>
  <c r="AE896" i="78"/>
  <c r="AF910" i="78"/>
  <c r="AG660" i="78"/>
  <c r="AE661" i="78"/>
  <c r="AG666" i="78"/>
  <c r="AE667" i="78"/>
  <c r="AG672" i="78"/>
  <c r="AE673" i="78"/>
  <c r="AG678" i="78"/>
  <c r="AH678" i="78" s="1"/>
  <c r="AE679" i="78"/>
  <c r="AG684" i="78"/>
  <c r="AE685" i="78"/>
  <c r="AG690" i="78"/>
  <c r="AE691" i="78"/>
  <c r="AG696" i="78"/>
  <c r="AE697" i="78"/>
  <c r="AG702" i="78"/>
  <c r="AE703" i="78"/>
  <c r="AG708" i="78"/>
  <c r="AE709" i="78"/>
  <c r="AG714" i="78"/>
  <c r="AE715" i="78"/>
  <c r="AE726" i="78"/>
  <c r="AE727" i="78"/>
  <c r="AE728" i="78"/>
  <c r="AF729" i="78"/>
  <c r="AH729" i="78" s="1"/>
  <c r="AF730" i="78"/>
  <c r="AG731" i="78"/>
  <c r="AE738" i="78"/>
  <c r="AH738" i="78" s="1"/>
  <c r="AF739" i="78"/>
  <c r="AH739" i="78" s="1"/>
  <c r="AG745" i="78"/>
  <c r="AG783" i="78"/>
  <c r="AF812" i="78"/>
  <c r="AH812" i="78" s="1"/>
  <c r="AF822" i="78"/>
  <c r="AF840" i="78"/>
  <c r="AE842" i="78"/>
  <c r="AE887" i="78"/>
  <c r="AE892" i="78"/>
  <c r="AE916" i="78"/>
  <c r="AF922" i="78"/>
  <c r="AF637" i="78"/>
  <c r="AF643" i="78"/>
  <c r="AH643" i="78" s="1"/>
  <c r="AF649" i="78"/>
  <c r="AH649" i="78" s="1"/>
  <c r="AF655" i="78"/>
  <c r="AH655" i="78" s="1"/>
  <c r="AF661" i="78"/>
  <c r="AF667" i="78"/>
  <c r="AF673" i="78"/>
  <c r="AF679" i="78"/>
  <c r="AF685" i="78"/>
  <c r="AF691" i="78"/>
  <c r="AF697" i="78"/>
  <c r="AH697" i="78" s="1"/>
  <c r="AF703" i="78"/>
  <c r="AF709" i="78"/>
  <c r="AF715" i="78"/>
  <c r="AH715" i="78" s="1"/>
  <c r="AE724" i="78"/>
  <c r="AF725" i="78"/>
  <c r="AH725" i="78" s="1"/>
  <c r="AF726" i="78"/>
  <c r="AF727" i="78"/>
  <c r="AF728" i="78"/>
  <c r="AG729" i="78"/>
  <c r="AF738" i="78"/>
  <c r="AG739" i="78"/>
  <c r="AE788" i="78"/>
  <c r="AE795" i="78"/>
  <c r="AF802" i="78"/>
  <c r="AG812" i="78"/>
  <c r="AG822" i="78"/>
  <c r="AF830" i="78"/>
  <c r="AF832" i="78"/>
  <c r="AH832" i="78" s="1"/>
  <c r="AG840" i="78"/>
  <c r="AF850" i="78"/>
  <c r="AG871" i="78"/>
  <c r="AE884" i="78"/>
  <c r="AF892" i="78"/>
  <c r="AG916" i="78"/>
  <c r="AG922" i="78"/>
  <c r="AE644" i="78"/>
  <c r="AG649" i="78"/>
  <c r="AE650" i="78"/>
  <c r="AG655" i="78"/>
  <c r="AE656" i="78"/>
  <c r="AG661" i="78"/>
  <c r="AE662" i="78"/>
  <c r="AG667" i="78"/>
  <c r="AE668" i="78"/>
  <c r="AG673" i="78"/>
  <c r="AE674" i="78"/>
  <c r="AG679" i="78"/>
  <c r="AE680" i="78"/>
  <c r="AG685" i="78"/>
  <c r="AE686" i="78"/>
  <c r="AG691" i="78"/>
  <c r="AE692" i="78"/>
  <c r="AH692" i="78" s="1"/>
  <c r="AG697" i="78"/>
  <c r="AE698" i="78"/>
  <c r="AG703" i="78"/>
  <c r="AE704" i="78"/>
  <c r="AG709" i="78"/>
  <c r="AE710" i="78"/>
  <c r="AG715" i="78"/>
  <c r="AE716" i="78"/>
  <c r="AE720" i="78"/>
  <c r="AE721" i="78"/>
  <c r="AE722" i="78"/>
  <c r="AF723" i="78"/>
  <c r="AH723" i="78" s="1"/>
  <c r="AF724" i="78"/>
  <c r="AG725" i="78"/>
  <c r="AG726" i="78"/>
  <c r="AG727" i="78"/>
  <c r="AF737" i="78"/>
  <c r="AG738" i="78"/>
  <c r="AG744" i="78"/>
  <c r="AF768" i="78"/>
  <c r="AH768" i="78" s="1"/>
  <c r="AG770" i="78"/>
  <c r="AF788" i="78"/>
  <c r="AH788" i="78" s="1"/>
  <c r="AG795" i="78"/>
  <c r="AE805" i="78"/>
  <c r="AG830" i="78"/>
  <c r="AE835" i="78"/>
  <c r="AE853" i="78"/>
  <c r="AF884" i="78"/>
  <c r="AF897" i="78"/>
  <c r="AE902" i="78"/>
  <c r="AG933" i="78"/>
  <c r="AF953" i="78"/>
  <c r="AE986" i="78"/>
  <c r="AF674" i="78"/>
  <c r="AH674" i="78" s="1"/>
  <c r="AF680" i="78"/>
  <c r="AF686" i="78"/>
  <c r="AH686" i="78" s="1"/>
  <c r="AF692" i="78"/>
  <c r="AF698" i="78"/>
  <c r="AF704" i="78"/>
  <c r="AF710" i="78"/>
  <c r="AF716" i="78"/>
  <c r="AE718" i="78"/>
  <c r="AF719" i="78"/>
  <c r="AF720" i="78"/>
  <c r="AF721" i="78"/>
  <c r="AF722" i="78"/>
  <c r="AG723" i="78"/>
  <c r="AG737" i="78"/>
  <c r="AH737" i="78" s="1"/>
  <c r="AG768" i="78"/>
  <c r="AE784" i="78"/>
  <c r="AF805" i="78"/>
  <c r="AE843" i="78"/>
  <c r="AF853" i="78"/>
  <c r="AH853" i="78" s="1"/>
  <c r="AE865" i="78"/>
  <c r="AG884" i="78"/>
  <c r="AG953" i="78"/>
  <c r="AG986" i="78"/>
  <c r="AG608" i="78"/>
  <c r="AE609" i="78"/>
  <c r="AG614" i="78"/>
  <c r="AE615" i="78"/>
  <c r="AG620" i="78"/>
  <c r="AE621" i="78"/>
  <c r="AG626" i="78"/>
  <c r="AE627" i="78"/>
  <c r="AG632" i="78"/>
  <c r="AE633" i="78"/>
  <c r="AH633" i="78" s="1"/>
  <c r="AG638" i="78"/>
  <c r="AE639" i="78"/>
  <c r="AG644" i="78"/>
  <c r="AE645" i="78"/>
  <c r="AG650" i="78"/>
  <c r="AE651" i="78"/>
  <c r="AG656" i="78"/>
  <c r="AE657" i="78"/>
  <c r="AG662" i="78"/>
  <c r="AE663" i="78"/>
  <c r="AG668" i="78"/>
  <c r="AE669" i="78"/>
  <c r="AG674" i="78"/>
  <c r="AE675" i="78"/>
  <c r="AG680" i="78"/>
  <c r="AE681" i="78"/>
  <c r="AH681" i="78" s="1"/>
  <c r="AG686" i="78"/>
  <c r="AE687" i="78"/>
  <c r="AG692" i="78"/>
  <c r="AE693" i="78"/>
  <c r="AG698" i="78"/>
  <c r="AE699" i="78"/>
  <c r="AG704" i="78"/>
  <c r="AE705" i="78"/>
  <c r="AG710" i="78"/>
  <c r="AE711" i="78"/>
  <c r="AG716" i="78"/>
  <c r="AF717" i="78"/>
  <c r="AF718" i="78"/>
  <c r="AH718" i="78" s="1"/>
  <c r="AG719" i="78"/>
  <c r="AG720" i="78"/>
  <c r="AG721" i="78"/>
  <c r="AF736" i="78"/>
  <c r="AE764" i="78"/>
  <c r="AE766" i="78"/>
  <c r="AG775" i="78"/>
  <c r="AF784" i="78"/>
  <c r="AH784" i="78" s="1"/>
  <c r="AE793" i="78"/>
  <c r="AG805" i="78"/>
  <c r="AF823" i="78"/>
  <c r="AH823" i="78" s="1"/>
  <c r="AE825" i="78"/>
  <c r="AG853" i="78"/>
  <c r="AF865" i="78"/>
  <c r="AE878" i="78"/>
  <c r="AE929" i="78"/>
  <c r="AE948" i="78"/>
  <c r="AF639" i="78"/>
  <c r="AH639" i="78" s="1"/>
  <c r="AF645" i="78"/>
  <c r="AF651" i="78"/>
  <c r="AF657" i="78"/>
  <c r="AH657" i="78" s="1"/>
  <c r="AF663" i="78"/>
  <c r="AH663" i="78" s="1"/>
  <c r="AF669" i="78"/>
  <c r="AH669" i="78" s="1"/>
  <c r="AF675" i="78"/>
  <c r="AH675" i="78" s="1"/>
  <c r="AF681" i="78"/>
  <c r="AF687" i="78"/>
  <c r="AF693" i="78"/>
  <c r="AF699" i="78"/>
  <c r="AF705" i="78"/>
  <c r="AF711" i="78"/>
  <c r="AG717" i="78"/>
  <c r="AF743" i="78"/>
  <c r="AH743" i="78" s="1"/>
  <c r="AF762" i="78"/>
  <c r="AF764" i="78"/>
  <c r="AH764" i="78" s="1"/>
  <c r="AF766" i="78"/>
  <c r="AH766" i="78" s="1"/>
  <c r="AE789" i="78"/>
  <c r="AF793" i="78"/>
  <c r="AG823" i="78"/>
  <c r="AE836" i="78"/>
  <c r="AG865" i="78"/>
  <c r="AF878" i="78"/>
  <c r="AG929" i="78"/>
  <c r="AF948" i="78"/>
  <c r="AG978" i="78"/>
  <c r="AG609" i="78"/>
  <c r="AE610" i="78"/>
  <c r="AH610" i="78" s="1"/>
  <c r="AG615" i="78"/>
  <c r="AH615" i="78" s="1"/>
  <c r="AE616" i="78"/>
  <c r="AG621" i="78"/>
  <c r="AE622" i="78"/>
  <c r="AG627" i="78"/>
  <c r="AE628" i="78"/>
  <c r="AG633" i="78"/>
  <c r="AE634" i="78"/>
  <c r="AG639" i="78"/>
  <c r="AE640" i="78"/>
  <c r="AG645" i="78"/>
  <c r="AE646" i="78"/>
  <c r="AG651" i="78"/>
  <c r="AE652" i="78"/>
  <c r="AG657" i="78"/>
  <c r="AE658" i="78"/>
  <c r="AG663" i="78"/>
  <c r="AE664" i="78"/>
  <c r="AG669" i="78"/>
  <c r="AE670" i="78"/>
  <c r="AG675" i="78"/>
  <c r="AE676" i="78"/>
  <c r="AG681" i="78"/>
  <c r="AE682" i="78"/>
  <c r="AG687" i="78"/>
  <c r="AE688" i="78"/>
  <c r="AG693" i="78"/>
  <c r="AE694" i="78"/>
  <c r="AG699" i="78"/>
  <c r="AE700" i="78"/>
  <c r="AG705" i="78"/>
  <c r="AE706" i="78"/>
  <c r="AG711" i="78"/>
  <c r="AE712" i="78"/>
  <c r="AF735" i="78"/>
  <c r="AH735" i="78" s="1"/>
  <c r="AG747" i="78"/>
  <c r="AG780" i="78"/>
  <c r="AG789" i="78"/>
  <c r="AF798" i="78"/>
  <c r="AF816" i="78"/>
  <c r="AE818" i="78"/>
  <c r="AF836" i="78"/>
  <c r="AF846" i="78"/>
  <c r="AE859" i="78"/>
  <c r="AE936" i="78"/>
  <c r="AG1007" i="78"/>
  <c r="AF859" i="78"/>
  <c r="AH859" i="78" s="1"/>
  <c r="AE867" i="78"/>
  <c r="AG878" i="78"/>
  <c r="AF883" i="78"/>
  <c r="AH883" i="78" s="1"/>
  <c r="AF887" i="78"/>
  <c r="AE982" i="78"/>
  <c r="AE757" i="78"/>
  <c r="AE758" i="78"/>
  <c r="AE759" i="78"/>
  <c r="AE760" i="78"/>
  <c r="AF761" i="78"/>
  <c r="AG762" i="78"/>
  <c r="AG763" i="78"/>
  <c r="AG764" i="78"/>
  <c r="AG765" i="78"/>
  <c r="AE772" i="78"/>
  <c r="AE777" i="78"/>
  <c r="AE782" i="78"/>
  <c r="AE787" i="78"/>
  <c r="AG788" i="78"/>
  <c r="AG793" i="78"/>
  <c r="AF804" i="78"/>
  <c r="AF811" i="78"/>
  <c r="AF818" i="78"/>
  <c r="AH818" i="78" s="1"/>
  <c r="AF828" i="78"/>
  <c r="AF835" i="78"/>
  <c r="AH835" i="78" s="1"/>
  <c r="AF842" i="78"/>
  <c r="AH842" i="78" s="1"/>
  <c r="AF852" i="78"/>
  <c r="AH852" i="78" s="1"/>
  <c r="AG859" i="78"/>
  <c r="AF864" i="78"/>
  <c r="AE872" i="78"/>
  <c r="AG883" i="78"/>
  <c r="AG917" i="78"/>
  <c r="AG927" i="78"/>
  <c r="AE950" i="78"/>
  <c r="AF982" i="78"/>
  <c r="AH982" i="78" s="1"/>
  <c r="AF1002" i="78"/>
  <c r="AF1153" i="78"/>
  <c r="AE717" i="78"/>
  <c r="AG722" i="78"/>
  <c r="AE723" i="78"/>
  <c r="AG728" i="78"/>
  <c r="AE729" i="78"/>
  <c r="AG734" i="78"/>
  <c r="AE735" i="78"/>
  <c r="AG740" i="78"/>
  <c r="AE741" i="78"/>
  <c r="AF756" i="78"/>
  <c r="AF757" i="78"/>
  <c r="AH757" i="78" s="1"/>
  <c r="AF758" i="78"/>
  <c r="AH758" i="78" s="1"/>
  <c r="AF759" i="78"/>
  <c r="AH759" i="78" s="1"/>
  <c r="AF760" i="78"/>
  <c r="AH760" i="78" s="1"/>
  <c r="AF772" i="78"/>
  <c r="AG777" i="78"/>
  <c r="AF782" i="78"/>
  <c r="AF787" i="78"/>
  <c r="AF792" i="78"/>
  <c r="AG804" i="78"/>
  <c r="AG811" i="78"/>
  <c r="AG818" i="78"/>
  <c r="AG828" i="78"/>
  <c r="AG835" i="78"/>
  <c r="AG842" i="78"/>
  <c r="AG852" i="78"/>
  <c r="AG864" i="78"/>
  <c r="AF872" i="78"/>
  <c r="AE877" i="78"/>
  <c r="AF903" i="78"/>
  <c r="AG934" i="78"/>
  <c r="AG982" i="78"/>
  <c r="AE990" i="78"/>
  <c r="AG1033" i="78"/>
  <c r="AE751" i="78"/>
  <c r="AE752" i="78"/>
  <c r="AH752" i="78" s="1"/>
  <c r="AE753" i="78"/>
  <c r="AE754" i="78"/>
  <c r="AF755" i="78"/>
  <c r="AG756" i="78"/>
  <c r="AG757" i="78"/>
  <c r="AG758" i="78"/>
  <c r="AG759" i="78"/>
  <c r="AE771" i="78"/>
  <c r="AE776" i="78"/>
  <c r="AE781" i="78"/>
  <c r="AG782" i="78"/>
  <c r="AG787" i="78"/>
  <c r="AG792" i="78"/>
  <c r="AE800" i="78"/>
  <c r="AE807" i="78"/>
  <c r="AF814" i="78"/>
  <c r="AE817" i="78"/>
  <c r="AE824" i="78"/>
  <c r="AE831" i="78"/>
  <c r="AF838" i="78"/>
  <c r="AE841" i="78"/>
  <c r="AE848" i="78"/>
  <c r="AE855" i="78"/>
  <c r="AE861" i="78"/>
  <c r="AG872" i="78"/>
  <c r="AH872" i="78" s="1"/>
  <c r="AF877" i="78"/>
  <c r="AF885" i="78"/>
  <c r="AF893" i="78"/>
  <c r="AF898" i="78"/>
  <c r="AG903" i="78"/>
  <c r="AF990" i="78"/>
  <c r="AE1017" i="78"/>
  <c r="AG735" i="78"/>
  <c r="AE736" i="78"/>
  <c r="AG741" i="78"/>
  <c r="AE742" i="78"/>
  <c r="AF750" i="78"/>
  <c r="AH750" i="78" s="1"/>
  <c r="AF751" i="78"/>
  <c r="AH751" i="78" s="1"/>
  <c r="AF752" i="78"/>
  <c r="AF753" i="78"/>
  <c r="AF754" i="78"/>
  <c r="AG771" i="78"/>
  <c r="AF776" i="78"/>
  <c r="AF781" i="78"/>
  <c r="AF786" i="78"/>
  <c r="AF800" i="78"/>
  <c r="AF810" i="78"/>
  <c r="AH810" i="78" s="1"/>
  <c r="AF817" i="78"/>
  <c r="AH817" i="78" s="1"/>
  <c r="AF824" i="78"/>
  <c r="AH824" i="78" s="1"/>
  <c r="AF834" i="78"/>
  <c r="AH834" i="78" s="1"/>
  <c r="AF841" i="78"/>
  <c r="AF848" i="78"/>
  <c r="AF858" i="78"/>
  <c r="AE866" i="78"/>
  <c r="AG877" i="78"/>
  <c r="AF882" i="78"/>
  <c r="AH882" i="78" s="1"/>
  <c r="AG893" i="78"/>
  <c r="AG898" i="78"/>
  <c r="AG921" i="78"/>
  <c r="AF947" i="78"/>
  <c r="AF1003" i="78"/>
  <c r="AE1104" i="78"/>
  <c r="AE746" i="78"/>
  <c r="AE747" i="78"/>
  <c r="AE748" i="78"/>
  <c r="AF749" i="78"/>
  <c r="AG750" i="78"/>
  <c r="AG751" i="78"/>
  <c r="AG752" i="78"/>
  <c r="AG753" i="78"/>
  <c r="AE770" i="78"/>
  <c r="AE775" i="78"/>
  <c r="AG776" i="78"/>
  <c r="AG781" i="78"/>
  <c r="AG786" i="78"/>
  <c r="AE796" i="78"/>
  <c r="AG800" i="78"/>
  <c r="AG810" i="78"/>
  <c r="AG817" i="78"/>
  <c r="AG824" i="78"/>
  <c r="AG834" i="78"/>
  <c r="AG841" i="78"/>
  <c r="AG848" i="78"/>
  <c r="AG858" i="78"/>
  <c r="AF866" i="78"/>
  <c r="AE871" i="78"/>
  <c r="AG882" i="78"/>
  <c r="AF909" i="78"/>
  <c r="AE978" i="78"/>
  <c r="AE998" i="78"/>
  <c r="AG1003" i="78"/>
  <c r="AE1043" i="78"/>
  <c r="AG718" i="78"/>
  <c r="AE719" i="78"/>
  <c r="AG724" i="78"/>
  <c r="AE725" i="78"/>
  <c r="AG730" i="78"/>
  <c r="AE731" i="78"/>
  <c r="AG736" i="78"/>
  <c r="AE737" i="78"/>
  <c r="AG742" i="78"/>
  <c r="AE743" i="78"/>
  <c r="AF744" i="78"/>
  <c r="AF745" i="78"/>
  <c r="AF746" i="78"/>
  <c r="AF747" i="78"/>
  <c r="AF748" i="78"/>
  <c r="AH748" i="78" s="1"/>
  <c r="AF770" i="78"/>
  <c r="AH770" i="78" s="1"/>
  <c r="AF775" i="78"/>
  <c r="AH775" i="78" s="1"/>
  <c r="AF780" i="78"/>
  <c r="AH780" i="78" s="1"/>
  <c r="AF796" i="78"/>
  <c r="AE799" i="78"/>
  <c r="AE806" i="78"/>
  <c r="AE813" i="78"/>
  <c r="AF820" i="78"/>
  <c r="AE823" i="78"/>
  <c r="AE830" i="78"/>
  <c r="AE837" i="78"/>
  <c r="AF844" i="78"/>
  <c r="AE847" i="78"/>
  <c r="AE854" i="78"/>
  <c r="AH854" i="78" s="1"/>
  <c r="AG866" i="78"/>
  <c r="AF871" i="78"/>
  <c r="AE879" i="78"/>
  <c r="AG909" i="78"/>
  <c r="AE935" i="78"/>
  <c r="AF952" i="78"/>
  <c r="AF978" i="78"/>
  <c r="AF1043" i="78"/>
  <c r="AG887" i="78"/>
  <c r="AG892" i="78"/>
  <c r="AG897" i="78"/>
  <c r="AF902" i="78"/>
  <c r="AH902" i="78" s="1"/>
  <c r="AE906" i="78"/>
  <c r="AF916" i="78"/>
  <c r="AE924" i="78"/>
  <c r="AF929" i="78"/>
  <c r="AF950" i="78"/>
  <c r="AE958" i="78"/>
  <c r="AF963" i="78"/>
  <c r="AE972" i="78"/>
  <c r="AF1033" i="78"/>
  <c r="AF1068" i="78"/>
  <c r="AG1080" i="78"/>
  <c r="AE1187" i="78"/>
  <c r="AE1279" i="78"/>
  <c r="AH1279" i="78" s="1"/>
  <c r="AF771" i="78"/>
  <c r="AF777" i="78"/>
  <c r="AH777" i="78" s="1"/>
  <c r="AF783" i="78"/>
  <c r="AF789" i="78"/>
  <c r="AF795" i="78"/>
  <c r="AF801" i="78"/>
  <c r="AF807" i="78"/>
  <c r="AF813" i="78"/>
  <c r="AH813" i="78" s="1"/>
  <c r="AF819" i="78"/>
  <c r="AH819" i="78" s="1"/>
  <c r="AF825" i="78"/>
  <c r="AF831" i="78"/>
  <c r="AH831" i="78" s="1"/>
  <c r="AF837" i="78"/>
  <c r="AH837" i="78" s="1"/>
  <c r="AF843" i="78"/>
  <c r="AF849" i="78"/>
  <c r="AF855" i="78"/>
  <c r="AF861" i="78"/>
  <c r="AF867" i="78"/>
  <c r="AF873" i="78"/>
  <c r="AF879" i="78"/>
  <c r="AG885" i="78"/>
  <c r="AE890" i="78"/>
  <c r="AE905" i="78"/>
  <c r="AE912" i="78"/>
  <c r="AH912" i="78" s="1"/>
  <c r="AE918" i="78"/>
  <c r="AF926" i="78"/>
  <c r="AF935" i="78"/>
  <c r="AE964" i="78"/>
  <c r="AF973" i="78"/>
  <c r="AE980" i="78"/>
  <c r="AE984" i="78"/>
  <c r="AE988" i="78"/>
  <c r="AG1023" i="78"/>
  <c r="AE1040" i="78"/>
  <c r="AG801" i="78"/>
  <c r="AE802" i="78"/>
  <c r="AG807" i="78"/>
  <c r="AE808" i="78"/>
  <c r="AG813" i="78"/>
  <c r="AE814" i="78"/>
  <c r="AG819" i="78"/>
  <c r="AE820" i="78"/>
  <c r="AG825" i="78"/>
  <c r="AE826" i="78"/>
  <c r="AG831" i="78"/>
  <c r="AE832" i="78"/>
  <c r="AG837" i="78"/>
  <c r="AE838" i="78"/>
  <c r="AG843" i="78"/>
  <c r="AE844" i="78"/>
  <c r="AG849" i="78"/>
  <c r="AE850" i="78"/>
  <c r="AG855" i="78"/>
  <c r="AE856" i="78"/>
  <c r="AG861" i="78"/>
  <c r="AE862" i="78"/>
  <c r="AG867" i="78"/>
  <c r="AE868" i="78"/>
  <c r="AG873" i="78"/>
  <c r="AE874" i="78"/>
  <c r="AG879" i="78"/>
  <c r="AE880" i="78"/>
  <c r="AF890" i="78"/>
  <c r="AG895" i="78"/>
  <c r="AE900" i="78"/>
  <c r="AF905" i="78"/>
  <c r="AG915" i="78"/>
  <c r="AE923" i="78"/>
  <c r="AH923" i="78" s="1"/>
  <c r="AE928" i="78"/>
  <c r="AH928" i="78" s="1"/>
  <c r="AG935" i="78"/>
  <c r="AE946" i="78"/>
  <c r="AF951" i="78"/>
  <c r="AF959" i="78"/>
  <c r="AE967" i="78"/>
  <c r="AG973" i="78"/>
  <c r="AG980" i="78"/>
  <c r="AF984" i="78"/>
  <c r="AF988" i="78"/>
  <c r="AF1029" i="78"/>
  <c r="AH1029" i="78" s="1"/>
  <c r="AF1064" i="78"/>
  <c r="AF1069" i="78"/>
  <c r="AF862" i="78"/>
  <c r="AF868" i="78"/>
  <c r="AH868" i="78" s="1"/>
  <c r="AF874" i="78"/>
  <c r="AH874" i="78" s="1"/>
  <c r="AF880" i="78"/>
  <c r="AH880" i="78" s="1"/>
  <c r="AG905" i="78"/>
  <c r="AF908" i="78"/>
  <c r="AF923" i="78"/>
  <c r="AF928" i="78"/>
  <c r="AG951" i="78"/>
  <c r="AF954" i="78"/>
  <c r="AG959" i="78"/>
  <c r="AF967" i="78"/>
  <c r="AG984" i="78"/>
  <c r="AG988" i="78"/>
  <c r="AE1041" i="78"/>
  <c r="AG1115" i="78"/>
  <c r="AG1226" i="78"/>
  <c r="AG748" i="78"/>
  <c r="AE749" i="78"/>
  <c r="AG754" i="78"/>
  <c r="AE755" i="78"/>
  <c r="AG760" i="78"/>
  <c r="AE761" i="78"/>
  <c r="AG766" i="78"/>
  <c r="AE767" i="78"/>
  <c r="AG772" i="78"/>
  <c r="AE773" i="78"/>
  <c r="AG778" i="78"/>
  <c r="AE779" i="78"/>
  <c r="AG784" i="78"/>
  <c r="AE785" i="78"/>
  <c r="AG790" i="78"/>
  <c r="AE791" i="78"/>
  <c r="AG796" i="78"/>
  <c r="AE797" i="78"/>
  <c r="AG802" i="78"/>
  <c r="AE803" i="78"/>
  <c r="AG808" i="78"/>
  <c r="AE809" i="78"/>
  <c r="AG814" i="78"/>
  <c r="AE815" i="78"/>
  <c r="AG820" i="78"/>
  <c r="AE821" i="78"/>
  <c r="AG826" i="78"/>
  <c r="AE827" i="78"/>
  <c r="AG832" i="78"/>
  <c r="AE833" i="78"/>
  <c r="AG838" i="78"/>
  <c r="AE839" i="78"/>
  <c r="AG844" i="78"/>
  <c r="AE845" i="78"/>
  <c r="AG850" i="78"/>
  <c r="AE851" i="78"/>
  <c r="AG856" i="78"/>
  <c r="AE857" i="78"/>
  <c r="AG862" i="78"/>
  <c r="AE863" i="78"/>
  <c r="AG868" i="78"/>
  <c r="AE869" i="78"/>
  <c r="AG874" i="78"/>
  <c r="AE875" i="78"/>
  <c r="AG880" i="78"/>
  <c r="AE881" i="78"/>
  <c r="AG889" i="78"/>
  <c r="AE894" i="78"/>
  <c r="AE899" i="78"/>
  <c r="AE904" i="78"/>
  <c r="AE911" i="78"/>
  <c r="AF920" i="78"/>
  <c r="AG923" i="78"/>
  <c r="AG928" i="78"/>
  <c r="AE930" i="78"/>
  <c r="AE949" i="78"/>
  <c r="AG954" i="78"/>
  <c r="AG967" i="78"/>
  <c r="AH967" i="78" s="1"/>
  <c r="AF1041" i="78"/>
  <c r="AH1041" i="78" s="1"/>
  <c r="AF767" i="78"/>
  <c r="AF773" i="78"/>
  <c r="AF779" i="78"/>
  <c r="AF785" i="78"/>
  <c r="AF791" i="78"/>
  <c r="AF797" i="78"/>
  <c r="AF803" i="78"/>
  <c r="AF809" i="78"/>
  <c r="AF815" i="78"/>
  <c r="AF821" i="78"/>
  <c r="AH821" i="78" s="1"/>
  <c r="AF827" i="78"/>
  <c r="AH827" i="78" s="1"/>
  <c r="AF833" i="78"/>
  <c r="AH833" i="78" s="1"/>
  <c r="AF839" i="78"/>
  <c r="AF845" i="78"/>
  <c r="AF851" i="78"/>
  <c r="AH851" i="78" s="1"/>
  <c r="AF857" i="78"/>
  <c r="AF863" i="78"/>
  <c r="AF869" i="78"/>
  <c r="AF875" i="78"/>
  <c r="AF881" i="78"/>
  <c r="AF899" i="78"/>
  <c r="AH899" i="78" s="1"/>
  <c r="AF904" i="78"/>
  <c r="AH904" i="78" s="1"/>
  <c r="AF911" i="78"/>
  <c r="AH911" i="78" s="1"/>
  <c r="AE917" i="78"/>
  <c r="AE934" i="78"/>
  <c r="AF949" i="78"/>
  <c r="AE1010" i="78"/>
  <c r="AG743" i="78"/>
  <c r="AE744" i="78"/>
  <c r="AG749" i="78"/>
  <c r="AE750" i="78"/>
  <c r="AG755" i="78"/>
  <c r="AE756" i="78"/>
  <c r="AG761" i="78"/>
  <c r="AH761" i="78" s="1"/>
  <c r="AE762" i="78"/>
  <c r="AG767" i="78"/>
  <c r="AE768" i="78"/>
  <c r="AG773" i="78"/>
  <c r="AE774" i="78"/>
  <c r="AG779" i="78"/>
  <c r="AE780" i="78"/>
  <c r="AG785" i="78"/>
  <c r="AH785" i="78" s="1"/>
  <c r="AE786" i="78"/>
  <c r="AG791" i="78"/>
  <c r="AE792" i="78"/>
  <c r="AG797" i="78"/>
  <c r="AE798" i="78"/>
  <c r="AG803" i="78"/>
  <c r="AE804" i="78"/>
  <c r="AG809" i="78"/>
  <c r="AE810" i="78"/>
  <c r="AG815" i="78"/>
  <c r="AE816" i="78"/>
  <c r="AG821" i="78"/>
  <c r="AE822" i="78"/>
  <c r="AG827" i="78"/>
  <c r="AE828" i="78"/>
  <c r="AH828" i="78" s="1"/>
  <c r="AG833" i="78"/>
  <c r="AE834" i="78"/>
  <c r="AG839" i="78"/>
  <c r="AE840" i="78"/>
  <c r="AH840" i="78" s="1"/>
  <c r="AG845" i="78"/>
  <c r="AE846" i="78"/>
  <c r="AG851" i="78"/>
  <c r="AE852" i="78"/>
  <c r="AG857" i="78"/>
  <c r="AE858" i="78"/>
  <c r="AG863" i="78"/>
  <c r="AE864" i="78"/>
  <c r="AH864" i="78" s="1"/>
  <c r="AG869" i="78"/>
  <c r="AE870" i="78"/>
  <c r="AG875" i="78"/>
  <c r="AE876" i="78"/>
  <c r="AG881" i="78"/>
  <c r="AE882" i="78"/>
  <c r="AE888" i="78"/>
  <c r="AE893" i="78"/>
  <c r="AE898" i="78"/>
  <c r="AG899" i="78"/>
  <c r="AG904" i="78"/>
  <c r="AG911" i="78"/>
  <c r="AF914" i="78"/>
  <c r="AF917" i="78"/>
  <c r="AE922" i="78"/>
  <c r="AF934" i="78"/>
  <c r="AE952" i="78"/>
  <c r="AE1037" i="78"/>
  <c r="AE1053" i="78"/>
  <c r="AG1072" i="78"/>
  <c r="AF888" i="78"/>
  <c r="AF894" i="78"/>
  <c r="AF900" i="78"/>
  <c r="AH900" i="78" s="1"/>
  <c r="AF906" i="78"/>
  <c r="AF912" i="78"/>
  <c r="AF918" i="78"/>
  <c r="AF924" i="78"/>
  <c r="AF930" i="78"/>
  <c r="AF936" i="78"/>
  <c r="AE942" i="78"/>
  <c r="AE943" i="78"/>
  <c r="AE944" i="78"/>
  <c r="AF945" i="78"/>
  <c r="AF946" i="78"/>
  <c r="AG947" i="78"/>
  <c r="AG948" i="78"/>
  <c r="AG949" i="78"/>
  <c r="AH949" i="78" s="1"/>
  <c r="AF957" i="78"/>
  <c r="AE962" i="78"/>
  <c r="AE966" i="78"/>
  <c r="AF972" i="78"/>
  <c r="AF1027" i="78"/>
  <c r="AG1041" i="78"/>
  <c r="AE1073" i="78"/>
  <c r="AF1077" i="78"/>
  <c r="AF1090" i="78"/>
  <c r="AF1104" i="78"/>
  <c r="AF1110" i="78"/>
  <c r="AH1110" i="78" s="1"/>
  <c r="AG888" i="78"/>
  <c r="AE889" i="78"/>
  <c r="AG894" i="78"/>
  <c r="AE895" i="78"/>
  <c r="AG900" i="78"/>
  <c r="AE901" i="78"/>
  <c r="AG906" i="78"/>
  <c r="AE907" i="78"/>
  <c r="AG912" i="78"/>
  <c r="AE913" i="78"/>
  <c r="AG918" i="78"/>
  <c r="AE919" i="78"/>
  <c r="AG924" i="78"/>
  <c r="AE925" i="78"/>
  <c r="AG930" i="78"/>
  <c r="AE931" i="78"/>
  <c r="AG936" i="78"/>
  <c r="AE937" i="78"/>
  <c r="AE940" i="78"/>
  <c r="AF941" i="78"/>
  <c r="AF942" i="78"/>
  <c r="AH942" i="78" s="1"/>
  <c r="AF943" i="78"/>
  <c r="AH943" i="78" s="1"/>
  <c r="AF944" i="78"/>
  <c r="AH944" i="78" s="1"/>
  <c r="AG945" i="78"/>
  <c r="AG957" i="78"/>
  <c r="AF966" i="78"/>
  <c r="AH966" i="78" s="1"/>
  <c r="AG972" i="78"/>
  <c r="AF977" i="78"/>
  <c r="AG1011" i="78"/>
  <c r="AE1013" i="78"/>
  <c r="AE1031" i="78"/>
  <c r="AE1035" i="78"/>
  <c r="AF1073" i="78"/>
  <c r="AH1073" i="78" s="1"/>
  <c r="AG1077" i="78"/>
  <c r="AG1110" i="78"/>
  <c r="AG1122" i="78"/>
  <c r="AG1156" i="78"/>
  <c r="AF1222" i="78"/>
  <c r="AH1222" i="78" s="1"/>
  <c r="AF889" i="78"/>
  <c r="AH889" i="78" s="1"/>
  <c r="AF895" i="78"/>
  <c r="AF901" i="78"/>
  <c r="AF907" i="78"/>
  <c r="AF913" i="78"/>
  <c r="AF919" i="78"/>
  <c r="AF925" i="78"/>
  <c r="AF931" i="78"/>
  <c r="AH931" i="78" s="1"/>
  <c r="AF937" i="78"/>
  <c r="AH937" i="78" s="1"/>
  <c r="AE938" i="78"/>
  <c r="AF939" i="78"/>
  <c r="AF940" i="78"/>
  <c r="AG941" i="78"/>
  <c r="AG942" i="78"/>
  <c r="AG943" i="78"/>
  <c r="AE956" i="78"/>
  <c r="AE961" i="78"/>
  <c r="AG966" i="78"/>
  <c r="AG977" i="78"/>
  <c r="AH977" i="78" s="1"/>
  <c r="AE979" i="78"/>
  <c r="AE981" i="78"/>
  <c r="AE983" i="78"/>
  <c r="AE985" i="78"/>
  <c r="AE987" i="78"/>
  <c r="AE989" i="78"/>
  <c r="AF991" i="78"/>
  <c r="AE1006" i="78"/>
  <c r="AF1031" i="78"/>
  <c r="AF1035" i="78"/>
  <c r="AF1059" i="78"/>
  <c r="AG907" i="78"/>
  <c r="AE908" i="78"/>
  <c r="AG913" i="78"/>
  <c r="AH913" i="78" s="1"/>
  <c r="AE914" i="78"/>
  <c r="AG919" i="78"/>
  <c r="AE920" i="78"/>
  <c r="AG925" i="78"/>
  <c r="AH925" i="78" s="1"/>
  <c r="AE926" i="78"/>
  <c r="AG931" i="78"/>
  <c r="AE932" i="78"/>
  <c r="AG937" i="78"/>
  <c r="AF938" i="78"/>
  <c r="AG939" i="78"/>
  <c r="AF961" i="78"/>
  <c r="AE974" i="78"/>
  <c r="AF979" i="78"/>
  <c r="AH979" i="78" s="1"/>
  <c r="AG981" i="78"/>
  <c r="AF983" i="78"/>
  <c r="AF985" i="78"/>
  <c r="AG987" i="78"/>
  <c r="AF989" i="78"/>
  <c r="AG991" i="78"/>
  <c r="AF1006" i="78"/>
  <c r="AG1035" i="78"/>
  <c r="AG1039" i="78"/>
  <c r="AF1055" i="78"/>
  <c r="AG1059" i="78"/>
  <c r="AG1165" i="78"/>
  <c r="AF1193" i="78"/>
  <c r="AF932" i="78"/>
  <c r="AH932" i="78" s="1"/>
  <c r="AE955" i="78"/>
  <c r="AE960" i="78"/>
  <c r="AG961" i="78"/>
  <c r="AF965" i="78"/>
  <c r="AF971" i="78"/>
  <c r="AG979" i="78"/>
  <c r="AG983" i="78"/>
  <c r="AG985" i="78"/>
  <c r="AG989" i="78"/>
  <c r="AF997" i="78"/>
  <c r="AE1014" i="78"/>
  <c r="AH1014" i="78" s="1"/>
  <c r="AG1045" i="78"/>
  <c r="AE1052" i="78"/>
  <c r="AH1052" i="78" s="1"/>
  <c r="AG1100" i="78"/>
  <c r="AE885" i="78"/>
  <c r="AG890" i="78"/>
  <c r="AE891" i="78"/>
  <c r="AG896" i="78"/>
  <c r="AE897" i="78"/>
  <c r="AG902" i="78"/>
  <c r="AE903" i="78"/>
  <c r="AG908" i="78"/>
  <c r="AE909" i="78"/>
  <c r="AH909" i="78" s="1"/>
  <c r="AG914" i="78"/>
  <c r="AE915" i="78"/>
  <c r="AG920" i="78"/>
  <c r="AE921" i="78"/>
  <c r="AG926" i="78"/>
  <c r="AE927" i="78"/>
  <c r="AG932" i="78"/>
  <c r="AE933" i="78"/>
  <c r="AF955" i="78"/>
  <c r="AF960" i="78"/>
  <c r="AG965" i="78"/>
  <c r="AG971" i="78"/>
  <c r="AG997" i="78"/>
  <c r="AE1007" i="78"/>
  <c r="AF1014" i="78"/>
  <c r="AF1052" i="78"/>
  <c r="AF1151" i="78"/>
  <c r="AF915" i="78"/>
  <c r="AF921" i="78"/>
  <c r="AF927" i="78"/>
  <c r="AH927" i="78" s="1"/>
  <c r="AF933" i="78"/>
  <c r="AH933" i="78" s="1"/>
  <c r="AE954" i="78"/>
  <c r="AG955" i="78"/>
  <c r="AG960" i="78"/>
  <c r="AE968" i="78"/>
  <c r="AE1002" i="78"/>
  <c r="AF1007" i="78"/>
  <c r="AE1029" i="78"/>
  <c r="AG1052" i="78"/>
  <c r="AE1064" i="78"/>
  <c r="AE1083" i="78"/>
  <c r="AF1096" i="78"/>
  <c r="AG1130" i="78"/>
  <c r="AE1226" i="78"/>
  <c r="AF956" i="78"/>
  <c r="AF962" i="78"/>
  <c r="AH962" i="78" s="1"/>
  <c r="AF968" i="78"/>
  <c r="AH968" i="78" s="1"/>
  <c r="AF974" i="78"/>
  <c r="AH974" i="78" s="1"/>
  <c r="AE996" i="78"/>
  <c r="AE1001" i="78"/>
  <c r="AG1006" i="78"/>
  <c r="AF1013" i="78"/>
  <c r="AG1022" i="78"/>
  <c r="AE1034" i="78"/>
  <c r="AH1034" i="78" s="1"/>
  <c r="AE1036" i="78"/>
  <c r="AF1038" i="78"/>
  <c r="AH1038" i="78" s="1"/>
  <c r="AF1040" i="78"/>
  <c r="AH1040" i="78" s="1"/>
  <c r="AG1047" i="78"/>
  <c r="AH1047" i="78" s="1"/>
  <c r="AF1053" i="78"/>
  <c r="AH1053" i="78" s="1"/>
  <c r="AG1069" i="78"/>
  <c r="AF1081" i="78"/>
  <c r="AG1083" i="78"/>
  <c r="AG1222" i="78"/>
  <c r="AG938" i="78"/>
  <c r="AE939" i="78"/>
  <c r="AG944" i="78"/>
  <c r="AE945" i="78"/>
  <c r="AG950" i="78"/>
  <c r="AE951" i="78"/>
  <c r="AG956" i="78"/>
  <c r="AE957" i="78"/>
  <c r="AG962" i="78"/>
  <c r="AE963" i="78"/>
  <c r="AG968" i="78"/>
  <c r="AE969" i="78"/>
  <c r="AG974" i="78"/>
  <c r="AE975" i="78"/>
  <c r="AE995" i="78"/>
  <c r="AF996" i="78"/>
  <c r="AF1001" i="78"/>
  <c r="AG1009" i="78"/>
  <c r="AG1013" i="78"/>
  <c r="AE1016" i="78"/>
  <c r="AH1016" i="78" s="1"/>
  <c r="AE1019" i="78"/>
  <c r="AF1034" i="78"/>
  <c r="AF1036" i="78"/>
  <c r="AG1040" i="78"/>
  <c r="AE1042" i="78"/>
  <c r="AG1053" i="78"/>
  <c r="AE1086" i="78"/>
  <c r="AF1094" i="78"/>
  <c r="AF1120" i="78"/>
  <c r="AF1148" i="78"/>
  <c r="AF1154" i="78"/>
  <c r="AH1154" i="78" s="1"/>
  <c r="AF1172" i="78"/>
  <c r="AH1172" i="78" s="1"/>
  <c r="AG1246" i="78"/>
  <c r="AF969" i="78"/>
  <c r="AF975" i="78"/>
  <c r="AE994" i="78"/>
  <c r="AF995" i="78"/>
  <c r="AE1000" i="78"/>
  <c r="AG1001" i="78"/>
  <c r="AG1005" i="78"/>
  <c r="AE1012" i="78"/>
  <c r="AG1024" i="78"/>
  <c r="AE1028" i="78"/>
  <c r="AE1030" i="78"/>
  <c r="AF1032" i="78"/>
  <c r="AH1032" i="78" s="1"/>
  <c r="AG1034" i="78"/>
  <c r="AG1036" i="78"/>
  <c r="AF1042" i="78"/>
  <c r="AH1042" i="78" s="1"/>
  <c r="AF1051" i="78"/>
  <c r="AE1058" i="78"/>
  <c r="AF1074" i="78"/>
  <c r="AF1084" i="78"/>
  <c r="AH1084" i="78" s="1"/>
  <c r="AF1086" i="78"/>
  <c r="AH1086" i="78" s="1"/>
  <c r="AF1089" i="78"/>
  <c r="AH1089" i="78" s="1"/>
  <c r="AF1117" i="78"/>
  <c r="AH1117" i="78" s="1"/>
  <c r="AG1120" i="78"/>
  <c r="AE1160" i="78"/>
  <c r="AF1223" i="78"/>
  <c r="AG969" i="78"/>
  <c r="AE970" i="78"/>
  <c r="AG975" i="78"/>
  <c r="AE976" i="78"/>
  <c r="AE993" i="78"/>
  <c r="AF994" i="78"/>
  <c r="AH994" i="78" s="1"/>
  <c r="AG995" i="78"/>
  <c r="AF1000" i="78"/>
  <c r="AH1000" i="78" s="1"/>
  <c r="AF1012" i="78"/>
  <c r="AH1012" i="78" s="1"/>
  <c r="AF1028" i="78"/>
  <c r="AH1028" i="78" s="1"/>
  <c r="AF1030" i="78"/>
  <c r="AH1030" i="78" s="1"/>
  <c r="AG1042" i="78"/>
  <c r="AF1044" i="78"/>
  <c r="AF1058" i="78"/>
  <c r="AE1067" i="78"/>
  <c r="AG1084" i="78"/>
  <c r="AG1089" i="78"/>
  <c r="AG1095" i="78"/>
  <c r="AF1098" i="78"/>
  <c r="AH1098" i="78" s="1"/>
  <c r="AG1129" i="78"/>
  <c r="AF958" i="78"/>
  <c r="AF964" i="78"/>
  <c r="AH964" i="78" s="1"/>
  <c r="AF970" i="78"/>
  <c r="AF976" i="78"/>
  <c r="AE992" i="78"/>
  <c r="AG993" i="78"/>
  <c r="AG994" i="78"/>
  <c r="AG1000" i="78"/>
  <c r="AE1008" i="78"/>
  <c r="AG1012" i="78"/>
  <c r="AE1054" i="78"/>
  <c r="AF1063" i="78"/>
  <c r="AH1063" i="78" s="1"/>
  <c r="AE1087" i="78"/>
  <c r="AE1092" i="78"/>
  <c r="AH1092" i="78" s="1"/>
  <c r="AE1102" i="78"/>
  <c r="AG940" i="78"/>
  <c r="AE941" i="78"/>
  <c r="AG946" i="78"/>
  <c r="AE947" i="78"/>
  <c r="AG952" i="78"/>
  <c r="AE953" i="78"/>
  <c r="AG958" i="78"/>
  <c r="AE959" i="78"/>
  <c r="AG964" i="78"/>
  <c r="AE965" i="78"/>
  <c r="AH965" i="78" s="1"/>
  <c r="AG970" i="78"/>
  <c r="AE971" i="78"/>
  <c r="AG976" i="78"/>
  <c r="AE977" i="78"/>
  <c r="AG992" i="78"/>
  <c r="AG999" i="78"/>
  <c r="AE1004" i="78"/>
  <c r="AF1008" i="78"/>
  <c r="AG1015" i="78"/>
  <c r="AE1018" i="78"/>
  <c r="AG1021" i="78"/>
  <c r="AF1039" i="78"/>
  <c r="AG1046" i="78"/>
  <c r="AG1054" i="78"/>
  <c r="AG1063" i="78"/>
  <c r="AE1072" i="78"/>
  <c r="AF1092" i="78"/>
  <c r="AG1102" i="78"/>
  <c r="AF1122" i="78"/>
  <c r="AF1168" i="78"/>
  <c r="AG1154" i="78"/>
  <c r="AF1165" i="78"/>
  <c r="AF1187" i="78"/>
  <c r="AG1193" i="78"/>
  <c r="AE1274" i="78"/>
  <c r="AG990" i="78"/>
  <c r="AE991" i="78"/>
  <c r="AG996" i="78"/>
  <c r="AE997" i="78"/>
  <c r="AG1002" i="78"/>
  <c r="AE1003" i="78"/>
  <c r="AG1008" i="78"/>
  <c r="AH1008" i="78" s="1"/>
  <c r="AE1009" i="78"/>
  <c r="AG1014" i="78"/>
  <c r="AE1015" i="78"/>
  <c r="AE1022" i="78"/>
  <c r="AE1023" i="78"/>
  <c r="AE1024" i="78"/>
  <c r="AE1025" i="78"/>
  <c r="AF1026" i="78"/>
  <c r="AG1027" i="78"/>
  <c r="AG1028" i="78"/>
  <c r="AG1029" i="78"/>
  <c r="AG1030" i="78"/>
  <c r="AG1051" i="78"/>
  <c r="AF1057" i="78"/>
  <c r="AF1062" i="78"/>
  <c r="AF1067" i="78"/>
  <c r="AH1067" i="78" s="1"/>
  <c r="AE1076" i="78"/>
  <c r="AH1076" i="78" s="1"/>
  <c r="AG1094" i="78"/>
  <c r="AG1096" i="78"/>
  <c r="AG1098" i="78"/>
  <c r="AE1111" i="78"/>
  <c r="AE1145" i="78"/>
  <c r="AG1212" i="78"/>
  <c r="AF1009" i="78"/>
  <c r="AF1015" i="78"/>
  <c r="AF1021" i="78"/>
  <c r="AF1022" i="78"/>
  <c r="AF1023" i="78"/>
  <c r="AF1024" i="78"/>
  <c r="AF1025" i="78"/>
  <c r="AH1025" i="78" s="1"/>
  <c r="AF1050" i="78"/>
  <c r="AG1057" i="78"/>
  <c r="AE1066" i="78"/>
  <c r="AF1071" i="78"/>
  <c r="AF1076" i="78"/>
  <c r="AE1091" i="78"/>
  <c r="AF1111" i="78"/>
  <c r="AE1116" i="78"/>
  <c r="AF1123" i="78"/>
  <c r="AF1125" i="78"/>
  <c r="AH1125" i="78" s="1"/>
  <c r="AE1136" i="78"/>
  <c r="AE1142" i="78"/>
  <c r="AG1219" i="78"/>
  <c r="AF1229" i="78"/>
  <c r="AE1049" i="78"/>
  <c r="AE1061" i="78"/>
  <c r="AG1066" i="78"/>
  <c r="AG1071" i="78"/>
  <c r="AF1079" i="78"/>
  <c r="AF1082" i="78"/>
  <c r="AE1085" i="78"/>
  <c r="AG1088" i="78"/>
  <c r="AH1088" i="78" s="1"/>
  <c r="AG1091" i="78"/>
  <c r="AF1116" i="78"/>
  <c r="AH1116" i="78" s="1"/>
  <c r="AE1121" i="78"/>
  <c r="AG1125" i="78"/>
  <c r="AE1139" i="78"/>
  <c r="AG1142" i="78"/>
  <c r="AF1170" i="78"/>
  <c r="AF1213" i="78"/>
  <c r="AF980" i="78"/>
  <c r="AH980" i="78" s="1"/>
  <c r="AF986" i="78"/>
  <c r="AF992" i="78"/>
  <c r="AH992" i="78" s="1"/>
  <c r="AF998" i="78"/>
  <c r="AH998" i="78" s="1"/>
  <c r="AF1004" i="78"/>
  <c r="AH1004" i="78" s="1"/>
  <c r="AF1010" i="78"/>
  <c r="AH1010" i="78" s="1"/>
  <c r="AF1016" i="78"/>
  <c r="AF1017" i="78"/>
  <c r="AF1018" i="78"/>
  <c r="AF1019" i="78"/>
  <c r="AE1048" i="78"/>
  <c r="AF1049" i="78"/>
  <c r="AF1056" i="78"/>
  <c r="AF1061" i="78"/>
  <c r="AE1070" i="78"/>
  <c r="AF1075" i="78"/>
  <c r="AF1085" i="78"/>
  <c r="AH1085" i="78" s="1"/>
  <c r="AE1105" i="78"/>
  <c r="AF1107" i="78"/>
  <c r="AE1109" i="78"/>
  <c r="AG1121" i="78"/>
  <c r="AF1163" i="78"/>
  <c r="AG998" i="78"/>
  <c r="AE999" i="78"/>
  <c r="AG1004" i="78"/>
  <c r="AE1005" i="78"/>
  <c r="AG1010" i="78"/>
  <c r="AE1011" i="78"/>
  <c r="AG1016" i="78"/>
  <c r="AG1017" i="78"/>
  <c r="AG1018" i="78"/>
  <c r="AE1046" i="78"/>
  <c r="AE1047" i="78"/>
  <c r="AG1048" i="78"/>
  <c r="AE1060" i="78"/>
  <c r="AF1065" i="78"/>
  <c r="AF1070" i="78"/>
  <c r="AH1070" i="78" s="1"/>
  <c r="AG1075" i="78"/>
  <c r="AG1085" i="78"/>
  <c r="AE1093" i="78"/>
  <c r="AH1093" i="78" s="1"/>
  <c r="AE1101" i="78"/>
  <c r="AE1103" i="78"/>
  <c r="AF1105" i="78"/>
  <c r="AE1114" i="78"/>
  <c r="AE1126" i="78"/>
  <c r="AE1137" i="78"/>
  <c r="AF1167" i="78"/>
  <c r="AF1270" i="78"/>
  <c r="AF981" i="78"/>
  <c r="AF987" i="78"/>
  <c r="AF993" i="78"/>
  <c r="AH993" i="78" s="1"/>
  <c r="AF999" i="78"/>
  <c r="AF1005" i="78"/>
  <c r="AH1005" i="78" s="1"/>
  <c r="AF1011" i="78"/>
  <c r="AH1011" i="78" s="1"/>
  <c r="AF1045" i="78"/>
  <c r="AF1046" i="78"/>
  <c r="AF1047" i="78"/>
  <c r="AE1055" i="78"/>
  <c r="AG1060" i="78"/>
  <c r="AG1065" i="78"/>
  <c r="AE1078" i="78"/>
  <c r="AE1090" i="78"/>
  <c r="AF1093" i="78"/>
  <c r="AF1095" i="78"/>
  <c r="AH1095" i="78" s="1"/>
  <c r="AG1097" i="78"/>
  <c r="AF1099" i="78"/>
  <c r="AH1099" i="78" s="1"/>
  <c r="AG1101" i="78"/>
  <c r="AF1126" i="78"/>
  <c r="AF1140" i="78"/>
  <c r="AG1143" i="78"/>
  <c r="AG1058" i="78"/>
  <c r="AH1058" i="78" s="1"/>
  <c r="AE1059" i="78"/>
  <c r="AG1064" i="78"/>
  <c r="AE1065" i="78"/>
  <c r="AG1070" i="78"/>
  <c r="AE1071" i="78"/>
  <c r="AG1076" i="78"/>
  <c r="AE1077" i="78"/>
  <c r="AG1086" i="78"/>
  <c r="AF1087" i="78"/>
  <c r="AF1088" i="78"/>
  <c r="AE1089" i="78"/>
  <c r="AE1095" i="78"/>
  <c r="AE1096" i="78"/>
  <c r="AE1097" i="78"/>
  <c r="AE1098" i="78"/>
  <c r="AE1099" i="78"/>
  <c r="AF1100" i="78"/>
  <c r="AF1101" i="78"/>
  <c r="AH1101" i="78" s="1"/>
  <c r="AF1102" i="78"/>
  <c r="AH1102" i="78" s="1"/>
  <c r="AG1103" i="78"/>
  <c r="AG1104" i="78"/>
  <c r="AE1110" i="78"/>
  <c r="AE1115" i="78"/>
  <c r="AG1116" i="78"/>
  <c r="AE1120" i="78"/>
  <c r="AG1126" i="78"/>
  <c r="AF1142" i="78"/>
  <c r="AF1145" i="78"/>
  <c r="AG1148" i="78"/>
  <c r="AF1174" i="78"/>
  <c r="AE1182" i="78"/>
  <c r="AE1223" i="78"/>
  <c r="AG1258" i="78"/>
  <c r="AG1266" i="78"/>
  <c r="AF1048" i="78"/>
  <c r="AF1054" i="78"/>
  <c r="AF1060" i="78"/>
  <c r="AH1060" i="78" s="1"/>
  <c r="AF1066" i="78"/>
  <c r="AH1066" i="78" s="1"/>
  <c r="AF1072" i="78"/>
  <c r="AH1072" i="78" s="1"/>
  <c r="AF1078" i="78"/>
  <c r="AH1078" i="78" s="1"/>
  <c r="AG1090" i="78"/>
  <c r="AG1092" i="78"/>
  <c r="AG1109" i="78"/>
  <c r="AH1109" i="78" s="1"/>
  <c r="AF1114" i="78"/>
  <c r="AF1119" i="78"/>
  <c r="AE1144" i="78"/>
  <c r="AF1147" i="78"/>
  <c r="AF1150" i="78"/>
  <c r="AF1160" i="78"/>
  <c r="AG1168" i="78"/>
  <c r="AF1180" i="78"/>
  <c r="AH1180" i="78" s="1"/>
  <c r="AF1188" i="78"/>
  <c r="AE1194" i="78"/>
  <c r="AG1213" i="78"/>
  <c r="AF1251" i="78"/>
  <c r="AH1251" i="78" s="1"/>
  <c r="AG1280" i="78"/>
  <c r="AG1078" i="78"/>
  <c r="AE1079" i="78"/>
  <c r="AE1108" i="78"/>
  <c r="AG1114" i="78"/>
  <c r="AG1119" i="78"/>
  <c r="AF1128" i="78"/>
  <c r="AG1132" i="78"/>
  <c r="AF1141" i="78"/>
  <c r="AF1144" i="78"/>
  <c r="AH1144" i="78" s="1"/>
  <c r="AG1147" i="78"/>
  <c r="AG1150" i="78"/>
  <c r="AE1155" i="78"/>
  <c r="AG1160" i="78"/>
  <c r="AF1162" i="78"/>
  <c r="AE1175" i="78"/>
  <c r="AG1180" i="78"/>
  <c r="AF1194" i="78"/>
  <c r="AE1224" i="78"/>
  <c r="AE1248" i="78"/>
  <c r="AF1108" i="78"/>
  <c r="AH1108" i="78" s="1"/>
  <c r="AF1113" i="78"/>
  <c r="AE1138" i="78"/>
  <c r="AG1141" i="78"/>
  <c r="AG1144" i="78"/>
  <c r="AF1155" i="78"/>
  <c r="AF1175" i="78"/>
  <c r="AH1175" i="78" s="1"/>
  <c r="AF1210" i="78"/>
  <c r="AF1224" i="78"/>
  <c r="AE1244" i="78"/>
  <c r="AG1248" i="78"/>
  <c r="AF1285" i="78"/>
  <c r="AH1285" i="78" s="1"/>
  <c r="AG1019" i="78"/>
  <c r="AE1020" i="78"/>
  <c r="AG1025" i="78"/>
  <c r="AE1026" i="78"/>
  <c r="AH1026" i="78" s="1"/>
  <c r="AG1031" i="78"/>
  <c r="AE1032" i="78"/>
  <c r="AG1037" i="78"/>
  <c r="AE1038" i="78"/>
  <c r="AG1043" i="78"/>
  <c r="AE1044" i="78"/>
  <c r="AG1049" i="78"/>
  <c r="AE1050" i="78"/>
  <c r="AG1055" i="78"/>
  <c r="AE1056" i="78"/>
  <c r="AG1061" i="78"/>
  <c r="AE1062" i="78"/>
  <c r="AG1067" i="78"/>
  <c r="AE1068" i="78"/>
  <c r="AG1073" i="78"/>
  <c r="AE1074" i="78"/>
  <c r="AG1079" i="78"/>
  <c r="AF1080" i="78"/>
  <c r="AE1081" i="78"/>
  <c r="AE1107" i="78"/>
  <c r="AG1108" i="78"/>
  <c r="AG1113" i="78"/>
  <c r="AE1123" i="78"/>
  <c r="AG1155" i="78"/>
  <c r="AG1175" i="78"/>
  <c r="AF1178" i="78"/>
  <c r="AF1189" i="78"/>
  <c r="AF1192" i="78"/>
  <c r="AE1221" i="78"/>
  <c r="AG1285" i="78"/>
  <c r="AE1127" i="78"/>
  <c r="AG1131" i="78"/>
  <c r="AE1143" i="78"/>
  <c r="AF1146" i="78"/>
  <c r="AH1146" i="78" s="1"/>
  <c r="AF1149" i="78"/>
  <c r="AG1189" i="78"/>
  <c r="AG1192" i="78"/>
  <c r="AF1195" i="78"/>
  <c r="AG1020" i="78"/>
  <c r="AE1021" i="78"/>
  <c r="AG1026" i="78"/>
  <c r="AE1027" i="78"/>
  <c r="AG1032" i="78"/>
  <c r="AE1033" i="78"/>
  <c r="AG1038" i="78"/>
  <c r="AE1039" i="78"/>
  <c r="AG1044" i="78"/>
  <c r="AE1045" i="78"/>
  <c r="AH1045" i="78" s="1"/>
  <c r="AG1050" i="78"/>
  <c r="AE1051" i="78"/>
  <c r="AG1056" i="78"/>
  <c r="AE1057" i="78"/>
  <c r="AG1062" i="78"/>
  <c r="AE1063" i="78"/>
  <c r="AG1068" i="78"/>
  <c r="AE1069" i="78"/>
  <c r="AG1074" i="78"/>
  <c r="AE1075" i="78"/>
  <c r="AG1082" i="78"/>
  <c r="AF1083" i="78"/>
  <c r="AH1083" i="78" s="1"/>
  <c r="AE1084" i="78"/>
  <c r="AG1106" i="78"/>
  <c r="AG1107" i="78"/>
  <c r="AE1117" i="78"/>
  <c r="AE1122" i="78"/>
  <c r="AF1127" i="78"/>
  <c r="AF1143" i="78"/>
  <c r="AG1149" i="78"/>
  <c r="AE1154" i="78"/>
  <c r="AE1157" i="78"/>
  <c r="AF1159" i="78"/>
  <c r="AH1159" i="78" s="1"/>
  <c r="AG1169" i="78"/>
  <c r="AG1171" i="78"/>
  <c r="AF1225" i="78"/>
  <c r="AF1264" i="78"/>
  <c r="AF1091" i="78"/>
  <c r="AF1097" i="78"/>
  <c r="AF1103" i="78"/>
  <c r="AF1109" i="78"/>
  <c r="AF1115" i="78"/>
  <c r="AF1121" i="78"/>
  <c r="AH1121" i="78" s="1"/>
  <c r="AE1148" i="78"/>
  <c r="AE1149" i="78"/>
  <c r="AE1150" i="78"/>
  <c r="AE1151" i="78"/>
  <c r="AF1152" i="78"/>
  <c r="AG1153" i="78"/>
  <c r="AG1159" i="78"/>
  <c r="AE1177" i="78"/>
  <c r="AF1182" i="78"/>
  <c r="AE1184" i="78"/>
  <c r="AG1198" i="78"/>
  <c r="AE1200" i="78"/>
  <c r="AF1206" i="78"/>
  <c r="AH1206" i="78" s="1"/>
  <c r="AG1208" i="78"/>
  <c r="AG1210" i="78"/>
  <c r="AE1230" i="78"/>
  <c r="AG1256" i="78"/>
  <c r="AF1261" i="78"/>
  <c r="AE1163" i="78"/>
  <c r="AF1171" i="78"/>
  <c r="AG1177" i="78"/>
  <c r="AF1196" i="78"/>
  <c r="AF1200" i="78"/>
  <c r="AG1206" i="78"/>
  <c r="AG1228" i="78"/>
  <c r="AE1259" i="78"/>
  <c r="AG1261" i="78"/>
  <c r="AG1278" i="78"/>
  <c r="AG1081" i="78"/>
  <c r="AE1082" i="78"/>
  <c r="AG1087" i="78"/>
  <c r="AE1088" i="78"/>
  <c r="AG1093" i="78"/>
  <c r="AE1094" i="78"/>
  <c r="AG1099" i="78"/>
  <c r="AE1100" i="78"/>
  <c r="AG1105" i="78"/>
  <c r="AE1106" i="78"/>
  <c r="AG1111" i="78"/>
  <c r="AE1112" i="78"/>
  <c r="AG1117" i="78"/>
  <c r="AE1118" i="78"/>
  <c r="AG1123" i="78"/>
  <c r="AE1124" i="78"/>
  <c r="AF1135" i="78"/>
  <c r="AF1136" i="78"/>
  <c r="AF1137" i="78"/>
  <c r="AF1138" i="78"/>
  <c r="AF1139" i="78"/>
  <c r="AH1139" i="78" s="1"/>
  <c r="AF1157" i="78"/>
  <c r="AH1157" i="78" s="1"/>
  <c r="AG1162" i="78"/>
  <c r="AE1166" i="78"/>
  <c r="AG1170" i="78"/>
  <c r="AF1176" i="78"/>
  <c r="AE1201" i="78"/>
  <c r="AE1207" i="78"/>
  <c r="AF1220" i="78"/>
  <c r="AG1262" i="78"/>
  <c r="AF1276" i="78"/>
  <c r="AF1279" i="78"/>
  <c r="AE1286" i="78"/>
  <c r="AF1106" i="78"/>
  <c r="AH1106" i="78" s="1"/>
  <c r="AF1112" i="78"/>
  <c r="AH1112" i="78" s="1"/>
  <c r="AF1118" i="78"/>
  <c r="AF1124" i="78"/>
  <c r="AE1130" i="78"/>
  <c r="AE1131" i="78"/>
  <c r="AE1132" i="78"/>
  <c r="AE1133" i="78"/>
  <c r="AF1134" i="78"/>
  <c r="AG1135" i="78"/>
  <c r="AG1136" i="78"/>
  <c r="AG1137" i="78"/>
  <c r="AG1138" i="78"/>
  <c r="AE1161" i="78"/>
  <c r="AF1166" i="78"/>
  <c r="AG1176" i="78"/>
  <c r="AH1176" i="78" s="1"/>
  <c r="AF1183" i="78"/>
  <c r="AF1207" i="78"/>
  <c r="AE1209" i="78"/>
  <c r="AE1250" i="78"/>
  <c r="AG1260" i="78"/>
  <c r="AF1286" i="78"/>
  <c r="AG1112" i="78"/>
  <c r="AE1113" i="78"/>
  <c r="AG1118" i="78"/>
  <c r="AE1119" i="78"/>
  <c r="AG1124" i="78"/>
  <c r="AE1125" i="78"/>
  <c r="AF1129" i="78"/>
  <c r="AF1130" i="78"/>
  <c r="AF1131" i="78"/>
  <c r="AF1132" i="78"/>
  <c r="AF1133" i="78"/>
  <c r="AF1156" i="78"/>
  <c r="AF1161" i="78"/>
  <c r="AG1166" i="78"/>
  <c r="AF1169" i="78"/>
  <c r="AE1178" i="78"/>
  <c r="AG1183" i="78"/>
  <c r="AE1195" i="78"/>
  <c r="AE1197" i="78"/>
  <c r="AG1207" i="78"/>
  <c r="AF1209" i="78"/>
  <c r="AF1227" i="78"/>
  <c r="AE1229" i="78"/>
  <c r="AG1250" i="78"/>
  <c r="AE1255" i="78"/>
  <c r="AE1271" i="78"/>
  <c r="AF1280" i="78"/>
  <c r="AE1156" i="78"/>
  <c r="AH1156" i="78" s="1"/>
  <c r="AG1161" i="78"/>
  <c r="AE1162" i="78"/>
  <c r="AE1176" i="78"/>
  <c r="AF1177" i="78"/>
  <c r="AE1183" i="78"/>
  <c r="AH1183" i="78" s="1"/>
  <c r="AE1188" i="78"/>
  <c r="AG1195" i="78"/>
  <c r="AE1212" i="78"/>
  <c r="AH1212" i="78" s="1"/>
  <c r="AE1215" i="78"/>
  <c r="AF1221" i="78"/>
  <c r="AG1224" i="78"/>
  <c r="AF1250" i="78"/>
  <c r="AH1250" i="78" s="1"/>
  <c r="AF1255" i="78"/>
  <c r="AE1257" i="78"/>
  <c r="AG1259" i="78"/>
  <c r="AG1264" i="78"/>
  <c r="AF1274" i="78"/>
  <c r="AG1127" i="78"/>
  <c r="AE1128" i="78"/>
  <c r="AG1133" i="78"/>
  <c r="AE1134" i="78"/>
  <c r="AG1139" i="78"/>
  <c r="AE1140" i="78"/>
  <c r="AG1145" i="78"/>
  <c r="AE1146" i="78"/>
  <c r="AG1151" i="78"/>
  <c r="AH1151" i="78" s="1"/>
  <c r="AE1152" i="78"/>
  <c r="AG1157" i="78"/>
  <c r="AE1158" i="78"/>
  <c r="AG1163" i="78"/>
  <c r="AH1163" i="78" s="1"/>
  <c r="AE1164" i="78"/>
  <c r="AH1164" i="78" s="1"/>
  <c r="AG1174" i="78"/>
  <c r="AE1181" i="78"/>
  <c r="AG1182" i="78"/>
  <c r="AG1187" i="78"/>
  <c r="AG1194" i="78"/>
  <c r="AE1211" i="78"/>
  <c r="AE1214" i="78"/>
  <c r="AG1220" i="78"/>
  <c r="AG1223" i="78"/>
  <c r="AE1245" i="78"/>
  <c r="AE1247" i="78"/>
  <c r="AE1249" i="78"/>
  <c r="AE1254" i="78"/>
  <c r="AE1265" i="78"/>
  <c r="AG1267" i="78"/>
  <c r="AG1279" i="78"/>
  <c r="AF1158" i="78"/>
  <c r="AH1158" i="78" s="1"/>
  <c r="AF1164" i="78"/>
  <c r="AF1181" i="78"/>
  <c r="AF1186" i="78"/>
  <c r="AE1190" i="78"/>
  <c r="AF1199" i="78"/>
  <c r="AG1205" i="78"/>
  <c r="AE1208" i="78"/>
  <c r="AF1211" i="78"/>
  <c r="AH1211" i="78" s="1"/>
  <c r="AF1214" i="78"/>
  <c r="AF1245" i="78"/>
  <c r="AH1245" i="78" s="1"/>
  <c r="AG1247" i="78"/>
  <c r="AH1247" i="78" s="1"/>
  <c r="AF1249" i="78"/>
  <c r="AH1249" i="78" s="1"/>
  <c r="AE1269" i="78"/>
  <c r="AE1275" i="78"/>
  <c r="AG1128" i="78"/>
  <c r="AE1129" i="78"/>
  <c r="AG1134" i="78"/>
  <c r="AE1135" i="78"/>
  <c r="AG1140" i="78"/>
  <c r="AE1141" i="78"/>
  <c r="AG1146" i="78"/>
  <c r="AE1147" i="78"/>
  <c r="AG1152" i="78"/>
  <c r="AE1153" i="78"/>
  <c r="AG1158" i="78"/>
  <c r="AE1159" i="78"/>
  <c r="AG1164" i="78"/>
  <c r="AE1165" i="78"/>
  <c r="AE1169" i="78"/>
  <c r="AE1170" i="78"/>
  <c r="AE1171" i="78"/>
  <c r="AE1172" i="78"/>
  <c r="AG1181" i="78"/>
  <c r="AG1186" i="78"/>
  <c r="AH1186" i="78" s="1"/>
  <c r="AE1193" i="78"/>
  <c r="AE1196" i="78"/>
  <c r="AG1199" i="78"/>
  <c r="AF1208" i="78"/>
  <c r="AE1225" i="78"/>
  <c r="AF1228" i="78"/>
  <c r="AG1249" i="78"/>
  <c r="AF1256" i="78"/>
  <c r="AF1258" i="78"/>
  <c r="AE1260" i="78"/>
  <c r="AF1269" i="78"/>
  <c r="AG1286" i="78"/>
  <c r="AG1188" i="78"/>
  <c r="AE1189" i="78"/>
  <c r="AG1196" i="78"/>
  <c r="AF1197" i="78"/>
  <c r="AH1197" i="78" s="1"/>
  <c r="AF1198" i="78"/>
  <c r="AE1199" i="78"/>
  <c r="AG1211" i="78"/>
  <c r="AF1212" i="78"/>
  <c r="AE1213" i="78"/>
  <c r="AG1225" i="78"/>
  <c r="AH1225" i="78" s="1"/>
  <c r="AF1226" i="78"/>
  <c r="AH1226" i="78" s="1"/>
  <c r="AE1227" i="78"/>
  <c r="AF1246" i="78"/>
  <c r="AE1256" i="78"/>
  <c r="AF1257" i="78"/>
  <c r="AG1270" i="78"/>
  <c r="AF1275" i="78"/>
  <c r="AF1282" i="78"/>
  <c r="AE1285" i="78"/>
  <c r="AF1184" i="78"/>
  <c r="AF1190" i="78"/>
  <c r="AH1190" i="78" s="1"/>
  <c r="AG1200" i="78"/>
  <c r="AF1201" i="78"/>
  <c r="AE1202" i="78"/>
  <c r="AG1214" i="78"/>
  <c r="AF1215" i="78"/>
  <c r="AH1215" i="78" s="1"/>
  <c r="AF1216" i="78"/>
  <c r="AE1217" i="78"/>
  <c r="AG1229" i="78"/>
  <c r="AF1230" i="78"/>
  <c r="AE1231" i="78"/>
  <c r="AE1241" i="78"/>
  <c r="AE1242" i="78"/>
  <c r="AE1243" i="78"/>
  <c r="AF1244" i="78"/>
  <c r="AH1244" i="78" s="1"/>
  <c r="AE1253" i="78"/>
  <c r="AG1254" i="78"/>
  <c r="AG1255" i="78"/>
  <c r="AE1263" i="78"/>
  <c r="AE1268" i="78"/>
  <c r="AE1273" i="78"/>
  <c r="AG1274" i="78"/>
  <c r="AE1281" i="78"/>
  <c r="AE1167" i="78"/>
  <c r="AG1172" i="78"/>
  <c r="AE1173" i="78"/>
  <c r="AG1178" i="78"/>
  <c r="AE1179" i="78"/>
  <c r="AG1184" i="78"/>
  <c r="AE1185" i="78"/>
  <c r="AG1190" i="78"/>
  <c r="AE1191" i="78"/>
  <c r="AG1201" i="78"/>
  <c r="AF1202" i="78"/>
  <c r="AE1203" i="78"/>
  <c r="AG1216" i="78"/>
  <c r="AF1217" i="78"/>
  <c r="AE1218" i="78"/>
  <c r="AG1230" i="78"/>
  <c r="AF1231" i="78"/>
  <c r="AH1231" i="78" s="1"/>
  <c r="AE1232" i="78"/>
  <c r="AE1235" i="78"/>
  <c r="AE1236" i="78"/>
  <c r="AE1237" i="78"/>
  <c r="AE1238" i="78"/>
  <c r="AE1239" i="78"/>
  <c r="AF1240" i="78"/>
  <c r="AG1241" i="78"/>
  <c r="AF1242" i="78"/>
  <c r="AH1242" i="78" s="1"/>
  <c r="AF1243" i="78"/>
  <c r="AH1243" i="78" s="1"/>
  <c r="AG1244" i="78"/>
  <c r="AG1253" i="78"/>
  <c r="AF1263" i="78"/>
  <c r="AH1263" i="78" s="1"/>
  <c r="AF1268" i="78"/>
  <c r="AH1268" i="78" s="1"/>
  <c r="AF1273" i="78"/>
  <c r="AF1281" i="78"/>
  <c r="AG1284" i="78"/>
  <c r="AF1173" i="78"/>
  <c r="AF1179" i="78"/>
  <c r="AF1185" i="78"/>
  <c r="AF1191" i="78"/>
  <c r="AH1191" i="78" s="1"/>
  <c r="AG1202" i="78"/>
  <c r="AF1203" i="78"/>
  <c r="AH1203" i="78" s="1"/>
  <c r="AF1204" i="78"/>
  <c r="AH1204" i="78" s="1"/>
  <c r="AE1205" i="78"/>
  <c r="AG1217" i="78"/>
  <c r="AF1218" i="78"/>
  <c r="AE1219" i="78"/>
  <c r="AG1231" i="78"/>
  <c r="AF1232" i="78"/>
  <c r="AE1233" i="78"/>
  <c r="AF1234" i="78"/>
  <c r="AH1234" i="78" s="1"/>
  <c r="AG1235" i="78"/>
  <c r="AF1236" i="78"/>
  <c r="AH1236" i="78" s="1"/>
  <c r="AF1237" i="78"/>
  <c r="AF1238" i="78"/>
  <c r="AH1238" i="78" s="1"/>
  <c r="AF1239" i="78"/>
  <c r="AH1239" i="78" s="1"/>
  <c r="AG1240" i="78"/>
  <c r="AH1240" i="78" s="1"/>
  <c r="AG1242" i="78"/>
  <c r="AG1243" i="78"/>
  <c r="AF1252" i="78"/>
  <c r="AE1262" i="78"/>
  <c r="AE1267" i="78"/>
  <c r="AG1268" i="78"/>
  <c r="AG1273" i="78"/>
  <c r="AG1167" i="78"/>
  <c r="AE1168" i="78"/>
  <c r="AG1173" i="78"/>
  <c r="AE1174" i="78"/>
  <c r="AH1174" i="78" s="1"/>
  <c r="AG1179" i="78"/>
  <c r="AE1180" i="78"/>
  <c r="AG1185" i="78"/>
  <c r="AE1186" i="78"/>
  <c r="AG1191" i="78"/>
  <c r="AE1192" i="78"/>
  <c r="AH1192" i="78" s="1"/>
  <c r="AG1204" i="78"/>
  <c r="AF1205" i="78"/>
  <c r="AE1206" i="78"/>
  <c r="AG1218" i="78"/>
  <c r="AF1219" i="78"/>
  <c r="AH1219" i="78" s="1"/>
  <c r="AE1220" i="78"/>
  <c r="AG1232" i="78"/>
  <c r="AF1233" i="78"/>
  <c r="AG1234" i="78"/>
  <c r="AG1236" i="78"/>
  <c r="AG1237" i="78"/>
  <c r="AG1238" i="78"/>
  <c r="AE1251" i="78"/>
  <c r="AG1252" i="78"/>
  <c r="AE1261" i="78"/>
  <c r="AF1262" i="78"/>
  <c r="AH1262" i="78" s="1"/>
  <c r="AF1267" i="78"/>
  <c r="AH1267" i="78" s="1"/>
  <c r="AG1272" i="78"/>
  <c r="AE1280" i="78"/>
  <c r="AE1287" i="78"/>
  <c r="AF1287" i="78"/>
  <c r="AG1197" i="78"/>
  <c r="AE1198" i="78"/>
  <c r="AG1203" i="78"/>
  <c r="AE1204" i="78"/>
  <c r="AG1209" i="78"/>
  <c r="AE1210" i="78"/>
  <c r="AG1215" i="78"/>
  <c r="AE1216" i="78"/>
  <c r="AH1216" i="78" s="1"/>
  <c r="AG1221" i="78"/>
  <c r="AE1222" i="78"/>
  <c r="AG1227" i="78"/>
  <c r="AE1228" i="78"/>
  <c r="AG1233" i="78"/>
  <c r="AE1234" i="78"/>
  <c r="AG1239" i="78"/>
  <c r="AE1240" i="78"/>
  <c r="AG1245" i="78"/>
  <c r="AE1246" i="78"/>
  <c r="AG1251" i="78"/>
  <c r="AE1252" i="78"/>
  <c r="AH1252" i="78" s="1"/>
  <c r="AG1257" i="78"/>
  <c r="AE1258" i="78"/>
  <c r="AH1258" i="78" s="1"/>
  <c r="AG1263" i="78"/>
  <c r="AE1264" i="78"/>
  <c r="AG1269" i="78"/>
  <c r="AE1270" i="78"/>
  <c r="AG1275" i="78"/>
  <c r="AE1276" i="78"/>
  <c r="AG1281" i="78"/>
  <c r="AE1282" i="78"/>
  <c r="AG1287" i="78"/>
  <c r="AG1276" i="78"/>
  <c r="AE1277" i="78"/>
  <c r="AG1282" i="78"/>
  <c r="AE1283" i="78"/>
  <c r="AF1235" i="78"/>
  <c r="AF1241" i="78"/>
  <c r="AF1247" i="78"/>
  <c r="AF1253" i="78"/>
  <c r="AF1259" i="78"/>
  <c r="AF1265" i="78"/>
  <c r="AF1271" i="78"/>
  <c r="AF1277" i="78"/>
  <c r="AF1283" i="78"/>
  <c r="AH1283" i="78" s="1"/>
  <c r="AG1265" i="78"/>
  <c r="AE1266" i="78"/>
  <c r="AH1266" i="78" s="1"/>
  <c r="AG1271" i="78"/>
  <c r="AE1272" i="78"/>
  <c r="AG1277" i="78"/>
  <c r="AE1278" i="78"/>
  <c r="AG1283" i="78"/>
  <c r="AE1284" i="78"/>
  <c r="AH1284" i="78" s="1"/>
  <c r="AF1248" i="78"/>
  <c r="AF1254" i="78"/>
  <c r="AF1260" i="78"/>
  <c r="AF1266" i="78"/>
  <c r="AF1272" i="78"/>
  <c r="AF1278" i="78"/>
  <c r="AF1284" i="78"/>
  <c r="AE1298" i="78"/>
  <c r="AG1297" i="78"/>
  <c r="AF1298" i="78"/>
  <c r="AH1298" i="78" s="1"/>
  <c r="AE1288" i="78"/>
  <c r="AG1298" i="78"/>
  <c r="AF1288" i="78"/>
  <c r="AE1289" i="78"/>
  <c r="O1289" i="78"/>
  <c r="AF1290" i="78"/>
  <c r="AG1290" i="78"/>
  <c r="AF1291" i="78"/>
  <c r="AE1292" i="78"/>
  <c r="AG1291" i="78"/>
  <c r="AF1292" i="78"/>
  <c r="AE1293" i="78"/>
  <c r="AG1288" i="78"/>
  <c r="AG1292" i="78"/>
  <c r="AH1292" i="78" s="1"/>
  <c r="AF1293" i="78"/>
  <c r="O1294" i="78"/>
  <c r="AE1294" i="78"/>
  <c r="AF1297" i="78"/>
  <c r="AF1289" i="78"/>
  <c r="AG1293" i="78"/>
  <c r="AF1294" i="78"/>
  <c r="AH1294" i="78" s="1"/>
  <c r="AE1295" i="78"/>
  <c r="AG1296" i="78"/>
  <c r="AE1290" i="78"/>
  <c r="AG1289" i="78"/>
  <c r="AE1291" i="78"/>
  <c r="AG1294" i="78"/>
  <c r="AF1295" i="78"/>
  <c r="AE1296" i="78"/>
  <c r="AG1295" i="78"/>
  <c r="AF1296" i="78"/>
  <c r="AE1297" i="78"/>
  <c r="AF1302" i="78"/>
  <c r="AF1303" i="78"/>
  <c r="AG1303" i="78"/>
  <c r="AE1303" i="78"/>
  <c r="AG1302" i="78"/>
  <c r="AE1299" i="78"/>
  <c r="AF1299" i="78"/>
  <c r="AE1300" i="78"/>
  <c r="AG1301" i="78"/>
  <c r="AG1299" i="78"/>
  <c r="AF1300" i="78"/>
  <c r="AH1300" i="78" s="1"/>
  <c r="AE1301" i="78"/>
  <c r="AH1301" i="78" s="1"/>
  <c r="AG1300" i="78"/>
  <c r="AF1301" i="78"/>
  <c r="AE1302" i="78"/>
  <c r="AG1308" i="78"/>
  <c r="AG1310" i="78"/>
  <c r="AF1309" i="78"/>
  <c r="AF1310" i="78"/>
  <c r="AE1304" i="78"/>
  <c r="AF1304" i="78"/>
  <c r="AH1304" i="78" s="1"/>
  <c r="AF1305" i="78"/>
  <c r="AG1305" i="78"/>
  <c r="AF1306" i="78"/>
  <c r="AE1307" i="78"/>
  <c r="AG1306" i="78"/>
  <c r="AF1307" i="78"/>
  <c r="AE1308" i="78"/>
  <c r="AH1308" i="78" s="1"/>
  <c r="AE1310" i="78"/>
  <c r="O1310" i="78"/>
  <c r="AG1309" i="78"/>
  <c r="AE1305" i="78"/>
  <c r="AH1305" i="78" s="1"/>
  <c r="AG1304" i="78"/>
  <c r="AE1306" i="78"/>
  <c r="AG1307" i="78"/>
  <c r="AF1308" i="78"/>
  <c r="AE1309" i="78"/>
  <c r="AE1311" i="78"/>
  <c r="O1311" i="78"/>
  <c r="AG1311" i="78"/>
  <c r="AF1311" i="78"/>
  <c r="AE1312" i="78"/>
  <c r="AG1312" i="78"/>
  <c r="AF1312" i="78"/>
  <c r="AH1312" i="78" s="1"/>
  <c r="AB1183" i="78"/>
  <c r="AB1174" i="78"/>
  <c r="AB1147" i="78"/>
  <c r="AB1114" i="78"/>
  <c r="AB1102" i="78"/>
  <c r="AB1074" i="78"/>
  <c r="AB970" i="78"/>
  <c r="AB1258" i="78"/>
  <c r="AB1262" i="78"/>
  <c r="AB1231" i="78"/>
  <c r="AB1178" i="78"/>
  <c r="AB1118" i="78"/>
  <c r="AB1018" i="78"/>
  <c r="AB627" i="78"/>
  <c r="AB1302" i="78"/>
  <c r="AB967" i="78"/>
  <c r="AB789" i="78"/>
  <c r="AB718" i="78"/>
  <c r="AB981" i="78"/>
  <c r="AB936" i="78"/>
  <c r="AB664" i="78"/>
  <c r="AB93" i="78"/>
  <c r="AB1263" i="78"/>
  <c r="AB940" i="78"/>
  <c r="AB1025" i="78"/>
  <c r="AB861" i="78"/>
  <c r="AB859" i="78"/>
  <c r="AB1287" i="78"/>
  <c r="AB1130" i="78"/>
  <c r="AB1126" i="78"/>
  <c r="AB590" i="78"/>
  <c r="AB1305" i="78"/>
  <c r="AB1255" i="78"/>
  <c r="AB1234" i="78"/>
  <c r="AB1230" i="78"/>
  <c r="AB1214" i="78"/>
  <c r="AB1208" i="78"/>
  <c r="AB1169" i="78"/>
  <c r="AB1132" i="78"/>
  <c r="AB1107" i="78"/>
  <c r="AB1031" i="78"/>
  <c r="AB1019" i="78"/>
  <c r="AB950" i="78"/>
  <c r="AB868" i="78"/>
  <c r="AB863" i="78"/>
  <c r="AB682" i="78"/>
  <c r="AB631" i="78"/>
  <c r="AB1191" i="78"/>
  <c r="AB1125" i="78"/>
  <c r="AB908" i="78"/>
  <c r="AB860" i="78"/>
  <c r="AB777" i="78"/>
  <c r="AB754" i="78"/>
  <c r="AB1149" i="78"/>
  <c r="AB646" i="78"/>
  <c r="AB569" i="78"/>
  <c r="AB1219" i="78"/>
  <c r="AB1197" i="78"/>
  <c r="AB1120" i="78"/>
  <c r="AB1083" i="78"/>
  <c r="AB1032" i="78"/>
  <c r="AB1020" i="78"/>
  <c r="AB972" i="78"/>
  <c r="AB739" i="78"/>
  <c r="AB1227" i="78"/>
  <c r="AB1211" i="78"/>
  <c r="AB1135" i="78"/>
  <c r="AB934" i="78"/>
  <c r="AB654" i="78"/>
  <c r="AB96" i="78"/>
  <c r="AB1223" i="78"/>
  <c r="AB1311" i="78"/>
  <c r="AB1165" i="78"/>
  <c r="AB1045" i="78"/>
  <c r="AB1029" i="78"/>
  <c r="AB904" i="78"/>
  <c r="AB705" i="78"/>
  <c r="AB388" i="78"/>
  <c r="AB1299" i="78"/>
  <c r="AB1251" i="78"/>
  <c r="AB1212" i="78"/>
  <c r="AB1200" i="78"/>
  <c r="AB1196" i="78"/>
  <c r="AB1179" i="78"/>
  <c r="AB1079" i="78"/>
  <c r="AB906" i="78"/>
  <c r="AB878" i="78"/>
  <c r="AB717" i="78"/>
  <c r="AB1278" i="78"/>
  <c r="AB1252" i="78"/>
  <c r="AB1161" i="78"/>
  <c r="AB1155" i="78"/>
  <c r="AB946" i="78"/>
  <c r="AB1275" i="78"/>
  <c r="AB1248" i="78"/>
  <c r="AB1238" i="78"/>
  <c r="AB1137" i="78"/>
  <c r="AB1005" i="78"/>
  <c r="AB938" i="78"/>
  <c r="AB926" i="78"/>
  <c r="AB672" i="78"/>
  <c r="AB322" i="78"/>
  <c r="AB1269" i="78"/>
  <c r="AB1249" i="78"/>
  <c r="AB1247" i="78"/>
  <c r="AB1241" i="78"/>
  <c r="AB1239" i="78"/>
  <c r="AB1185" i="78"/>
  <c r="AB1070" i="78"/>
  <c r="AB1068" i="78"/>
  <c r="AB1042" i="78"/>
  <c r="AB982" i="78"/>
  <c r="AB968" i="78"/>
  <c r="AB952" i="78"/>
  <c r="AB914" i="78"/>
  <c r="AB663" i="78"/>
  <c r="AB465" i="78"/>
  <c r="AB1290" i="78"/>
  <c r="AB1006" i="78"/>
  <c r="AB691" i="78"/>
  <c r="AB1266" i="78"/>
  <c r="AB1237" i="78"/>
  <c r="AB1170" i="78"/>
  <c r="AB1016" i="78"/>
  <c r="AB962" i="78"/>
  <c r="AB916" i="78"/>
  <c r="AB837" i="78"/>
  <c r="AB1296" i="78"/>
  <c r="AB1284" i="78"/>
  <c r="AB1256" i="78"/>
  <c r="AB1215" i="78"/>
  <c r="AB1195" i="78"/>
  <c r="AB1085" i="78"/>
  <c r="AB847" i="78"/>
  <c r="AB842" i="78"/>
  <c r="AB802" i="78"/>
  <c r="AB545" i="78"/>
  <c r="AB1250" i="78"/>
  <c r="AB1213" i="78"/>
  <c r="AB1201" i="78"/>
  <c r="AB1159" i="78"/>
  <c r="AB1225" i="78"/>
  <c r="AB1027" i="78"/>
  <c r="AB844" i="78"/>
  <c r="AB839" i="78"/>
  <c r="AB807" i="78"/>
  <c r="AB763" i="78"/>
  <c r="AB429" i="78"/>
  <c r="AB1182" i="78"/>
  <c r="AB1089" i="78"/>
  <c r="AB1071" i="78"/>
  <c r="AB1043" i="78"/>
  <c r="AB1236" i="78"/>
  <c r="AB1101" i="78"/>
  <c r="AB1096" i="78"/>
  <c r="AB961" i="78"/>
  <c r="AB820" i="78"/>
  <c r="AB637" i="78"/>
  <c r="AB1281" i="78"/>
  <c r="AB1167" i="78"/>
  <c r="AB1245" i="78"/>
  <c r="AB1226" i="78"/>
  <c r="AB1187" i="78"/>
  <c r="AB1172" i="78"/>
  <c r="AB1072" i="78"/>
  <c r="AB922" i="78"/>
  <c r="AB835" i="78"/>
  <c r="AB742" i="78"/>
  <c r="AB676" i="78"/>
  <c r="AB567" i="78"/>
  <c r="AB231" i="78"/>
  <c r="AB1192" i="78"/>
  <c r="AB1190" i="78"/>
  <c r="AB1177" i="78"/>
  <c r="AB1164" i="78"/>
  <c r="AB1113" i="78"/>
  <c r="AB1077" i="78"/>
  <c r="AB1055" i="78"/>
  <c r="AB1046" i="78"/>
  <c r="AB980" i="78"/>
  <c r="AB969" i="78"/>
  <c r="AB935" i="78"/>
  <c r="AB933" i="78"/>
  <c r="AB890" i="78"/>
  <c r="AB826" i="78"/>
  <c r="AB753" i="78"/>
  <c r="AB491" i="78"/>
  <c r="AB1293" i="78"/>
  <c r="AB1261" i="78"/>
  <c r="AB1222" i="78"/>
  <c r="AB1209" i="78"/>
  <c r="AB1160" i="78"/>
  <c r="AB1144" i="78"/>
  <c r="AB1142" i="78"/>
  <c r="AB1138" i="78"/>
  <c r="AB1099" i="78"/>
  <c r="AB1097" i="78"/>
  <c r="AB1081" i="78"/>
  <c r="AB973" i="78"/>
  <c r="AB971" i="78"/>
  <c r="AB928" i="78"/>
  <c r="AB880" i="78"/>
  <c r="AB870" i="78"/>
  <c r="AB843" i="78"/>
  <c r="AB808" i="78"/>
  <c r="AB790" i="78"/>
  <c r="AB703" i="78"/>
  <c r="AB667" i="78"/>
  <c r="AB657" i="78"/>
  <c r="AB636" i="78"/>
  <c r="AB538" i="78"/>
  <c r="AB530" i="78"/>
  <c r="AB1308" i="78"/>
  <c r="AB1272" i="78"/>
  <c r="AB1259" i="78"/>
  <c r="AB1244" i="78"/>
  <c r="AB1233" i="78"/>
  <c r="AB1220" i="78"/>
  <c r="AB1216" i="78"/>
  <c r="AB1205" i="78"/>
  <c r="AB1203" i="78"/>
  <c r="AB1188" i="78"/>
  <c r="AB1173" i="78"/>
  <c r="AB1156" i="78"/>
  <c r="AB1154" i="78"/>
  <c r="AB1150" i="78"/>
  <c r="AB1148" i="78"/>
  <c r="AB1123" i="78"/>
  <c r="AB1057" i="78"/>
  <c r="AB999" i="78"/>
  <c r="AB949" i="78"/>
  <c r="AB920" i="78"/>
  <c r="AB892" i="78"/>
  <c r="AB818" i="78"/>
  <c r="AB800" i="78"/>
  <c r="AB775" i="78"/>
  <c r="AB603" i="78"/>
  <c r="AB1092" i="78"/>
  <c r="AB1090" i="78"/>
  <c r="AB1066" i="78"/>
  <c r="AB1053" i="78"/>
  <c r="AB1049" i="78"/>
  <c r="AB1038" i="78"/>
  <c r="AB1036" i="78"/>
  <c r="AB1034" i="78"/>
  <c r="AB1010" i="78"/>
  <c r="AB900" i="78"/>
  <c r="AB884" i="78"/>
  <c r="AB876" i="78"/>
  <c r="AB874" i="78"/>
  <c r="AB851" i="78"/>
  <c r="AB849" i="78"/>
  <c r="AB824" i="78"/>
  <c r="AB822" i="78"/>
  <c r="AB813" i="78"/>
  <c r="AB811" i="78"/>
  <c r="AB652" i="78"/>
  <c r="AB576" i="78"/>
  <c r="AB543" i="78"/>
  <c r="AB286" i="78"/>
  <c r="AB1312" i="78"/>
  <c r="AB1309" i="78"/>
  <c r="AB1306" i="78"/>
  <c r="AB1303" i="78"/>
  <c r="AB1300" i="78"/>
  <c r="AB1297" i="78"/>
  <c r="AB1294" i="78"/>
  <c r="AB1291" i="78"/>
  <c r="AB1288" i="78"/>
  <c r="AB1285" i="78"/>
  <c r="AB1282" i="78"/>
  <c r="AB1279" i="78"/>
  <c r="AB1276" i="78"/>
  <c r="AB1273" i="78"/>
  <c r="AB1270" i="78"/>
  <c r="AB1267" i="78"/>
  <c r="AB1264" i="78"/>
  <c r="AB1253" i="78"/>
  <c r="AB1242" i="78"/>
  <c r="AB1228" i="78"/>
  <c r="AB1217" i="78"/>
  <c r="AB1206" i="78"/>
  <c r="AB1198" i="78"/>
  <c r="AB1193" i="78"/>
  <c r="AB1180" i="78"/>
  <c r="AB1175" i="78"/>
  <c r="AB1162" i="78"/>
  <c r="AB1157" i="78"/>
  <c r="AB1152" i="78"/>
  <c r="AB1145" i="78"/>
  <c r="AB1140" i="78"/>
  <c r="AB1133" i="78"/>
  <c r="AB1128" i="78"/>
  <c r="AB1121" i="78"/>
  <c r="AB1116" i="78"/>
  <c r="AB1103" i="78"/>
  <c r="AB1088" i="78"/>
  <c r="AB1060" i="78"/>
  <c r="AB1047" i="78"/>
  <c r="AB1021" i="78"/>
  <c r="AB997" i="78"/>
  <c r="AB995" i="78"/>
  <c r="AB993" i="78"/>
  <c r="AB991" i="78"/>
  <c r="AB989" i="78"/>
  <c r="AB896" i="78"/>
  <c r="AB888" i="78"/>
  <c r="AB834" i="78"/>
  <c r="AB806" i="78"/>
  <c r="AB765" i="78"/>
  <c r="AB751" i="78"/>
  <c r="AB730" i="78"/>
  <c r="AB693" i="78"/>
  <c r="AB476" i="78"/>
  <c r="AB463" i="78"/>
  <c r="AB461" i="78"/>
  <c r="AB1131" i="78"/>
  <c r="AB1124" i="78"/>
  <c r="AB1119" i="78"/>
  <c r="AB1110" i="78"/>
  <c r="AB1108" i="78"/>
  <c r="AB1106" i="78"/>
  <c r="AB1082" i="78"/>
  <c r="AB1030" i="78"/>
  <c r="AB903" i="78"/>
  <c r="AB901" i="78"/>
  <c r="AB838" i="78"/>
  <c r="AB1093" i="78"/>
  <c r="AB1067" i="78"/>
  <c r="AB1052" i="78"/>
  <c r="AB1024" i="78"/>
  <c r="AB1011" i="78"/>
  <c r="AB959" i="78"/>
  <c r="AB945" i="78"/>
  <c r="AB927" i="78"/>
  <c r="AB923" i="78"/>
  <c r="AB915" i="78"/>
  <c r="AB911" i="78"/>
  <c r="AB877" i="78"/>
  <c r="AB869" i="78"/>
  <c r="AB852" i="78"/>
  <c r="AB850" i="78"/>
  <c r="AB827" i="78"/>
  <c r="AB814" i="78"/>
  <c r="AB812" i="78"/>
  <c r="AB803" i="78"/>
  <c r="AB778" i="78"/>
  <c r="AB741" i="78"/>
  <c r="AB727" i="78"/>
  <c r="AB706" i="78"/>
  <c r="AB485" i="78"/>
  <c r="AB1136" i="78"/>
  <c r="AB1017" i="78"/>
  <c r="AB1013" i="78"/>
  <c r="AB1002" i="78"/>
  <c r="AB1000" i="78"/>
  <c r="AB957" i="78"/>
  <c r="AB947" i="78"/>
  <c r="AB881" i="78"/>
  <c r="AB819" i="78"/>
  <c r="AB1310" i="78"/>
  <c r="AB1304" i="78"/>
  <c r="AB1301" i="78"/>
  <c r="AB1295" i="78"/>
  <c r="AB1289" i="78"/>
  <c r="AB1283" i="78"/>
  <c r="AB1277" i="78"/>
  <c r="AB1186" i="78"/>
  <c r="AB1181" i="78"/>
  <c r="AB1168" i="78"/>
  <c r="AB1163" i="78"/>
  <c r="AB1257" i="78"/>
  <c r="AB1243" i="78"/>
  <c r="AB1232" i="78"/>
  <c r="AB1221" i="78"/>
  <c r="AB1207" i="78"/>
  <c r="AB1194" i="78"/>
  <c r="AB1176" i="78"/>
  <c r="AB1158" i="78"/>
  <c r="AB1153" i="78"/>
  <c r="AB1141" i="78"/>
  <c r="AB1129" i="78"/>
  <c r="AB1117" i="78"/>
  <c r="AB1104" i="78"/>
  <c r="AB1091" i="78"/>
  <c r="AB1065" i="78"/>
  <c r="AB1063" i="78"/>
  <c r="AB1041" i="78"/>
  <c r="AB1035" i="78"/>
  <c r="AB998" i="78"/>
  <c r="AB889" i="78"/>
  <c r="AB856" i="78"/>
  <c r="AB810" i="78"/>
  <c r="AB805" i="78"/>
  <c r="AB794" i="78"/>
  <c r="AB670" i="78"/>
  <c r="AB612" i="78"/>
  <c r="AB411" i="78"/>
  <c r="AB1143" i="78"/>
  <c r="AB1056" i="78"/>
  <c r="AB1054" i="78"/>
  <c r="AB555" i="78"/>
  <c r="AB493" i="78"/>
  <c r="AB416" i="78"/>
  <c r="AB277" i="78"/>
  <c r="AB1307" i="78"/>
  <c r="AB1298" i="78"/>
  <c r="AB1292" i="78"/>
  <c r="AB1286" i="78"/>
  <c r="AB1280" i="78"/>
  <c r="AB1274" i="78"/>
  <c r="AB1271" i="78"/>
  <c r="AB1268" i="78"/>
  <c r="AB1265" i="78"/>
  <c r="AB1254" i="78"/>
  <c r="AB1240" i="78"/>
  <c r="AB1229" i="78"/>
  <c r="AB1218" i="78"/>
  <c r="AB1204" i="78"/>
  <c r="AB1199" i="78"/>
  <c r="AB1260" i="78"/>
  <c r="AB1246" i="78"/>
  <c r="AB1235" i="78"/>
  <c r="AB1224" i="78"/>
  <c r="AB1210" i="78"/>
  <c r="AB1202" i="78"/>
  <c r="AB1189" i="78"/>
  <c r="AB1184" i="78"/>
  <c r="AB1171" i="78"/>
  <c r="AB1166" i="78"/>
  <c r="AB1151" i="78"/>
  <c r="AB1146" i="78"/>
  <c r="AB1139" i="78"/>
  <c r="AB1134" i="78"/>
  <c r="AB1127" i="78"/>
  <c r="AB1122" i="78"/>
  <c r="AB1115" i="78"/>
  <c r="AB1078" i="78"/>
  <c r="AB1061" i="78"/>
  <c r="AB1009" i="78"/>
  <c r="AB1007" i="78"/>
  <c r="AB994" i="78"/>
  <c r="AB992" i="78"/>
  <c r="AB986" i="78"/>
  <c r="AB984" i="78"/>
  <c r="AB978" i="78"/>
  <c r="AB974" i="78"/>
  <c r="AB899" i="78"/>
  <c r="AB833" i="78"/>
  <c r="AB825" i="78"/>
  <c r="AB823" i="78"/>
  <c r="AB796" i="78"/>
  <c r="AB787" i="78"/>
  <c r="AB766" i="78"/>
  <c r="AB729" i="78"/>
  <c r="AB715" i="78"/>
  <c r="AB694" i="78"/>
  <c r="AB510" i="78"/>
  <c r="AB1105" i="78"/>
  <c r="AB1094" i="78"/>
  <c r="AB1080" i="78"/>
  <c r="AB1069" i="78"/>
  <c r="AB1058" i="78"/>
  <c r="AB1044" i="78"/>
  <c r="AB1033" i="78"/>
  <c r="AB1022" i="78"/>
  <c r="AB1008" i="78"/>
  <c r="AB987" i="78"/>
  <c r="AB975" i="78"/>
  <c r="AB960" i="78"/>
  <c r="AB953" i="78"/>
  <c r="AB948" i="78"/>
  <c r="AB931" i="78"/>
  <c r="AB921" i="78"/>
  <c r="AB909" i="78"/>
  <c r="AB902" i="78"/>
  <c r="AB897" i="78"/>
  <c r="AB887" i="78"/>
  <c r="AB875" i="78"/>
  <c r="AB857" i="78"/>
  <c r="AB831" i="78"/>
  <c r="AB829" i="78"/>
  <c r="AB798" i="78"/>
  <c r="AB788" i="78"/>
  <c r="AB784" i="78"/>
  <c r="AB782" i="78"/>
  <c r="AB776" i="78"/>
  <c r="AB772" i="78"/>
  <c r="AB770" i="78"/>
  <c r="AB764" i="78"/>
  <c r="AB760" i="78"/>
  <c r="AB758" i="78"/>
  <c r="AB752" i="78"/>
  <c r="AB748" i="78"/>
  <c r="AB746" i="78"/>
  <c r="AB740" i="78"/>
  <c r="AB736" i="78"/>
  <c r="AB734" i="78"/>
  <c r="AB728" i="78"/>
  <c r="AB724" i="78"/>
  <c r="AB722" i="78"/>
  <c r="AB716" i="78"/>
  <c r="AB712" i="78"/>
  <c r="AB710" i="78"/>
  <c r="AB704" i="78"/>
  <c r="AB700" i="78"/>
  <c r="AB698" i="78"/>
  <c r="AB692" i="78"/>
  <c r="AB688" i="78"/>
  <c r="AB686" i="78"/>
  <c r="AB519" i="78"/>
  <c r="AB502" i="78"/>
  <c r="AB393" i="78"/>
  <c r="AB331" i="78"/>
  <c r="AB1111" i="78"/>
  <c r="AB1100" i="78"/>
  <c r="AB1086" i="78"/>
  <c r="AB1075" i="78"/>
  <c r="AB1064" i="78"/>
  <c r="AB1050" i="78"/>
  <c r="AB1039" i="78"/>
  <c r="AB1028" i="78"/>
  <c r="AB1014" i="78"/>
  <c r="AB1003" i="78"/>
  <c r="AB990" i="78"/>
  <c r="AB985" i="78"/>
  <c r="AB963" i="78"/>
  <c r="AB958" i="78"/>
  <c r="AB951" i="78"/>
  <c r="AB939" i="78"/>
  <c r="AB924" i="78"/>
  <c r="AB917" i="78"/>
  <c r="AB912" i="78"/>
  <c r="AB895" i="78"/>
  <c r="AB885" i="78"/>
  <c r="AB873" i="78"/>
  <c r="AB871" i="78"/>
  <c r="AB864" i="78"/>
  <c r="AB862" i="78"/>
  <c r="AB855" i="78"/>
  <c r="AB853" i="78"/>
  <c r="AB840" i="78"/>
  <c r="AB817" i="78"/>
  <c r="AB815" i="78"/>
  <c r="AB658" i="78"/>
  <c r="AB580" i="78"/>
  <c r="AB539" i="78"/>
  <c r="AB521" i="78"/>
  <c r="AB450" i="78"/>
  <c r="AB418" i="78"/>
  <c r="AB675" i="78"/>
  <c r="AB628" i="78"/>
  <c r="AB592" i="78"/>
  <c r="AB570" i="78"/>
  <c r="AB566" i="78"/>
  <c r="AB457" i="78"/>
  <c r="AB452" i="78"/>
  <c r="AB318" i="78"/>
  <c r="AB210" i="78"/>
  <c r="AB1109" i="78"/>
  <c r="AB1095" i="78"/>
  <c r="AB1084" i="78"/>
  <c r="AB1073" i="78"/>
  <c r="AB1059" i="78"/>
  <c r="AB1048" i="78"/>
  <c r="AB1037" i="78"/>
  <c r="AB1023" i="78"/>
  <c r="AB1012" i="78"/>
  <c r="AB1001" i="78"/>
  <c r="AB988" i="78"/>
  <c r="AB976" i="78"/>
  <c r="AB956" i="78"/>
  <c r="AB944" i="78"/>
  <c r="AB937" i="78"/>
  <c r="AB910" i="78"/>
  <c r="AB898" i="78"/>
  <c r="AB867" i="78"/>
  <c r="AB845" i="78"/>
  <c r="AB832" i="78"/>
  <c r="AB801" i="78"/>
  <c r="AB799" i="78"/>
  <c r="AB795" i="78"/>
  <c r="AB793" i="78"/>
  <c r="AB791" i="78"/>
  <c r="AB673" i="78"/>
  <c r="AB528" i="78"/>
  <c r="AB506" i="78"/>
  <c r="AB474" i="78"/>
  <c r="AB437" i="78"/>
  <c r="AB353" i="78"/>
  <c r="AB205" i="78"/>
  <c r="AB1112" i="78"/>
  <c r="AB1098" i="78"/>
  <c r="AB1087" i="78"/>
  <c r="AB1076" i="78"/>
  <c r="AB1062" i="78"/>
  <c r="AB1051" i="78"/>
  <c r="AB1040" i="78"/>
  <c r="AB1026" i="78"/>
  <c r="AB1015" i="78"/>
  <c r="AB1004" i="78"/>
  <c r="AB996" i="78"/>
  <c r="AB983" i="78"/>
  <c r="AB964" i="78"/>
  <c r="AB942" i="78"/>
  <c r="AB932" i="78"/>
  <c r="AB925" i="78"/>
  <c r="AB913" i="78"/>
  <c r="AB891" i="78"/>
  <c r="AB886" i="78"/>
  <c r="AB879" i="78"/>
  <c r="AB865" i="78"/>
  <c r="AB858" i="78"/>
  <c r="AB783" i="78"/>
  <c r="AB781" i="78"/>
  <c r="AB771" i="78"/>
  <c r="AB769" i="78"/>
  <c r="AB759" i="78"/>
  <c r="AB757" i="78"/>
  <c r="AB747" i="78"/>
  <c r="AB745" i="78"/>
  <c r="AB735" i="78"/>
  <c r="AB733" i="78"/>
  <c r="AB723" i="78"/>
  <c r="AB721" i="78"/>
  <c r="AB711" i="78"/>
  <c r="AB709" i="78"/>
  <c r="AB699" i="78"/>
  <c r="AB697" i="78"/>
  <c r="AB687" i="78"/>
  <c r="AB685" i="78"/>
  <c r="AB634" i="78"/>
  <c r="AB589" i="78"/>
  <c r="AB439" i="78"/>
  <c r="AB271" i="78"/>
  <c r="AB786" i="78"/>
  <c r="AB779" i="78"/>
  <c r="AB774" i="78"/>
  <c r="AB767" i="78"/>
  <c r="AB762" i="78"/>
  <c r="AB755" i="78"/>
  <c r="AB750" i="78"/>
  <c r="AB743" i="78"/>
  <c r="AB738" i="78"/>
  <c r="AB731" i="78"/>
  <c r="AB726" i="78"/>
  <c r="AB719" i="78"/>
  <c r="AB714" i="78"/>
  <c r="AB707" i="78"/>
  <c r="AB702" i="78"/>
  <c r="AB695" i="78"/>
  <c r="AB690" i="78"/>
  <c r="AB683" i="78"/>
  <c r="AB640" i="78"/>
  <c r="AB578" i="78"/>
  <c r="AB563" i="78"/>
  <c r="AB561" i="78"/>
  <c r="AB547" i="78"/>
  <c r="AB489" i="78"/>
  <c r="AB467" i="78"/>
  <c r="AB427" i="78"/>
  <c r="AB425" i="78"/>
  <c r="AB413" i="78"/>
  <c r="AB343" i="78"/>
  <c r="AB979" i="78"/>
  <c r="AB965" i="78"/>
  <c r="AB954" i="78"/>
  <c r="AB943" i="78"/>
  <c r="AB929" i="78"/>
  <c r="AB918" i="78"/>
  <c r="AB907" i="78"/>
  <c r="AB893" i="78"/>
  <c r="AB882" i="78"/>
  <c r="AB866" i="78"/>
  <c r="AB848" i="78"/>
  <c r="AB830" i="78"/>
  <c r="AB681" i="78"/>
  <c r="AB532" i="78"/>
  <c r="AB525" i="78"/>
  <c r="AB504" i="78"/>
  <c r="AB448" i="78"/>
  <c r="AB443" i="78"/>
  <c r="AB355" i="78"/>
  <c r="AB846" i="78"/>
  <c r="AB841" i="78"/>
  <c r="AB828" i="78"/>
  <c r="AB655" i="78"/>
  <c r="AB649" i="78"/>
  <c r="AB639" i="78"/>
  <c r="AB621" i="78"/>
  <c r="AB595" i="78"/>
  <c r="AB584" i="78"/>
  <c r="AB551" i="78"/>
  <c r="AB424" i="78"/>
  <c r="AB977" i="78"/>
  <c r="AB966" i="78"/>
  <c r="AB955" i="78"/>
  <c r="AB941" i="78"/>
  <c r="AB930" i="78"/>
  <c r="AB919" i="78"/>
  <c r="AB905" i="78"/>
  <c r="AB894" i="78"/>
  <c r="AB883" i="78"/>
  <c r="AB872" i="78"/>
  <c r="AB854" i="78"/>
  <c r="AB836" i="78"/>
  <c r="AB821" i="78"/>
  <c r="AB816" i="78"/>
  <c r="AB809" i="78"/>
  <c r="AB804" i="78"/>
  <c r="AB797" i="78"/>
  <c r="AB792" i="78"/>
  <c r="AB785" i="78"/>
  <c r="AB780" i="78"/>
  <c r="AB773" i="78"/>
  <c r="AB768" i="78"/>
  <c r="AB761" i="78"/>
  <c r="AB756" i="78"/>
  <c r="AB749" i="78"/>
  <c r="AB744" i="78"/>
  <c r="AB737" i="78"/>
  <c r="AB732" i="78"/>
  <c r="AB725" i="78"/>
  <c r="AB720" i="78"/>
  <c r="AB713" i="78"/>
  <c r="AB708" i="78"/>
  <c r="AB701" i="78"/>
  <c r="AB696" i="78"/>
  <c r="AB689" i="78"/>
  <c r="AB684" i="78"/>
  <c r="AB645" i="78"/>
  <c r="AB564" i="78"/>
  <c r="AB517" i="78"/>
  <c r="AB515" i="78"/>
  <c r="AB508" i="78"/>
  <c r="AB478" i="78"/>
  <c r="AB315" i="78"/>
  <c r="AB678" i="78"/>
  <c r="AB660" i="78"/>
  <c r="AB642" i="78"/>
  <c r="AB624" i="78"/>
  <c r="AB615" i="78"/>
  <c r="AB606" i="78"/>
  <c r="AB597" i="78"/>
  <c r="AB497" i="78"/>
  <c r="AB456" i="78"/>
  <c r="AB454" i="78"/>
  <c r="AB435" i="78"/>
  <c r="AB420" i="78"/>
  <c r="AB409" i="78"/>
  <c r="AB395" i="78"/>
  <c r="AB359" i="78"/>
  <c r="AB324" i="78"/>
  <c r="AB115" i="78"/>
  <c r="AB587" i="78"/>
  <c r="AB562" i="78"/>
  <c r="AB484" i="78"/>
  <c r="AB471" i="78"/>
  <c r="AB392" i="78"/>
  <c r="AB335" i="78"/>
  <c r="AB287" i="78"/>
  <c r="AB666" i="78"/>
  <c r="AB648" i="78"/>
  <c r="AB630" i="78"/>
  <c r="AB618" i="78"/>
  <c r="AB609" i="78"/>
  <c r="AB600" i="78"/>
  <c r="AB583" i="78"/>
  <c r="AB575" i="78"/>
  <c r="AB560" i="78"/>
  <c r="AB558" i="78"/>
  <c r="AB399" i="78"/>
  <c r="AB337" i="78"/>
  <c r="AB306" i="78"/>
  <c r="AB279" i="78"/>
  <c r="AB252" i="78"/>
  <c r="AB177" i="78"/>
  <c r="AB679" i="78"/>
  <c r="AB661" i="78"/>
  <c r="AB643" i="78"/>
  <c r="AB625" i="78"/>
  <c r="AB556" i="78"/>
  <c r="AB533" i="78"/>
  <c r="AB417" i="78"/>
  <c r="AB401" i="78"/>
  <c r="AB370" i="78"/>
  <c r="AB339" i="78"/>
  <c r="AB330" i="78"/>
  <c r="AB249" i="78"/>
  <c r="AB124" i="78"/>
  <c r="AB669" i="78"/>
  <c r="AB651" i="78"/>
  <c r="AB633" i="78"/>
  <c r="AB573" i="78"/>
  <c r="AB511" i="78"/>
  <c r="AB479" i="78"/>
  <c r="AB372" i="78"/>
  <c r="AB341" i="78"/>
  <c r="AB254" i="78"/>
  <c r="AB129" i="78"/>
  <c r="AB622" i="78"/>
  <c r="AB619" i="78"/>
  <c r="AB616" i="78"/>
  <c r="AB613" i="78"/>
  <c r="AB610" i="78"/>
  <c r="AB607" i="78"/>
  <c r="AB604" i="78"/>
  <c r="AB601" i="78"/>
  <c r="AB598" i="78"/>
  <c r="AB571" i="78"/>
  <c r="AB559" i="78"/>
  <c r="AB550" i="78"/>
  <c r="AB548" i="78"/>
  <c r="AB537" i="78"/>
  <c r="AB535" i="78"/>
  <c r="AB526" i="78"/>
  <c r="AB524" i="78"/>
  <c r="AB522" i="78"/>
  <c r="AB509" i="78"/>
  <c r="AB496" i="78"/>
  <c r="AB494" i="78"/>
  <c r="AB483" i="78"/>
  <c r="AB481" i="78"/>
  <c r="AB472" i="78"/>
  <c r="AB470" i="78"/>
  <c r="AB468" i="78"/>
  <c r="AB455" i="78"/>
  <c r="AB442" i="78"/>
  <c r="AB440" i="78"/>
  <c r="AB375" i="78"/>
  <c r="AB373" i="78"/>
  <c r="AB358" i="78"/>
  <c r="AB310" i="78"/>
  <c r="AB288" i="78"/>
  <c r="AB379" i="78"/>
  <c r="AB377" i="78"/>
  <c r="AB312" i="78"/>
  <c r="AB281" i="78"/>
  <c r="AB265" i="78"/>
  <c r="AB245" i="78"/>
  <c r="AB593" i="78"/>
  <c r="AB586" i="78"/>
  <c r="AB581" i="78"/>
  <c r="AB574" i="78"/>
  <c r="AB546" i="78"/>
  <c r="AB520" i="78"/>
  <c r="AB507" i="78"/>
  <c r="AB492" i="78"/>
  <c r="AB466" i="78"/>
  <c r="AB453" i="78"/>
  <c r="AB438" i="78"/>
  <c r="AB406" i="78"/>
  <c r="AB364" i="78"/>
  <c r="AB360" i="78"/>
  <c r="AB347" i="78"/>
  <c r="AB298" i="78"/>
  <c r="AB283" i="78"/>
  <c r="AB267" i="78"/>
  <c r="AB214" i="78"/>
  <c r="AB187" i="78"/>
  <c r="AB123" i="78"/>
  <c r="AB529" i="78"/>
  <c r="AB503" i="78"/>
  <c r="AB475" i="78"/>
  <c r="AB449" i="78"/>
  <c r="AB434" i="78"/>
  <c r="AB432" i="78"/>
  <c r="AB402" i="78"/>
  <c r="AB400" i="78"/>
  <c r="AB383" i="78"/>
  <c r="AB351" i="78"/>
  <c r="AB349" i="78"/>
  <c r="AB327" i="78"/>
  <c r="AB325" i="78"/>
  <c r="AB300" i="78"/>
  <c r="AB294" i="78"/>
  <c r="AB156" i="78"/>
  <c r="AB680" i="78"/>
  <c r="AB677" i="78"/>
  <c r="AB674" i="78"/>
  <c r="AB671" i="78"/>
  <c r="AB668" i="78"/>
  <c r="AB665" i="78"/>
  <c r="AB662" i="78"/>
  <c r="AB659" i="78"/>
  <c r="AB656" i="78"/>
  <c r="AB653" i="78"/>
  <c r="AB650" i="78"/>
  <c r="AB647" i="78"/>
  <c r="AB644" i="78"/>
  <c r="AB641" i="78"/>
  <c r="AB638" i="78"/>
  <c r="AB635" i="78"/>
  <c r="AB632" i="78"/>
  <c r="AB629" i="78"/>
  <c r="AB626" i="78"/>
  <c r="AB623" i="78"/>
  <c r="AB620" i="78"/>
  <c r="AB617" i="78"/>
  <c r="AB614" i="78"/>
  <c r="AB611" i="78"/>
  <c r="AB608" i="78"/>
  <c r="AB605" i="78"/>
  <c r="AB602" i="78"/>
  <c r="AB599" i="78"/>
  <c r="AB596" i="78"/>
  <c r="AB577" i="78"/>
  <c r="AB572" i="78"/>
  <c r="AB553" i="78"/>
  <c r="AB544" i="78"/>
  <c r="AB542" i="78"/>
  <c r="AB540" i="78"/>
  <c r="AB527" i="78"/>
  <c r="AB514" i="78"/>
  <c r="AB512" i="78"/>
  <c r="AB501" i="78"/>
  <c r="AB499" i="78"/>
  <c r="AB490" i="78"/>
  <c r="AB488" i="78"/>
  <c r="AB486" i="78"/>
  <c r="AB473" i="78"/>
  <c r="AB460" i="78"/>
  <c r="AB458" i="78"/>
  <c r="AB447" i="78"/>
  <c r="AB445" i="78"/>
  <c r="AB430" i="78"/>
  <c r="AB410" i="78"/>
  <c r="AB387" i="78"/>
  <c r="AB385" i="78"/>
  <c r="AB366" i="78"/>
  <c r="AB329" i="78"/>
  <c r="AB269" i="78"/>
  <c r="AB247" i="78"/>
  <c r="AB237" i="78"/>
  <c r="AB151" i="78"/>
  <c r="AB323" i="78"/>
  <c r="AB319" i="78"/>
  <c r="AB317" i="78"/>
  <c r="AB313" i="78"/>
  <c r="AB274" i="78"/>
  <c r="AB251" i="78"/>
  <c r="AB232" i="78"/>
  <c r="AB204" i="78"/>
  <c r="AB141" i="78"/>
  <c r="AB102" i="78"/>
  <c r="AB579" i="78"/>
  <c r="AB565" i="78"/>
  <c r="AB554" i="78"/>
  <c r="AB541" i="78"/>
  <c r="AB536" i="78"/>
  <c r="AB523" i="78"/>
  <c r="AB518" i="78"/>
  <c r="AB505" i="78"/>
  <c r="AB500" i="78"/>
  <c r="AB487" i="78"/>
  <c r="AB482" i="78"/>
  <c r="AB469" i="78"/>
  <c r="AB464" i="78"/>
  <c r="AB451" i="78"/>
  <c r="AB446" i="78"/>
  <c r="AB433" i="78"/>
  <c r="AB428" i="78"/>
  <c r="AB414" i="78"/>
  <c r="AB407" i="78"/>
  <c r="AB398" i="78"/>
  <c r="AB391" i="78"/>
  <c r="AB384" i="78"/>
  <c r="AB371" i="78"/>
  <c r="AB354" i="78"/>
  <c r="AB348" i="78"/>
  <c r="AB346" i="78"/>
  <c r="AB303" i="78"/>
  <c r="AB282" i="78"/>
  <c r="AB276" i="78"/>
  <c r="AB262" i="78"/>
  <c r="AB183" i="78"/>
  <c r="AB160" i="78"/>
  <c r="AB97" i="78"/>
  <c r="AB594" i="78"/>
  <c r="AB591" i="78"/>
  <c r="AB588" i="78"/>
  <c r="AB585" i="78"/>
  <c r="AB582" i="78"/>
  <c r="AB568" i="78"/>
  <c r="AB557" i="78"/>
  <c r="AB549" i="78"/>
  <c r="AB531" i="78"/>
  <c r="AB513" i="78"/>
  <c r="AB495" i="78"/>
  <c r="AB477" i="78"/>
  <c r="AB459" i="78"/>
  <c r="AB441" i="78"/>
  <c r="AB423" i="78"/>
  <c r="AB389" i="78"/>
  <c r="AB382" i="78"/>
  <c r="AB367" i="78"/>
  <c r="AB311" i="78"/>
  <c r="AB307" i="78"/>
  <c r="AB305" i="78"/>
  <c r="AB301" i="78"/>
  <c r="AB270" i="78"/>
  <c r="AB264" i="78"/>
  <c r="AB178" i="78"/>
  <c r="AB150" i="78"/>
  <c r="AB436" i="78"/>
  <c r="AB431" i="78"/>
  <c r="AB412" i="78"/>
  <c r="AB365" i="78"/>
  <c r="AB363" i="78"/>
  <c r="AB342" i="78"/>
  <c r="AB336" i="78"/>
  <c r="AB334" i="78"/>
  <c r="AB291" i="78"/>
  <c r="AB552" i="78"/>
  <c r="AB534" i="78"/>
  <c r="AB516" i="78"/>
  <c r="AB498" i="78"/>
  <c r="AB480" i="78"/>
  <c r="AB462" i="78"/>
  <c r="AB444" i="78"/>
  <c r="AB426" i="78"/>
  <c r="AB421" i="78"/>
  <c r="AB403" i="78"/>
  <c r="AB396" i="78"/>
  <c r="AB378" i="78"/>
  <c r="AB376" i="78"/>
  <c r="AB361" i="78"/>
  <c r="AB299" i="78"/>
  <c r="AB295" i="78"/>
  <c r="AB293" i="78"/>
  <c r="AB289" i="78"/>
  <c r="AB241" i="78"/>
  <c r="AB147" i="78"/>
  <c r="AB415" i="78"/>
  <c r="AB404" i="78"/>
  <c r="AB390" i="78"/>
  <c r="AB380" i="78"/>
  <c r="AB368" i="78"/>
  <c r="AB356" i="78"/>
  <c r="AB344" i="78"/>
  <c r="AB332" i="78"/>
  <c r="AB320" i="78"/>
  <c r="AB308" i="78"/>
  <c r="AB296" i="78"/>
  <c r="AB284" i="78"/>
  <c r="AB272" i="78"/>
  <c r="AB260" i="78"/>
  <c r="AB256" i="78"/>
  <c r="AB228" i="78"/>
  <c r="AB222" i="78"/>
  <c r="AB201" i="78"/>
  <c r="AB195" i="78"/>
  <c r="AB174" i="78"/>
  <c r="AB168" i="78"/>
  <c r="AB138" i="78"/>
  <c r="AB132" i="78"/>
  <c r="AB106" i="78"/>
  <c r="AB275" i="78"/>
  <c r="AB263" i="78"/>
  <c r="AB248" i="78"/>
  <c r="AB352" i="78"/>
  <c r="AB340" i="78"/>
  <c r="AB328" i="78"/>
  <c r="AB316" i="78"/>
  <c r="AB304" i="78"/>
  <c r="AB292" i="78"/>
  <c r="AB280" i="78"/>
  <c r="AB268" i="78"/>
  <c r="AB246" i="78"/>
  <c r="AB240" i="78"/>
  <c r="AB219" i="78"/>
  <c r="AB213" i="78"/>
  <c r="AB192" i="78"/>
  <c r="AB186" i="78"/>
  <c r="AB165" i="78"/>
  <c r="AB159" i="78"/>
  <c r="AB142" i="78"/>
  <c r="AB120" i="78"/>
  <c r="AB114" i="78"/>
  <c r="AB419" i="78"/>
  <c r="AB405" i="78"/>
  <c r="AB394" i="78"/>
  <c r="AB381" i="78"/>
  <c r="AB369" i="78"/>
  <c r="AB357" i="78"/>
  <c r="AB345" i="78"/>
  <c r="AB333" i="78"/>
  <c r="AB321" i="78"/>
  <c r="AB309" i="78"/>
  <c r="AB297" i="78"/>
  <c r="AB285" i="78"/>
  <c r="AB273" i="78"/>
  <c r="AB261" i="78"/>
  <c r="AB259" i="78"/>
  <c r="AB422" i="78"/>
  <c r="AB408" i="78"/>
  <c r="AB397" i="78"/>
  <c r="AB386" i="78"/>
  <c r="AB374" i="78"/>
  <c r="AB362" i="78"/>
  <c r="AB350" i="78"/>
  <c r="AB338" i="78"/>
  <c r="AB326" i="78"/>
  <c r="AB314" i="78"/>
  <c r="AB302" i="78"/>
  <c r="AB290" i="78"/>
  <c r="AB278" i="78"/>
  <c r="AB266" i="78"/>
  <c r="AB223" i="78"/>
  <c r="AB196" i="78"/>
  <c r="AB169" i="78"/>
  <c r="AB133" i="78"/>
  <c r="AB111" i="78"/>
  <c r="AB105" i="78"/>
  <c r="AB257" i="78"/>
  <c r="AB244" i="78"/>
  <c r="AB235" i="78"/>
  <c r="AB226" i="78"/>
  <c r="AB217" i="78"/>
  <c r="AB208" i="78"/>
  <c r="AB199" i="78"/>
  <c r="AB190" i="78"/>
  <c r="AB181" i="78"/>
  <c r="AB172" i="78"/>
  <c r="AB163" i="78"/>
  <c r="AB154" i="78"/>
  <c r="AB145" i="78"/>
  <c r="AB136" i="78"/>
  <c r="AB127" i="78"/>
  <c r="AB118" i="78"/>
  <c r="AB109" i="78"/>
  <c r="AB100" i="78"/>
  <c r="AB255" i="78"/>
  <c r="AB258" i="78"/>
  <c r="AB250" i="78"/>
  <c r="AB238" i="78"/>
  <c r="AB229" i="78"/>
  <c r="AB220" i="78"/>
  <c r="AB211" i="78"/>
  <c r="AB202" i="78"/>
  <c r="AB193" i="78"/>
  <c r="AB184" i="78"/>
  <c r="AB175" i="78"/>
  <c r="AB166" i="78"/>
  <c r="AB157" i="78"/>
  <c r="AB148" i="78"/>
  <c r="AB139" i="78"/>
  <c r="AB130" i="78"/>
  <c r="AB121" i="78"/>
  <c r="AB112" i="78"/>
  <c r="AB103" i="78"/>
  <c r="AB94" i="78"/>
  <c r="AB253" i="78"/>
  <c r="AB243" i="78"/>
  <c r="AB234" i="78"/>
  <c r="AB225" i="78"/>
  <c r="AB216" i="78"/>
  <c r="AB207" i="78"/>
  <c r="AB198" i="78"/>
  <c r="AB189" i="78"/>
  <c r="AB180" i="78"/>
  <c r="AB171" i="78"/>
  <c r="AB162" i="78"/>
  <c r="AB153" i="78"/>
  <c r="AB144" i="78"/>
  <c r="AB135" i="78"/>
  <c r="AB126" i="78"/>
  <c r="AB117" i="78"/>
  <c r="AB108" i="78"/>
  <c r="AB99" i="78"/>
  <c r="AB242" i="78"/>
  <c r="AB239" i="78"/>
  <c r="AB236" i="78"/>
  <c r="AB233" i="78"/>
  <c r="AB230" i="78"/>
  <c r="AB227" i="78"/>
  <c r="AB224" i="78"/>
  <c r="AB221" i="78"/>
  <c r="AB218" i="78"/>
  <c r="AB215" i="78"/>
  <c r="AB212" i="78"/>
  <c r="AB209" i="78"/>
  <c r="AB206" i="78"/>
  <c r="AB203" i="78"/>
  <c r="AB200" i="78"/>
  <c r="AB197" i="78"/>
  <c r="AB194" i="78"/>
  <c r="AB191" i="78"/>
  <c r="AB188" i="78"/>
  <c r="AB185" i="78"/>
  <c r="AB182" i="78"/>
  <c r="AB179" i="78"/>
  <c r="AB176" i="78"/>
  <c r="AB173" i="78"/>
  <c r="AB170" i="78"/>
  <c r="AB167" i="78"/>
  <c r="AB164" i="78"/>
  <c r="AB161" i="78"/>
  <c r="AB158" i="78"/>
  <c r="AB155" i="78"/>
  <c r="AB152" i="78"/>
  <c r="AB149" i="78"/>
  <c r="AB146" i="78"/>
  <c r="AB143" i="78"/>
  <c r="AB140" i="78"/>
  <c r="AB137" i="78"/>
  <c r="AB134" i="78"/>
  <c r="AB131" i="78"/>
  <c r="AB128" i="78"/>
  <c r="AB125" i="78"/>
  <c r="AB122" i="78"/>
  <c r="AB119" i="78"/>
  <c r="AB116" i="78"/>
  <c r="AB113" i="78"/>
  <c r="AB110" i="78"/>
  <c r="AB107" i="78"/>
  <c r="AB104" i="78"/>
  <c r="AB101" i="78"/>
  <c r="AB98" i="78"/>
  <c r="AB95" i="78"/>
  <c r="AB92" i="78"/>
  <c r="AH1295" i="78"/>
  <c r="AH886" i="78"/>
  <c r="AH1049" i="78"/>
  <c r="AH1001" i="78"/>
  <c r="AH1271" i="78"/>
  <c r="AH926" i="78"/>
  <c r="AH1307" i="78"/>
  <c r="AH1264" i="78"/>
  <c r="AH916" i="78"/>
  <c r="AH1289" i="78"/>
  <c r="AH907" i="78"/>
  <c r="AH1229" i="78"/>
  <c r="AH1199" i="78"/>
  <c r="AH600" i="78"/>
  <c r="AH953" i="78"/>
  <c r="AH893" i="78"/>
  <c r="AH869" i="78"/>
  <c r="AH996" i="78"/>
  <c r="AH1074" i="78"/>
  <c r="AH1096" i="78"/>
  <c r="AH938" i="78"/>
  <c r="AH642" i="78"/>
  <c r="AH895" i="78"/>
  <c r="AH624" i="78"/>
  <c r="AH978" i="78"/>
  <c r="AH881" i="78"/>
  <c r="AH369" i="78"/>
  <c r="AH749" i="78"/>
  <c r="AH653" i="78"/>
  <c r="AH546" i="78"/>
  <c r="AH553" i="78"/>
  <c r="AH627" i="78"/>
  <c r="AH469" i="78"/>
  <c r="AH522" i="78"/>
  <c r="AH127" i="78"/>
  <c r="AH654" i="78"/>
  <c r="AH621" i="78"/>
  <c r="AH614" i="78"/>
  <c r="AH517" i="78"/>
  <c r="AH286" i="78"/>
  <c r="AH103" i="78"/>
  <c r="AH100" i="78"/>
  <c r="AH486" i="78"/>
  <c r="AH447" i="78"/>
  <c r="AH178" i="78"/>
  <c r="AH259" i="78"/>
  <c r="F1312" i="78"/>
  <c r="F1311" i="78"/>
  <c r="F1308" i="78"/>
  <c r="F1310" i="78"/>
  <c r="F1309" i="78"/>
  <c r="F1304" i="78"/>
  <c r="F1307" i="78"/>
  <c r="F1305" i="78"/>
  <c r="F1306" i="78"/>
  <c r="F1303" i="78"/>
  <c r="F1302" i="78"/>
  <c r="F1300" i="78"/>
  <c r="F1301" i="78"/>
  <c r="F1299" i="78"/>
  <c r="F1296" i="78"/>
  <c r="F1297" i="78"/>
  <c r="F1298" i="78"/>
  <c r="F1289" i="78"/>
  <c r="F1290" i="78"/>
  <c r="F1291" i="78"/>
  <c r="F1288" i="78"/>
  <c r="F1292" i="78"/>
  <c r="F1293" i="78"/>
  <c r="F1295" i="78"/>
  <c r="F1294" i="78"/>
  <c r="F264" i="78"/>
  <c r="F316" i="78"/>
  <c r="F286" i="78"/>
  <c r="F381" i="78"/>
  <c r="F384" i="78"/>
  <c r="F254" i="78"/>
  <c r="F275" i="78"/>
  <c r="F280" i="78"/>
  <c r="F285" i="78"/>
  <c r="F347" i="78"/>
  <c r="F351" i="78"/>
  <c r="F375" i="78"/>
  <c r="F876" i="78"/>
  <c r="F298" i="78"/>
  <c r="F688" i="78"/>
  <c r="F399" i="78"/>
  <c r="F257" i="78"/>
  <c r="F305" i="78"/>
  <c r="F274" i="78"/>
  <c r="F279" i="78"/>
  <c r="F284" i="78"/>
  <c r="F297" i="78"/>
  <c r="F302" i="78"/>
  <c r="F315" i="78"/>
  <c r="F320" i="78"/>
  <c r="F333" i="78"/>
  <c r="F353" i="78"/>
  <c r="F357" i="78"/>
  <c r="F417" i="78"/>
  <c r="F447" i="78"/>
  <c r="F489" i="78"/>
  <c r="F303" i="78"/>
  <c r="F345" i="78"/>
  <c r="F256" i="78"/>
  <c r="F310" i="78"/>
  <c r="F340" i="78"/>
  <c r="F512" i="78"/>
  <c r="F857" i="78"/>
  <c r="F263" i="78"/>
  <c r="F329" i="78"/>
  <c r="F341" i="78"/>
  <c r="F258" i="78"/>
  <c r="F252" i="78"/>
  <c r="F328" i="78"/>
  <c r="F273" i="78"/>
  <c r="F278" i="78"/>
  <c r="F359" i="78"/>
  <c r="F363" i="78"/>
  <c r="F369" i="78"/>
  <c r="F371" i="78"/>
  <c r="F261" i="78"/>
  <c r="F471" i="78"/>
  <c r="F521" i="78"/>
  <c r="F299" i="78"/>
  <c r="F304" i="78"/>
  <c r="F317" i="78"/>
  <c r="F322" i="78"/>
  <c r="F335" i="78"/>
  <c r="F346" i="78"/>
  <c r="F334" i="78"/>
  <c r="F260" i="78"/>
  <c r="F281" i="78"/>
  <c r="F326" i="78"/>
  <c r="F441" i="78"/>
  <c r="F255" i="78"/>
  <c r="F250" i="78"/>
  <c r="F292" i="78"/>
  <c r="F272" i="78"/>
  <c r="F291" i="78"/>
  <c r="F296" i="78"/>
  <c r="F309" i="78"/>
  <c r="F314" i="78"/>
  <c r="F327" i="78"/>
  <c r="F332" i="78"/>
  <c r="F389" i="78"/>
  <c r="F393" i="78"/>
  <c r="F423" i="78"/>
  <c r="F465" i="78"/>
  <c r="F735" i="78"/>
  <c r="F265" i="78"/>
  <c r="F358" i="78"/>
  <c r="F308" i="78"/>
  <c r="F321" i="78"/>
  <c r="F504" i="78"/>
  <c r="F259" i="78"/>
  <c r="F251" i="78"/>
  <c r="F267" i="78"/>
  <c r="F268" i="78"/>
  <c r="F269" i="78"/>
  <c r="F270" i="78"/>
  <c r="F271" i="78"/>
  <c r="F352" i="78"/>
  <c r="F503" i="78"/>
  <c r="F262" i="78"/>
  <c r="F293" i="78"/>
  <c r="F311" i="78"/>
  <c r="F290" i="78"/>
  <c r="F253" i="78"/>
  <c r="F323" i="78"/>
  <c r="F681" i="78"/>
  <c r="F266" i="78"/>
  <c r="F287" i="78"/>
  <c r="F339" i="78"/>
  <c r="F509" i="78"/>
  <c r="F364" i="78"/>
  <c r="F365" i="78"/>
  <c r="F366" i="78"/>
  <c r="F370" i="78"/>
  <c r="F387" i="78"/>
  <c r="F494" i="78"/>
  <c r="F276" i="78"/>
  <c r="F282" i="78"/>
  <c r="F288" i="78"/>
  <c r="F294" i="78"/>
  <c r="F300" i="78"/>
  <c r="F306" i="78"/>
  <c r="F312" i="78"/>
  <c r="F318" i="78"/>
  <c r="F324" i="78"/>
  <c r="F330" i="78"/>
  <c r="F336" i="78"/>
  <c r="F342" i="78"/>
  <c r="F348" i="78"/>
  <c r="F354" i="78"/>
  <c r="F360" i="78"/>
  <c r="F411" i="78"/>
  <c r="F435" i="78"/>
  <c r="F459" i="78"/>
  <c r="F483" i="78"/>
  <c r="F495" i="78"/>
  <c r="F498" i="78"/>
  <c r="F640" i="78"/>
  <c r="F682" i="78"/>
  <c r="F747" i="78"/>
  <c r="F378" i="78"/>
  <c r="F536" i="78"/>
  <c r="F661" i="78"/>
  <c r="F277" i="78"/>
  <c r="F283" i="78"/>
  <c r="F289" i="78"/>
  <c r="F295" i="78"/>
  <c r="F301" i="78"/>
  <c r="F307" i="78"/>
  <c r="F313" i="78"/>
  <c r="F319" i="78"/>
  <c r="F325" i="78"/>
  <c r="F331" i="78"/>
  <c r="F337" i="78"/>
  <c r="F343" i="78"/>
  <c r="F349" i="78"/>
  <c r="F355" i="78"/>
  <c r="F361" i="78"/>
  <c r="F383" i="78"/>
  <c r="F560" i="78"/>
  <c r="F669" i="78"/>
  <c r="F405" i="78"/>
  <c r="F429" i="78"/>
  <c r="F453" i="78"/>
  <c r="F477" i="78"/>
  <c r="F508" i="78"/>
  <c r="F584" i="78"/>
  <c r="F608" i="78"/>
  <c r="F338" i="78"/>
  <c r="F344" i="78"/>
  <c r="F350" i="78"/>
  <c r="F356" i="78"/>
  <c r="F362" i="78"/>
  <c r="F372" i="78"/>
  <c r="F377" i="78"/>
  <c r="F664" i="78"/>
  <c r="F376" i="78"/>
  <c r="F382" i="78"/>
  <c r="F388" i="78"/>
  <c r="F394" i="78"/>
  <c r="F400" i="78"/>
  <c r="F406" i="78"/>
  <c r="F412" i="78"/>
  <c r="F418" i="78"/>
  <c r="F424" i="78"/>
  <c r="F430" i="78"/>
  <c r="F436" i="78"/>
  <c r="F442" i="78"/>
  <c r="F448" i="78"/>
  <c r="F454" i="78"/>
  <c r="F460" i="78"/>
  <c r="F466" i="78"/>
  <c r="F472" i="78"/>
  <c r="F478" i="78"/>
  <c r="F484" i="78"/>
  <c r="F490" i="78"/>
  <c r="F492" i="78"/>
  <c r="F516" i="78"/>
  <c r="F395" i="78"/>
  <c r="F401" i="78"/>
  <c r="F407" i="78"/>
  <c r="F413" i="78"/>
  <c r="F419" i="78"/>
  <c r="F425" i="78"/>
  <c r="F431" i="78"/>
  <c r="F437" i="78"/>
  <c r="F443" i="78"/>
  <c r="F449" i="78"/>
  <c r="F455" i="78"/>
  <c r="F461" i="78"/>
  <c r="F467" i="78"/>
  <c r="F473" i="78"/>
  <c r="F479" i="78"/>
  <c r="F485" i="78"/>
  <c r="F491" i="78"/>
  <c r="F530" i="78"/>
  <c r="F554" i="78"/>
  <c r="F578" i="78"/>
  <c r="F602" i="78"/>
  <c r="F651" i="78"/>
  <c r="F695" i="78"/>
  <c r="F507" i="78"/>
  <c r="F518" i="78"/>
  <c r="F632" i="78"/>
  <c r="F641" i="78"/>
  <c r="F700" i="78"/>
  <c r="F705" i="78"/>
  <c r="F390" i="78"/>
  <c r="F396" i="78"/>
  <c r="F402" i="78"/>
  <c r="F408" i="78"/>
  <c r="F414" i="78"/>
  <c r="F420" i="78"/>
  <c r="F426" i="78"/>
  <c r="F432" i="78"/>
  <c r="F438" i="78"/>
  <c r="F444" i="78"/>
  <c r="F450" i="78"/>
  <c r="F456" i="78"/>
  <c r="F462" i="78"/>
  <c r="F468" i="78"/>
  <c r="F474" i="78"/>
  <c r="F480" i="78"/>
  <c r="F486" i="78"/>
  <c r="F497" i="78"/>
  <c r="F502" i="78"/>
  <c r="F506" i="78"/>
  <c r="F515" i="78"/>
  <c r="F645" i="78"/>
  <c r="F773" i="78"/>
  <c r="F829" i="78"/>
  <c r="F846" i="78"/>
  <c r="F524" i="78"/>
  <c r="F548" i="78"/>
  <c r="F572" i="78"/>
  <c r="F596" i="78"/>
  <c r="F649" i="78"/>
  <c r="F659" i="78"/>
  <c r="F675" i="78"/>
  <c r="F367" i="78"/>
  <c r="F373" i="78"/>
  <c r="F379" i="78"/>
  <c r="F385" i="78"/>
  <c r="F391" i="78"/>
  <c r="F397" i="78"/>
  <c r="F403" i="78"/>
  <c r="F409" i="78"/>
  <c r="F415" i="78"/>
  <c r="F421" i="78"/>
  <c r="F427" i="78"/>
  <c r="F433" i="78"/>
  <c r="F439" i="78"/>
  <c r="F445" i="78"/>
  <c r="F451" i="78"/>
  <c r="F457" i="78"/>
  <c r="F463" i="78"/>
  <c r="F469" i="78"/>
  <c r="F475" i="78"/>
  <c r="F481" i="78"/>
  <c r="F487" i="78"/>
  <c r="F501" i="78"/>
  <c r="F652" i="78"/>
  <c r="F663" i="78"/>
  <c r="F496" i="78"/>
  <c r="F500" i="78"/>
  <c r="F510" i="78"/>
  <c r="F514" i="78"/>
  <c r="F368" i="78"/>
  <c r="F374" i="78"/>
  <c r="F380" i="78"/>
  <c r="F386" i="78"/>
  <c r="F392" i="78"/>
  <c r="F398" i="78"/>
  <c r="F404" i="78"/>
  <c r="F410" i="78"/>
  <c r="F416" i="78"/>
  <c r="F422" i="78"/>
  <c r="F428" i="78"/>
  <c r="F434" i="78"/>
  <c r="F440" i="78"/>
  <c r="F446" i="78"/>
  <c r="F452" i="78"/>
  <c r="F458" i="78"/>
  <c r="F464" i="78"/>
  <c r="F470" i="78"/>
  <c r="F476" i="78"/>
  <c r="F482" i="78"/>
  <c r="F488" i="78"/>
  <c r="F542" i="78"/>
  <c r="F566" i="78"/>
  <c r="F590" i="78"/>
  <c r="F693" i="78"/>
  <c r="F707" i="78"/>
  <c r="F513" i="78"/>
  <c r="F519" i="78"/>
  <c r="F525" i="78"/>
  <c r="F531" i="78"/>
  <c r="F537" i="78"/>
  <c r="F543" i="78"/>
  <c r="F549" i="78"/>
  <c r="F555" i="78"/>
  <c r="F561" i="78"/>
  <c r="F567" i="78"/>
  <c r="F573" i="78"/>
  <c r="F579" i="78"/>
  <c r="F585" i="78"/>
  <c r="F591" i="78"/>
  <c r="F597" i="78"/>
  <c r="F603" i="78"/>
  <c r="F633" i="78"/>
  <c r="F634" i="78"/>
  <c r="F635" i="78"/>
  <c r="F655" i="78"/>
  <c r="F671" i="78"/>
  <c r="F798" i="78"/>
  <c r="F809" i="78"/>
  <c r="F520" i="78"/>
  <c r="F526" i="78"/>
  <c r="F532" i="78"/>
  <c r="F538" i="78"/>
  <c r="F544" i="78"/>
  <c r="F550" i="78"/>
  <c r="F556" i="78"/>
  <c r="F562" i="78"/>
  <c r="F568" i="78"/>
  <c r="F574" i="78"/>
  <c r="F580" i="78"/>
  <c r="F586" i="78"/>
  <c r="F592" i="78"/>
  <c r="F598" i="78"/>
  <c r="F604" i="78"/>
  <c r="F627" i="78"/>
  <c r="F628" i="78"/>
  <c r="F629" i="78"/>
  <c r="F630" i="78"/>
  <c r="F631" i="78"/>
  <c r="F639" i="78"/>
  <c r="F658" i="78"/>
  <c r="F677" i="78"/>
  <c r="F789" i="78"/>
  <c r="F626" i="78"/>
  <c r="F687" i="78"/>
  <c r="F712" i="78"/>
  <c r="F780" i="78"/>
  <c r="F527" i="78"/>
  <c r="F533" i="78"/>
  <c r="F539" i="78"/>
  <c r="F545" i="78"/>
  <c r="F551" i="78"/>
  <c r="F557" i="78"/>
  <c r="F563" i="78"/>
  <c r="F569" i="78"/>
  <c r="F575" i="78"/>
  <c r="F581" i="78"/>
  <c r="F587" i="78"/>
  <c r="F593" i="78"/>
  <c r="F599" i="78"/>
  <c r="F605" i="78"/>
  <c r="F621" i="78"/>
  <c r="F622" i="78"/>
  <c r="F623" i="78"/>
  <c r="F624" i="78"/>
  <c r="F625" i="78"/>
  <c r="F657" i="78"/>
  <c r="F683" i="78"/>
  <c r="F689" i="78"/>
  <c r="F733" i="78"/>
  <c r="F742" i="78"/>
  <c r="F785" i="78"/>
  <c r="F620" i="78"/>
  <c r="F647" i="78"/>
  <c r="F670" i="78"/>
  <c r="F816" i="78"/>
  <c r="F952" i="78"/>
  <c r="F1037" i="78"/>
  <c r="F522" i="78"/>
  <c r="F528" i="78"/>
  <c r="F534" i="78"/>
  <c r="F540" i="78"/>
  <c r="F546" i="78"/>
  <c r="F552" i="78"/>
  <c r="F558" i="78"/>
  <c r="F564" i="78"/>
  <c r="F570" i="78"/>
  <c r="F576" i="78"/>
  <c r="F582" i="78"/>
  <c r="F588" i="78"/>
  <c r="F594" i="78"/>
  <c r="F600" i="78"/>
  <c r="F606" i="78"/>
  <c r="F615" i="78"/>
  <c r="F616" i="78"/>
  <c r="F617" i="78"/>
  <c r="F618" i="78"/>
  <c r="F619" i="78"/>
  <c r="F643" i="78"/>
  <c r="F665" i="78"/>
  <c r="F694" i="78"/>
  <c r="F699" i="78"/>
  <c r="F701" i="78"/>
  <c r="F614" i="78"/>
  <c r="F667" i="78"/>
  <c r="F676" i="78"/>
  <c r="F493" i="78"/>
  <c r="F499" i="78"/>
  <c r="F505" i="78"/>
  <c r="F511" i="78"/>
  <c r="F517" i="78"/>
  <c r="F523" i="78"/>
  <c r="F529" i="78"/>
  <c r="F535" i="78"/>
  <c r="F541" i="78"/>
  <c r="F547" i="78"/>
  <c r="F553" i="78"/>
  <c r="F559" i="78"/>
  <c r="F565" i="78"/>
  <c r="F571" i="78"/>
  <c r="F577" i="78"/>
  <c r="F583" i="78"/>
  <c r="F589" i="78"/>
  <c r="F595" i="78"/>
  <c r="F601" i="78"/>
  <c r="F607" i="78"/>
  <c r="F609" i="78"/>
  <c r="F610" i="78"/>
  <c r="F611" i="78"/>
  <c r="F612" i="78"/>
  <c r="F613" i="78"/>
  <c r="F637" i="78"/>
  <c r="F646" i="78"/>
  <c r="F653" i="78"/>
  <c r="F706" i="78"/>
  <c r="F711" i="78"/>
  <c r="F713" i="78"/>
  <c r="F734" i="78"/>
  <c r="F839" i="78"/>
  <c r="F741" i="78"/>
  <c r="F746" i="78"/>
  <c r="F767" i="78"/>
  <c r="F769" i="78"/>
  <c r="F819" i="78"/>
  <c r="F837" i="78"/>
  <c r="F958" i="78"/>
  <c r="F732" i="78"/>
  <c r="F740" i="78"/>
  <c r="F774" i="78"/>
  <c r="F799" i="78"/>
  <c r="F847" i="78"/>
  <c r="F636" i="78"/>
  <c r="F642" i="78"/>
  <c r="F648" i="78"/>
  <c r="F654" i="78"/>
  <c r="F660" i="78"/>
  <c r="F666" i="78"/>
  <c r="F672" i="78"/>
  <c r="F678" i="78"/>
  <c r="F684" i="78"/>
  <c r="F690" i="78"/>
  <c r="F696" i="78"/>
  <c r="F702" i="78"/>
  <c r="F708" i="78"/>
  <c r="F714" i="78"/>
  <c r="F730" i="78"/>
  <c r="F731" i="78"/>
  <c r="F745" i="78"/>
  <c r="F779" i="78"/>
  <c r="F907" i="78"/>
  <c r="F728" i="78"/>
  <c r="F729" i="78"/>
  <c r="F739" i="78"/>
  <c r="F822" i="78"/>
  <c r="F840" i="78"/>
  <c r="F871" i="78"/>
  <c r="F916" i="78"/>
  <c r="F922" i="78"/>
  <c r="F673" i="78"/>
  <c r="F679" i="78"/>
  <c r="F685" i="78"/>
  <c r="F691" i="78"/>
  <c r="F697" i="78"/>
  <c r="F703" i="78"/>
  <c r="F709" i="78"/>
  <c r="F715" i="78"/>
  <c r="F724" i="78"/>
  <c r="F725" i="78"/>
  <c r="F726" i="78"/>
  <c r="F727" i="78"/>
  <c r="F738" i="78"/>
  <c r="F744" i="78"/>
  <c r="F748" i="78"/>
  <c r="F795" i="78"/>
  <c r="F815" i="78"/>
  <c r="F833" i="78"/>
  <c r="F881" i="78"/>
  <c r="F902" i="78"/>
  <c r="F722" i="78"/>
  <c r="F723" i="78"/>
  <c r="F737" i="78"/>
  <c r="F768" i="78"/>
  <c r="F813" i="78"/>
  <c r="F843" i="78"/>
  <c r="F1043" i="78"/>
  <c r="F1054" i="78"/>
  <c r="F638" i="78"/>
  <c r="F644" i="78"/>
  <c r="F650" i="78"/>
  <c r="F656" i="78"/>
  <c r="F662" i="78"/>
  <c r="F668" i="78"/>
  <c r="F674" i="78"/>
  <c r="F680" i="78"/>
  <c r="F686" i="78"/>
  <c r="F692" i="78"/>
  <c r="F698" i="78"/>
  <c r="F704" i="78"/>
  <c r="F710" i="78"/>
  <c r="F716" i="78"/>
  <c r="F718" i="78"/>
  <c r="F719" i="78"/>
  <c r="F720" i="78"/>
  <c r="F721" i="78"/>
  <c r="F736" i="78"/>
  <c r="F775" i="78"/>
  <c r="F805" i="78"/>
  <c r="F853" i="78"/>
  <c r="F1130" i="78"/>
  <c r="F717" i="78"/>
  <c r="F743" i="78"/>
  <c r="F823" i="78"/>
  <c r="F865" i="78"/>
  <c r="F904" i="78"/>
  <c r="F919" i="78"/>
  <c r="F870" i="78"/>
  <c r="F875" i="78"/>
  <c r="F892" i="78"/>
  <c r="F897" i="78"/>
  <c r="F933" i="78"/>
  <c r="F766" i="78"/>
  <c r="F783" i="78"/>
  <c r="F801" i="78"/>
  <c r="F825" i="78"/>
  <c r="F849" i="78"/>
  <c r="F914" i="78"/>
  <c r="F761" i="78"/>
  <c r="F762" i="78"/>
  <c r="F763" i="78"/>
  <c r="F764" i="78"/>
  <c r="F765" i="78"/>
  <c r="F793" i="78"/>
  <c r="F797" i="78"/>
  <c r="F821" i="78"/>
  <c r="F845" i="78"/>
  <c r="F859" i="78"/>
  <c r="F883" i="78"/>
  <c r="F927" i="78"/>
  <c r="F960" i="78"/>
  <c r="F760" i="78"/>
  <c r="F777" i="78"/>
  <c r="F804" i="78"/>
  <c r="F811" i="78"/>
  <c r="F828" i="78"/>
  <c r="F835" i="78"/>
  <c r="F852" i="78"/>
  <c r="F864" i="78"/>
  <c r="F869" i="78"/>
  <c r="F934" i="78"/>
  <c r="F1033" i="78"/>
  <c r="F1068" i="78"/>
  <c r="F755" i="78"/>
  <c r="F756" i="78"/>
  <c r="F757" i="78"/>
  <c r="F758" i="78"/>
  <c r="F759" i="78"/>
  <c r="F787" i="78"/>
  <c r="F792" i="78"/>
  <c r="F807" i="78"/>
  <c r="F831" i="78"/>
  <c r="F855" i="78"/>
  <c r="F903" i="78"/>
  <c r="F990" i="78"/>
  <c r="F754" i="78"/>
  <c r="F771" i="78"/>
  <c r="F791" i="78"/>
  <c r="F803" i="78"/>
  <c r="F827" i="78"/>
  <c r="F851" i="78"/>
  <c r="F877" i="78"/>
  <c r="F898" i="78"/>
  <c r="F921" i="78"/>
  <c r="F749" i="78"/>
  <c r="F750" i="78"/>
  <c r="F751" i="78"/>
  <c r="F752" i="78"/>
  <c r="F753" i="78"/>
  <c r="F781" i="78"/>
  <c r="F786" i="78"/>
  <c r="F810" i="78"/>
  <c r="F817" i="78"/>
  <c r="F834" i="78"/>
  <c r="F841" i="78"/>
  <c r="F858" i="78"/>
  <c r="F863" i="78"/>
  <c r="F882" i="78"/>
  <c r="F1097" i="78"/>
  <c r="F1169" i="78"/>
  <c r="F910" i="78"/>
  <c r="F913" i="78"/>
  <c r="F978" i="78"/>
  <c r="F982" i="78"/>
  <c r="F1007" i="78"/>
  <c r="F770" i="78"/>
  <c r="F776" i="78"/>
  <c r="F782" i="78"/>
  <c r="F788" i="78"/>
  <c r="F794" i="78"/>
  <c r="F800" i="78"/>
  <c r="F806" i="78"/>
  <c r="F812" i="78"/>
  <c r="F818" i="78"/>
  <c r="F824" i="78"/>
  <c r="F830" i="78"/>
  <c r="F836" i="78"/>
  <c r="F842" i="78"/>
  <c r="F848" i="78"/>
  <c r="F854" i="78"/>
  <c r="F860" i="78"/>
  <c r="F866" i="78"/>
  <c r="F872" i="78"/>
  <c r="F878" i="78"/>
  <c r="F884" i="78"/>
  <c r="F886" i="78"/>
  <c r="F891" i="78"/>
  <c r="F896" i="78"/>
  <c r="F901" i="78"/>
  <c r="F909" i="78"/>
  <c r="F953" i="78"/>
  <c r="F885" i="78"/>
  <c r="F964" i="78"/>
  <c r="F970" i="78"/>
  <c r="F1046" i="78"/>
  <c r="F861" i="78"/>
  <c r="F867" i="78"/>
  <c r="F873" i="78"/>
  <c r="F879" i="78"/>
  <c r="F890" i="78"/>
  <c r="F895" i="78"/>
  <c r="F915" i="78"/>
  <c r="F1064" i="78"/>
  <c r="F908" i="78"/>
  <c r="F959" i="78"/>
  <c r="F984" i="78"/>
  <c r="F988" i="78"/>
  <c r="F772" i="78"/>
  <c r="F778" i="78"/>
  <c r="F784" i="78"/>
  <c r="F790" i="78"/>
  <c r="F796" i="78"/>
  <c r="F802" i="78"/>
  <c r="F808" i="78"/>
  <c r="F814" i="78"/>
  <c r="F820" i="78"/>
  <c r="F826" i="78"/>
  <c r="F832" i="78"/>
  <c r="F838" i="78"/>
  <c r="F844" i="78"/>
  <c r="F850" i="78"/>
  <c r="F856" i="78"/>
  <c r="F862" i="78"/>
  <c r="F868" i="78"/>
  <c r="F874" i="78"/>
  <c r="F880" i="78"/>
  <c r="F889" i="78"/>
  <c r="F928" i="78"/>
  <c r="F954" i="78"/>
  <c r="F925" i="78"/>
  <c r="F1126" i="78"/>
  <c r="F887" i="78"/>
  <c r="F893" i="78"/>
  <c r="F899" i="78"/>
  <c r="F905" i="78"/>
  <c r="F911" i="78"/>
  <c r="F917" i="78"/>
  <c r="F923" i="78"/>
  <c r="F929" i="78"/>
  <c r="F935" i="78"/>
  <c r="F950" i="78"/>
  <c r="F951" i="78"/>
  <c r="F1115" i="78"/>
  <c r="F946" i="78"/>
  <c r="F947" i="78"/>
  <c r="F948" i="78"/>
  <c r="F949" i="78"/>
  <c r="F962" i="78"/>
  <c r="F999" i="78"/>
  <c r="F1041" i="78"/>
  <c r="F1127" i="78"/>
  <c r="F888" i="78"/>
  <c r="F894" i="78"/>
  <c r="F900" i="78"/>
  <c r="F906" i="78"/>
  <c r="F912" i="78"/>
  <c r="F918" i="78"/>
  <c r="F924" i="78"/>
  <c r="F930" i="78"/>
  <c r="F936" i="78"/>
  <c r="F944" i="78"/>
  <c r="F945" i="78"/>
  <c r="F972" i="78"/>
  <c r="F1011" i="78"/>
  <c r="F1073" i="78"/>
  <c r="F1122" i="78"/>
  <c r="F1156" i="78"/>
  <c r="F940" i="78"/>
  <c r="F941" i="78"/>
  <c r="F942" i="78"/>
  <c r="F943" i="78"/>
  <c r="F956" i="78"/>
  <c r="F966" i="78"/>
  <c r="F977" i="78"/>
  <c r="F931" i="78"/>
  <c r="F937" i="78"/>
  <c r="F938" i="78"/>
  <c r="F939" i="78"/>
  <c r="F981" i="78"/>
  <c r="F987" i="78"/>
  <c r="F1035" i="78"/>
  <c r="F1039" i="78"/>
  <c r="F1055" i="78"/>
  <c r="F1063" i="78"/>
  <c r="F1078" i="78"/>
  <c r="F983" i="78"/>
  <c r="F989" i="78"/>
  <c r="F1025" i="78"/>
  <c r="F1045" i="78"/>
  <c r="F920" i="78"/>
  <c r="F926" i="78"/>
  <c r="F932" i="78"/>
  <c r="F965" i="78"/>
  <c r="F971" i="78"/>
  <c r="F976" i="78"/>
  <c r="F955" i="78"/>
  <c r="F961" i="78"/>
  <c r="F967" i="78"/>
  <c r="F973" i="78"/>
  <c r="F1002" i="78"/>
  <c r="F1060" i="78"/>
  <c r="F1101" i="78"/>
  <c r="F1104" i="78"/>
  <c r="F1165" i="78"/>
  <c r="F1006" i="78"/>
  <c r="F1038" i="78"/>
  <c r="F1069" i="78"/>
  <c r="F968" i="78"/>
  <c r="F974" i="78"/>
  <c r="F996" i="78"/>
  <c r="F1013" i="78"/>
  <c r="F1040" i="78"/>
  <c r="F1001" i="78"/>
  <c r="F1005" i="78"/>
  <c r="F1032" i="78"/>
  <c r="F1034" i="78"/>
  <c r="F1036" i="78"/>
  <c r="F1074" i="78"/>
  <c r="F957" i="78"/>
  <c r="F963" i="78"/>
  <c r="F969" i="78"/>
  <c r="F975" i="78"/>
  <c r="F995" i="78"/>
  <c r="F1042" i="78"/>
  <c r="F1044" i="78"/>
  <c r="F1058" i="78"/>
  <c r="F1084" i="78"/>
  <c r="F1113" i="78"/>
  <c r="F1129" i="78"/>
  <c r="F1266" i="78"/>
  <c r="F993" i="78"/>
  <c r="F994" i="78"/>
  <c r="F1000" i="78"/>
  <c r="F1012" i="78"/>
  <c r="F1087" i="78"/>
  <c r="F1099" i="78"/>
  <c r="F1106" i="78"/>
  <c r="F1209" i="78"/>
  <c r="F1161" i="78"/>
  <c r="F1177" i="78"/>
  <c r="F1031" i="78"/>
  <c r="F1052" i="78"/>
  <c r="F1072" i="78"/>
  <c r="F1083" i="78"/>
  <c r="F1086" i="78"/>
  <c r="F1100" i="78"/>
  <c r="F1148" i="78"/>
  <c r="F1008" i="78"/>
  <c r="F1014" i="78"/>
  <c r="F1026" i="78"/>
  <c r="F1027" i="78"/>
  <c r="F1028" i="78"/>
  <c r="F1029" i="78"/>
  <c r="F1030" i="78"/>
  <c r="F1051" i="78"/>
  <c r="F1062" i="78"/>
  <c r="F1067" i="78"/>
  <c r="F1133" i="78"/>
  <c r="F1145" i="78"/>
  <c r="F1158" i="78"/>
  <c r="F1179" i="78"/>
  <c r="F1050" i="78"/>
  <c r="F1057" i="78"/>
  <c r="F1076" i="78"/>
  <c r="F1225" i="78"/>
  <c r="F1236" i="78"/>
  <c r="F979" i="78"/>
  <c r="F985" i="78"/>
  <c r="F991" i="78"/>
  <c r="F997" i="78"/>
  <c r="F1003" i="78"/>
  <c r="F1009" i="78"/>
  <c r="F1015" i="78"/>
  <c r="F1020" i="78"/>
  <c r="F1021" i="78"/>
  <c r="F1022" i="78"/>
  <c r="F1023" i="78"/>
  <c r="F1024" i="78"/>
  <c r="F1066" i="78"/>
  <c r="F1079" i="78"/>
  <c r="F1082" i="78"/>
  <c r="F1088" i="78"/>
  <c r="F1116" i="78"/>
  <c r="F1149" i="78"/>
  <c r="F1159" i="78"/>
  <c r="F1019" i="78"/>
  <c r="F1049" i="78"/>
  <c r="F1056" i="78"/>
  <c r="F1061" i="78"/>
  <c r="F1107" i="78"/>
  <c r="F1171" i="78"/>
  <c r="F1278" i="78"/>
  <c r="F980" i="78"/>
  <c r="F986" i="78"/>
  <c r="F992" i="78"/>
  <c r="F998" i="78"/>
  <c r="F1004" i="78"/>
  <c r="F1010" i="78"/>
  <c r="F1016" i="78"/>
  <c r="F1017" i="78"/>
  <c r="F1018" i="78"/>
  <c r="F1048" i="78"/>
  <c r="F1070" i="78"/>
  <c r="F1075" i="78"/>
  <c r="F1103" i="78"/>
  <c r="F1167" i="78"/>
  <c r="F1191" i="78"/>
  <c r="F1238" i="78"/>
  <c r="F1085" i="78"/>
  <c r="F1121" i="78"/>
  <c r="F1151" i="78"/>
  <c r="F1193" i="78"/>
  <c r="F1196" i="78"/>
  <c r="F1212" i="78"/>
  <c r="F1219" i="78"/>
  <c r="F1250" i="78"/>
  <c r="F1047" i="78"/>
  <c r="F1053" i="78"/>
  <c r="F1059" i="78"/>
  <c r="F1065" i="78"/>
  <c r="F1071" i="78"/>
  <c r="F1077" i="78"/>
  <c r="F1089" i="78"/>
  <c r="F1091" i="78"/>
  <c r="F1093" i="78"/>
  <c r="F1094" i="78"/>
  <c r="F1095" i="78"/>
  <c r="F1098" i="78"/>
  <c r="F1110" i="78"/>
  <c r="F1125" i="78"/>
  <c r="F1153" i="78"/>
  <c r="F1206" i="78"/>
  <c r="F1092" i="78"/>
  <c r="F1109" i="78"/>
  <c r="F1124" i="78"/>
  <c r="F1164" i="78"/>
  <c r="F1166" i="78"/>
  <c r="F1188" i="78"/>
  <c r="F1197" i="78"/>
  <c r="F1280" i="78"/>
  <c r="F1119" i="78"/>
  <c r="F1128" i="78"/>
  <c r="F1132" i="78"/>
  <c r="F1147" i="78"/>
  <c r="F1150" i="78"/>
  <c r="F1160" i="78"/>
  <c r="F1180" i="78"/>
  <c r="F1227" i="78"/>
  <c r="F1118" i="78"/>
  <c r="F1186" i="78"/>
  <c r="F1204" i="78"/>
  <c r="F1272" i="78"/>
  <c r="F1152" i="78"/>
  <c r="F1155" i="78"/>
  <c r="F1221" i="78"/>
  <c r="F1080" i="78"/>
  <c r="F1081" i="78"/>
  <c r="F1112" i="78"/>
  <c r="F1131" i="78"/>
  <c r="F1146" i="78"/>
  <c r="F1249" i="78"/>
  <c r="F1090" i="78"/>
  <c r="F1096" i="78"/>
  <c r="F1102" i="78"/>
  <c r="F1108" i="78"/>
  <c r="F1114" i="78"/>
  <c r="F1120" i="78"/>
  <c r="F1154" i="78"/>
  <c r="F1168" i="78"/>
  <c r="F1232" i="78"/>
  <c r="F1251" i="78"/>
  <c r="F1198" i="78"/>
  <c r="F1208" i="78"/>
  <c r="F1140" i="78"/>
  <c r="F1141" i="78"/>
  <c r="F1142" i="78"/>
  <c r="F1143" i="78"/>
  <c r="F1144" i="78"/>
  <c r="F1181" i="78"/>
  <c r="F1218" i="78"/>
  <c r="F1222" i="78"/>
  <c r="F1233" i="78"/>
  <c r="F1257" i="78"/>
  <c r="F1105" i="78"/>
  <c r="F1111" i="78"/>
  <c r="F1117" i="78"/>
  <c r="F1123" i="78"/>
  <c r="F1139" i="78"/>
  <c r="F1162" i="78"/>
  <c r="F1170" i="78"/>
  <c r="F1185" i="78"/>
  <c r="F1262" i="78"/>
  <c r="F1134" i="78"/>
  <c r="F1135" i="78"/>
  <c r="F1136" i="78"/>
  <c r="F1137" i="78"/>
  <c r="F1138" i="78"/>
  <c r="F1176" i="78"/>
  <c r="F1260" i="78"/>
  <c r="F1192" i="78"/>
  <c r="F1207" i="78"/>
  <c r="F1248" i="78"/>
  <c r="F1175" i="78"/>
  <c r="F1226" i="78"/>
  <c r="F1261" i="78"/>
  <c r="F1157" i="78"/>
  <c r="F1163" i="78"/>
  <c r="F1173" i="78"/>
  <c r="F1174" i="78"/>
  <c r="F1182" i="78"/>
  <c r="F1187" i="78"/>
  <c r="F1194" i="78"/>
  <c r="F1220" i="78"/>
  <c r="F1223" i="78"/>
  <c r="F1267" i="78"/>
  <c r="F1205" i="78"/>
  <c r="F1211" i="78"/>
  <c r="F1237" i="78"/>
  <c r="F1275" i="78"/>
  <c r="F1195" i="78"/>
  <c r="F1210" i="78"/>
  <c r="F1224" i="78"/>
  <c r="F1279" i="78"/>
  <c r="F1286" i="78"/>
  <c r="F1183" i="78"/>
  <c r="F1189" i="78"/>
  <c r="F1199" i="78"/>
  <c r="F1213" i="78"/>
  <c r="F1228" i="78"/>
  <c r="F1245" i="78"/>
  <c r="F1256" i="78"/>
  <c r="F1269" i="78"/>
  <c r="F1285" i="78"/>
  <c r="F1200" i="78"/>
  <c r="F1214" i="78"/>
  <c r="F1215" i="78"/>
  <c r="F1229" i="78"/>
  <c r="F1254" i="78"/>
  <c r="F1255" i="78"/>
  <c r="F1274" i="78"/>
  <c r="F1172" i="78"/>
  <c r="F1178" i="78"/>
  <c r="F1184" i="78"/>
  <c r="F1190" i="78"/>
  <c r="F1201" i="78"/>
  <c r="F1216" i="78"/>
  <c r="F1230" i="78"/>
  <c r="F1241" i="78"/>
  <c r="F1244" i="78"/>
  <c r="F1263" i="78"/>
  <c r="F1281" i="78"/>
  <c r="F1284" i="78"/>
  <c r="F1202" i="78"/>
  <c r="F1203" i="78"/>
  <c r="F1217" i="78"/>
  <c r="F1231" i="78"/>
  <c r="F1235" i="78"/>
  <c r="F1239" i="78"/>
  <c r="F1242" i="78"/>
  <c r="F1243" i="78"/>
  <c r="F1268" i="78"/>
  <c r="F1273" i="78"/>
  <c r="F1287" i="78"/>
  <c r="F1234" i="78"/>
  <c r="F1240" i="78"/>
  <c r="F1246" i="78"/>
  <c r="F1252" i="78"/>
  <c r="F1258" i="78"/>
  <c r="F1264" i="78"/>
  <c r="F1270" i="78"/>
  <c r="F1276" i="78"/>
  <c r="F1282" i="78"/>
  <c r="F1247" i="78"/>
  <c r="F1253" i="78"/>
  <c r="F1259" i="78"/>
  <c r="F1265" i="78"/>
  <c r="F1271" i="78"/>
  <c r="F1277" i="78"/>
  <c r="F1283" i="78"/>
  <c r="F170" i="78"/>
  <c r="F127" i="78"/>
  <c r="F202" i="78"/>
  <c r="F109" i="78"/>
  <c r="F98" i="78"/>
  <c r="F195" i="78"/>
  <c r="F104" i="78"/>
  <c r="F147" i="78"/>
  <c r="F218" i="78"/>
  <c r="F230" i="78"/>
  <c r="F103" i="78"/>
  <c r="F93" i="78"/>
  <c r="F168" i="78"/>
  <c r="F220" i="78"/>
  <c r="F111" i="78"/>
  <c r="F153" i="78"/>
  <c r="F165" i="78"/>
  <c r="F178" i="78"/>
  <c r="F182" i="78"/>
  <c r="F189" i="78"/>
  <c r="F145" i="78"/>
  <c r="F128" i="78"/>
  <c r="F172" i="78"/>
  <c r="F213" i="78"/>
  <c r="F236" i="78"/>
  <c r="F97" i="78"/>
  <c r="F135" i="78"/>
  <c r="F227" i="78"/>
  <c r="F243" i="78"/>
  <c r="F92" i="78"/>
  <c r="F129" i="78"/>
  <c r="F139" i="78"/>
  <c r="F146" i="78"/>
  <c r="F99" i="78"/>
  <c r="F105" i="78"/>
  <c r="F209" i="78"/>
  <c r="F110" i="78"/>
  <c r="F163" i="78"/>
  <c r="F176" i="78"/>
  <c r="F196" i="78"/>
  <c r="F94" i="78"/>
  <c r="F100" i="78"/>
  <c r="F106" i="78"/>
  <c r="F112" i="78"/>
  <c r="F116" i="78"/>
  <c r="F117" i="78"/>
  <c r="F134" i="78"/>
  <c r="F152" i="78"/>
  <c r="F169" i="78"/>
  <c r="F171" i="78"/>
  <c r="F203" i="78"/>
  <c r="F237" i="78"/>
  <c r="F212" i="78"/>
  <c r="F113" i="78"/>
  <c r="F123" i="78"/>
  <c r="F141" i="78"/>
  <c r="F194" i="78"/>
  <c r="F219" i="78"/>
  <c r="F244" i="78"/>
  <c r="F167" i="78"/>
  <c r="F95" i="78"/>
  <c r="F101" i="78"/>
  <c r="F107" i="78"/>
  <c r="F133" i="78"/>
  <c r="F151" i="78"/>
  <c r="F164" i="78"/>
  <c r="F185" i="78"/>
  <c r="F206" i="78"/>
  <c r="F226" i="78"/>
  <c r="F122" i="78"/>
  <c r="F177" i="78"/>
  <c r="F242" i="78"/>
  <c r="F115" i="78"/>
  <c r="F96" i="78"/>
  <c r="F102" i="78"/>
  <c r="F108" i="78"/>
  <c r="F121" i="78"/>
  <c r="F140" i="78"/>
  <c r="F166" i="78"/>
  <c r="F188" i="78"/>
  <c r="F233" i="78"/>
  <c r="F118" i="78"/>
  <c r="F124" i="78"/>
  <c r="F130" i="78"/>
  <c r="F136" i="78"/>
  <c r="F142" i="78"/>
  <c r="F148" i="78"/>
  <c r="F154" i="78"/>
  <c r="F158" i="78"/>
  <c r="F159" i="78"/>
  <c r="F160" i="78"/>
  <c r="F161" i="78"/>
  <c r="F162" i="78"/>
  <c r="F180" i="78"/>
  <c r="F184" i="78"/>
  <c r="F191" i="78"/>
  <c r="F201" i="78"/>
  <c r="F208" i="78"/>
  <c r="F215" i="78"/>
  <c r="F225" i="78"/>
  <c r="F232" i="78"/>
  <c r="F239" i="78"/>
  <c r="F249" i="78"/>
  <c r="F157" i="78"/>
  <c r="F119" i="78"/>
  <c r="F125" i="78"/>
  <c r="F131" i="78"/>
  <c r="F137" i="78"/>
  <c r="F143" i="78"/>
  <c r="F149" i="78"/>
  <c r="F155" i="78"/>
  <c r="F156" i="78"/>
  <c r="F174" i="78"/>
  <c r="F200" i="78"/>
  <c r="F224" i="78"/>
  <c r="F248" i="78"/>
  <c r="F179" i="78"/>
  <c r="F183" i="78"/>
  <c r="F190" i="78"/>
  <c r="F197" i="78"/>
  <c r="F207" i="78"/>
  <c r="F214" i="78"/>
  <c r="F221" i="78"/>
  <c r="F231" i="78"/>
  <c r="F238" i="78"/>
  <c r="F245" i="78"/>
  <c r="F114" i="78"/>
  <c r="F120" i="78"/>
  <c r="F126" i="78"/>
  <c r="F132" i="78"/>
  <c r="F138" i="78"/>
  <c r="F144" i="78"/>
  <c r="F150" i="78"/>
  <c r="F173" i="78"/>
  <c r="F186" i="78"/>
  <c r="F192" i="78"/>
  <c r="F198" i="78"/>
  <c r="F204" i="78"/>
  <c r="F210" i="78"/>
  <c r="F216" i="78"/>
  <c r="F222" i="78"/>
  <c r="F228" i="78"/>
  <c r="F234" i="78"/>
  <c r="F240" i="78"/>
  <c r="F246" i="78"/>
  <c r="F175" i="78"/>
  <c r="F181" i="78"/>
  <c r="F187" i="78"/>
  <c r="F193" i="78"/>
  <c r="F199" i="78"/>
  <c r="F205" i="78"/>
  <c r="F211" i="78"/>
  <c r="F217" i="78"/>
  <c r="F223" i="78"/>
  <c r="F229" i="78"/>
  <c r="F235" i="78"/>
  <c r="F241" i="78"/>
  <c r="F247" i="78"/>
  <c r="G3" i="78"/>
  <c r="O4" i="78"/>
  <c r="O3" i="78"/>
  <c r="O2" i="78"/>
  <c r="O312" i="78" s="1"/>
  <c r="O1300" i="78" l="1"/>
  <c r="O1297" i="78"/>
  <c r="O1293" i="78"/>
  <c r="O1308" i="78"/>
  <c r="O1307" i="78"/>
  <c r="O1299" i="78"/>
  <c r="O1296" i="78"/>
  <c r="O1304" i="78"/>
  <c r="O1288" i="78"/>
  <c r="O1306" i="78"/>
  <c r="O1302" i="78"/>
  <c r="O1309" i="78"/>
  <c r="O1292" i="78"/>
  <c r="O1312" i="78"/>
  <c r="O1303" i="78"/>
  <c r="O1298" i="78"/>
  <c r="O1290" i="78"/>
  <c r="O1295" i="78"/>
  <c r="O1305" i="78"/>
  <c r="O1301" i="78"/>
  <c r="O1291" i="78"/>
  <c r="AH1277" i="78"/>
  <c r="AH583" i="78"/>
  <c r="AH230" i="78"/>
  <c r="AH1056" i="78"/>
  <c r="AH316" i="78"/>
  <c r="AH497" i="78"/>
  <c r="AH677" i="78"/>
  <c r="AH448" i="78"/>
  <c r="AH280" i="78"/>
  <c r="AH305" i="78"/>
  <c r="AH609" i="78"/>
  <c r="AH483" i="78"/>
  <c r="AH1265" i="78"/>
  <c r="AH254" i="78"/>
  <c r="AH1303" i="78"/>
  <c r="AH1246" i="78"/>
  <c r="AH1280" i="78"/>
  <c r="AH1149" i="78"/>
  <c r="AH957" i="78"/>
  <c r="AH866" i="78"/>
  <c r="AH717" i="78"/>
  <c r="AH1221" i="78"/>
  <c r="AH1075" i="78"/>
  <c r="AH1023" i="78"/>
  <c r="AH1193" i="78"/>
  <c r="AH650" i="78"/>
  <c r="AH740" i="78"/>
  <c r="AH451" i="78"/>
  <c r="AH307" i="78"/>
  <c r="AH300" i="78"/>
  <c r="AH132" i="78"/>
  <c r="AH1310" i="78"/>
  <c r="AH906" i="78"/>
  <c r="AH689" i="78"/>
  <c r="AH651" i="78"/>
  <c r="AH409" i="78"/>
  <c r="AH645" i="78"/>
  <c r="AH509" i="78"/>
  <c r="AH138" i="78"/>
  <c r="AH342" i="78"/>
  <c r="AH1113" i="78"/>
  <c r="AH1039" i="78"/>
  <c r="AH914" i="78"/>
  <c r="AH1153" i="78"/>
  <c r="AH847" i="78"/>
  <c r="AH611" i="78"/>
  <c r="AH181" i="78"/>
  <c r="AH163" i="78"/>
  <c r="AH822" i="78"/>
  <c r="AH532" i="78"/>
  <c r="AH1169" i="78"/>
  <c r="AH918" i="78"/>
  <c r="AH479" i="78"/>
  <c r="AH825" i="78"/>
  <c r="AH335" i="78"/>
  <c r="AH227" i="78"/>
  <c r="AH1214" i="78"/>
  <c r="AH1062" i="78"/>
  <c r="AH364" i="78"/>
  <c r="AH809" i="78"/>
  <c r="AH1094" i="78"/>
  <c r="AH807" i="78"/>
  <c r="AH1024" i="78"/>
  <c r="AH970" i="78"/>
  <c r="AH917" i="78"/>
  <c r="AH457" i="78"/>
  <c r="AH246" i="78"/>
  <c r="AH1311" i="78"/>
  <c r="AH722" i="78"/>
  <c r="AH446" i="78"/>
  <c r="AH516" i="78"/>
  <c r="AH1290" i="78"/>
  <c r="AH1178" i="78"/>
  <c r="AH767" i="78"/>
  <c r="AH1218" i="78"/>
  <c r="AH644" i="78"/>
  <c r="AH1145" i="78"/>
  <c r="AH721" i="78"/>
  <c r="AH731" i="78"/>
  <c r="AH217" i="78"/>
  <c r="AH1140" i="78"/>
  <c r="AH1133" i="78"/>
  <c r="AH1260" i="78"/>
  <c r="AH1134" i="78"/>
  <c r="AH1136" i="78"/>
  <c r="AH1196" i="78"/>
  <c r="AH1143" i="78"/>
  <c r="AH1128" i="78"/>
  <c r="AH981" i="78"/>
  <c r="AH1015" i="78"/>
  <c r="AH958" i="78"/>
  <c r="AH955" i="78"/>
  <c r="AH985" i="78"/>
  <c r="AH1055" i="78"/>
  <c r="AH1090" i="78"/>
  <c r="AH946" i="78"/>
  <c r="AH894" i="78"/>
  <c r="AH875" i="78"/>
  <c r="AH803" i="78"/>
  <c r="AH1064" i="78"/>
  <c r="AH879" i="78"/>
  <c r="AH972" i="78"/>
  <c r="AH1043" i="78"/>
  <c r="AH746" i="78"/>
  <c r="AH786" i="78"/>
  <c r="AH811" i="78"/>
  <c r="AH703" i="78"/>
  <c r="AH922" i="78"/>
  <c r="AH571" i="78"/>
  <c r="AH638" i="78"/>
  <c r="AH616" i="78"/>
  <c r="AH670" i="78"/>
  <c r="AH581" i="78"/>
  <c r="AH632" i="78"/>
  <c r="AH562" i="78"/>
  <c r="AH477" i="78"/>
  <c r="AH405" i="78"/>
  <c r="AH684" i="78"/>
  <c r="AH404" i="78"/>
  <c r="AH433" i="78"/>
  <c r="AH455" i="78"/>
  <c r="AH383" i="78"/>
  <c r="AH385" i="78"/>
  <c r="AH278" i="78"/>
  <c r="AH444" i="78"/>
  <c r="AH361" i="78"/>
  <c r="AH289" i="78"/>
  <c r="AH480" i="78"/>
  <c r="AH379" i="78"/>
  <c r="AH329" i="78"/>
  <c r="AH263" i="78"/>
  <c r="AH271" i="78"/>
  <c r="AH312" i="78"/>
  <c r="AH384" i="78"/>
  <c r="AH400" i="78"/>
  <c r="AH567" i="78"/>
  <c r="AH249" i="78"/>
  <c r="AH213" i="78"/>
  <c r="AH177" i="78"/>
  <c r="AH125" i="78"/>
  <c r="AH96" i="78"/>
  <c r="AH192" i="78"/>
  <c r="AH101" i="78"/>
  <c r="AH198" i="78"/>
  <c r="AH134" i="78"/>
  <c r="AH99" i="78"/>
  <c r="AH94" i="78"/>
  <c r="AH1138" i="78"/>
  <c r="AH1148" i="78"/>
  <c r="AH951" i="78"/>
  <c r="AH646" i="78"/>
  <c r="AH620" i="78"/>
  <c r="AH712" i="78"/>
  <c r="AH373" i="78"/>
  <c r="AH270" i="78"/>
  <c r="AH1302" i="78"/>
  <c r="AH1253" i="78"/>
  <c r="AH1179" i="78"/>
  <c r="AH1281" i="78"/>
  <c r="AH1274" i="78"/>
  <c r="AH1209" i="78"/>
  <c r="AH1131" i="78"/>
  <c r="AH1171" i="78"/>
  <c r="AH1097" i="78"/>
  <c r="AH1079" i="78"/>
  <c r="AH1224" i="78"/>
  <c r="AH1150" i="78"/>
  <c r="AH1054" i="78"/>
  <c r="AH1003" i="78"/>
  <c r="AH1122" i="78"/>
  <c r="AH939" i="78"/>
  <c r="AH1022" i="78"/>
  <c r="AH921" i="78"/>
  <c r="AH1059" i="78"/>
  <c r="AH919" i="78"/>
  <c r="AH941" i="78"/>
  <c r="AH863" i="78"/>
  <c r="AH791" i="78"/>
  <c r="AH988" i="78"/>
  <c r="AH905" i="78"/>
  <c r="AH867" i="78"/>
  <c r="AH795" i="78"/>
  <c r="AH952" i="78"/>
  <c r="AH820" i="78"/>
  <c r="AH744" i="78"/>
  <c r="AH776" i="78"/>
  <c r="AH990" i="78"/>
  <c r="AH792" i="78"/>
  <c r="AH846" i="78"/>
  <c r="AH878" i="78"/>
  <c r="AH705" i="78"/>
  <c r="AH948" i="78"/>
  <c r="AH897" i="78"/>
  <c r="AH892" i="78"/>
  <c r="AH691" i="78"/>
  <c r="AH910" i="78"/>
  <c r="AH702" i="78"/>
  <c r="AH664" i="78"/>
  <c r="AH665" i="78"/>
  <c r="AH528" i="78"/>
  <c r="AH534" i="78"/>
  <c r="AH741" i="78"/>
  <c r="AH550" i="78"/>
  <c r="AH393" i="78"/>
  <c r="AH392" i="78"/>
  <c r="AH421" i="78"/>
  <c r="AH450" i="78"/>
  <c r="AH436" i="78"/>
  <c r="AH338" i="78"/>
  <c r="AH349" i="78"/>
  <c r="AH277" i="78"/>
  <c r="AH311" i="78"/>
  <c r="AH389" i="78"/>
  <c r="AH269" i="78"/>
  <c r="AH252" i="78"/>
  <c r="AH294" i="78"/>
  <c r="AH275" i="78"/>
  <c r="AH359" i="78"/>
  <c r="AH243" i="78"/>
  <c r="AH207" i="78"/>
  <c r="AH171" i="78"/>
  <c r="AH193" i="78"/>
  <c r="AH151" i="78"/>
  <c r="AH115" i="78"/>
  <c r="AH233" i="78"/>
  <c r="AH109" i="78"/>
  <c r="AH142" i="78"/>
  <c r="AH141" i="78"/>
  <c r="AH111" i="78"/>
  <c r="AH839" i="78"/>
  <c r="AH417" i="78"/>
  <c r="AH467" i="78"/>
  <c r="AH635" i="78"/>
  <c r="AH265" i="78"/>
  <c r="AH215" i="78"/>
  <c r="AH1309" i="78"/>
  <c r="AH1286" i="78"/>
  <c r="AH1021" i="78"/>
  <c r="AH1033" i="78"/>
  <c r="AH720" i="78"/>
  <c r="AH587" i="78"/>
  <c r="AH476" i="78"/>
  <c r="AH1299" i="78"/>
  <c r="AH1296" i="78"/>
  <c r="AH1278" i="78"/>
  <c r="AH1232" i="78"/>
  <c r="AH1173" i="78"/>
  <c r="AH1202" i="78"/>
  <c r="AH1282" i="78"/>
  <c r="AH1228" i="78"/>
  <c r="AH1165" i="78"/>
  <c r="AH1177" i="78"/>
  <c r="AH1130" i="78"/>
  <c r="AH1207" i="78"/>
  <c r="AH1201" i="78"/>
  <c r="AH1091" i="78"/>
  <c r="AH1057" i="78"/>
  <c r="AH1210" i="78"/>
  <c r="AH1147" i="78"/>
  <c r="AH1048" i="78"/>
  <c r="AH1019" i="78"/>
  <c r="AH1071" i="78"/>
  <c r="AH947" i="78"/>
  <c r="AH1051" i="78"/>
  <c r="AH995" i="78"/>
  <c r="AH1013" i="78"/>
  <c r="AH915" i="78"/>
  <c r="AH971" i="78"/>
  <c r="AH1006" i="78"/>
  <c r="AH1035" i="78"/>
  <c r="AH961" i="78"/>
  <c r="AH888" i="78"/>
  <c r="AH857" i="78"/>
  <c r="AH862" i="78"/>
  <c r="AH826" i="78"/>
  <c r="AH984" i="78"/>
  <c r="AH973" i="78"/>
  <c r="AH861" i="78"/>
  <c r="AH789" i="78"/>
  <c r="AH950" i="78"/>
  <c r="AH935" i="78"/>
  <c r="AH903" i="78"/>
  <c r="AH787" i="78"/>
  <c r="AH699" i="78"/>
  <c r="AH929" i="78"/>
  <c r="AH736" i="78"/>
  <c r="AH710" i="78"/>
  <c r="AH884" i="78"/>
  <c r="AH704" i="78"/>
  <c r="AH668" i="78"/>
  <c r="AH685" i="78"/>
  <c r="AH778" i="78"/>
  <c r="AH500" i="78"/>
  <c r="AH708" i="78"/>
  <c r="AH1037" i="78"/>
  <c r="AH660" i="78"/>
  <c r="AH594" i="78"/>
  <c r="AH569" i="78"/>
  <c r="AH533" i="78"/>
  <c r="AH563" i="78"/>
  <c r="AH544" i="78"/>
  <c r="AH514" i="78"/>
  <c r="AH415" i="78"/>
  <c r="AH629" i="78"/>
  <c r="AH515" i="78"/>
  <c r="AH763" i="78"/>
  <c r="AH604" i="78"/>
  <c r="AH437" i="78"/>
  <c r="AH876" i="78"/>
  <c r="AH365" i="78"/>
  <c r="AH333" i="78"/>
  <c r="AH460" i="78"/>
  <c r="AH371" i="78"/>
  <c r="AH339" i="78"/>
  <c r="AH302" i="78"/>
  <c r="AH508" i="78"/>
  <c r="AH418" i="78"/>
  <c r="AH332" i="78"/>
  <c r="AH578" i="78"/>
  <c r="AH343" i="78"/>
  <c r="AH258" i="78"/>
  <c r="AH597" i="78"/>
  <c r="AH348" i="78"/>
  <c r="AH268" i="78"/>
  <c r="AH336" i="78"/>
  <c r="AH206" i="78"/>
  <c r="AH173" i="78"/>
  <c r="AH150" i="78"/>
  <c r="AH228" i="78"/>
  <c r="AH143" i="78"/>
  <c r="AH129" i="78"/>
  <c r="AH167" i="78"/>
  <c r="AH153" i="78"/>
  <c r="AH114" i="78"/>
  <c r="AH1161" i="78"/>
  <c r="AH1123" i="78"/>
  <c r="AH956" i="78"/>
  <c r="AH829" i="78"/>
  <c r="AH301" i="78"/>
  <c r="AH183" i="78"/>
  <c r="AH185" i="78"/>
  <c r="AH120" i="78"/>
  <c r="AH1254" i="78"/>
  <c r="AH1276" i="78"/>
  <c r="AH1200" i="78"/>
  <c r="AH1061" i="78"/>
  <c r="AH1120" i="78"/>
  <c r="AH756" i="78"/>
  <c r="AH709" i="78"/>
  <c r="AH411" i="78"/>
  <c r="AH284" i="78"/>
  <c r="AH264" i="78"/>
  <c r="AH126" i="78"/>
  <c r="AH1217" i="78"/>
  <c r="AH1185" i="78"/>
  <c r="AH1256" i="78"/>
  <c r="AH1220" i="78"/>
  <c r="AH1103" i="78"/>
  <c r="AH1160" i="78"/>
  <c r="AH945" i="78"/>
  <c r="AH873" i="78"/>
  <c r="AH542" i="78"/>
  <c r="AH256" i="78"/>
  <c r="AH1306" i="78"/>
  <c r="AH1241" i="78"/>
  <c r="AH1198" i="78"/>
  <c r="AH1129" i="78"/>
  <c r="AH1082" i="78"/>
  <c r="AH1261" i="78"/>
  <c r="AH1189" i="78"/>
  <c r="AH1162" i="78"/>
  <c r="AH1018" i="78"/>
  <c r="AH1111" i="78"/>
  <c r="AH1031" i="78"/>
  <c r="AH1027" i="78"/>
  <c r="AH774" i="78"/>
  <c r="AH779" i="78"/>
  <c r="AH855" i="78"/>
  <c r="AH783" i="78"/>
  <c r="AH858" i="78"/>
  <c r="AH754" i="78"/>
  <c r="AH898" i="78"/>
  <c r="AH877" i="78"/>
  <c r="AH782" i="78"/>
  <c r="AH693" i="78"/>
  <c r="AH805" i="78"/>
  <c r="AH679" i="78"/>
  <c r="AH656" i="78"/>
  <c r="AH494" i="78"/>
  <c r="AH547" i="78"/>
  <c r="AH891" i="78"/>
  <c r="AH588" i="78"/>
  <c r="AH557" i="78"/>
  <c r="AH714" i="78"/>
  <c r="AH628" i="78"/>
  <c r="AH453" i="78"/>
  <c r="AH381" i="78"/>
  <c r="AH495" i="78"/>
  <c r="AH481" i="78"/>
  <c r="AH511" i="78"/>
  <c r="AH700" i="78"/>
  <c r="AH438" i="78"/>
  <c r="AH503" i="78"/>
  <c r="AH372" i="78"/>
  <c r="AH326" i="78"/>
  <c r="AH337" i="78"/>
  <c r="AH293" i="78"/>
  <c r="AH549" i="78"/>
  <c r="AH327" i="78"/>
  <c r="AH288" i="78"/>
  <c r="AH640" i="78"/>
  <c r="AH340" i="78"/>
  <c r="AH323" i="78"/>
  <c r="AH237" i="78"/>
  <c r="AH201" i="78"/>
  <c r="AH165" i="78"/>
  <c r="AH200" i="78"/>
  <c r="AH234" i="78"/>
  <c r="AH245" i="78"/>
  <c r="AH149" i="78"/>
  <c r="AH137" i="78"/>
  <c r="AH170" i="78"/>
  <c r="AH122" i="78"/>
  <c r="AH148" i="78"/>
  <c r="AH93" i="78"/>
  <c r="AH135" i="78"/>
  <c r="AH1100" i="78"/>
  <c r="AH1188" i="78"/>
  <c r="AH1187" i="78"/>
  <c r="AH997" i="78"/>
  <c r="AH416" i="78"/>
  <c r="AH362" i="78"/>
  <c r="AH1137" i="78"/>
  <c r="AH987" i="78"/>
  <c r="AH1104" i="78"/>
  <c r="AH1069" i="78"/>
  <c r="AH747" i="78"/>
  <c r="AH682" i="78"/>
  <c r="AH608" i="78"/>
  <c r="AH468" i="78"/>
  <c r="AH461" i="78"/>
  <c r="AH356" i="78"/>
  <c r="AH295" i="78"/>
  <c r="AH352" i="78"/>
  <c r="AH430" i="78"/>
  <c r="AH107" i="78"/>
  <c r="AH1248" i="78"/>
  <c r="AH1259" i="78"/>
  <c r="AH1167" i="78"/>
  <c r="AH1227" i="78"/>
  <c r="AH1182" i="78"/>
  <c r="AH1080" i="78"/>
  <c r="AH1194" i="78"/>
  <c r="AH1065" i="78"/>
  <c r="AH1213" i="78"/>
  <c r="AH1168" i="78"/>
  <c r="AH797" i="78"/>
  <c r="AH954" i="78"/>
  <c r="AH801" i="78"/>
  <c r="AH781" i="78"/>
  <c r="AH838" i="78"/>
  <c r="AH730" i="78"/>
  <c r="AH659" i="78"/>
  <c r="AH471" i="78"/>
  <c r="AH434" i="78"/>
  <c r="AH456" i="78"/>
  <c r="AH512" i="78"/>
  <c r="AH442" i="78"/>
  <c r="AH355" i="78"/>
  <c r="AH324" i="78"/>
  <c r="AH304" i="78"/>
  <c r="AH353" i="78"/>
  <c r="AH176" i="78"/>
  <c r="AH199" i="78"/>
  <c r="AH147" i="78"/>
  <c r="AH92" i="78"/>
  <c r="AH1297" i="78"/>
  <c r="AH1291" i="78"/>
  <c r="AH1272" i="78"/>
  <c r="AH1235" i="78"/>
  <c r="AH1237" i="78"/>
  <c r="AH1270" i="78"/>
  <c r="AH1208" i="78"/>
  <c r="AH1275" i="78"/>
  <c r="AH1181" i="78"/>
  <c r="AH1124" i="78"/>
  <c r="AH1170" i="78"/>
  <c r="AH1152" i="78"/>
  <c r="AH1195" i="78"/>
  <c r="AH1068" i="78"/>
  <c r="AH1155" i="78"/>
  <c r="AH1119" i="78"/>
  <c r="AH1087" i="78"/>
  <c r="AH1126" i="78"/>
  <c r="AH1046" i="78"/>
  <c r="AH1017" i="78"/>
  <c r="AH1044" i="78"/>
  <c r="AH975" i="78"/>
  <c r="AH1036" i="78"/>
  <c r="AH989" i="78"/>
  <c r="AH901" i="78"/>
  <c r="AH936" i="78"/>
  <c r="AH845" i="78"/>
  <c r="AH773" i="78"/>
  <c r="AH908" i="78"/>
  <c r="AH890" i="78"/>
  <c r="AH849" i="78"/>
  <c r="AH924" i="78"/>
  <c r="AH848" i="78"/>
  <c r="AH753" i="78"/>
  <c r="AH814" i="78"/>
  <c r="AH816" i="78"/>
  <c r="AH622" i="78"/>
  <c r="AH687" i="78"/>
  <c r="AH865" i="78"/>
  <c r="AH698" i="78"/>
  <c r="AH850" i="78"/>
  <c r="AH728" i="78"/>
  <c r="AH673" i="78"/>
  <c r="AH726" i="78"/>
  <c r="AH695" i="78"/>
  <c r="AH560" i="78"/>
  <c r="AH637" i="78"/>
  <c r="AH590" i="78"/>
  <c r="AH706" i="78"/>
  <c r="AH541" i="78"/>
  <c r="AH582" i="78"/>
  <c r="AH765" i="78"/>
  <c r="AH551" i="78"/>
  <c r="AH375" i="78"/>
  <c r="AH458" i="78"/>
  <c r="AH510" i="78"/>
  <c r="AH374" i="78"/>
  <c r="AH496" i="78"/>
  <c r="AH572" i="78"/>
  <c r="AH475" i="78"/>
  <c r="AH403" i="78"/>
  <c r="AH506" i="78"/>
  <c r="AH507" i="78"/>
  <c r="AH432" i="78"/>
  <c r="AH498" i="78"/>
  <c r="AH425" i="78"/>
  <c r="AH556" i="78"/>
  <c r="AH412" i="78"/>
  <c r="AH363" i="78"/>
  <c r="AH260" i="78"/>
  <c r="AH493" i="78"/>
  <c r="AH320" i="78"/>
  <c r="AH331" i="78"/>
  <c r="AH309" i="78"/>
  <c r="AH573" i="78"/>
  <c r="AH318" i="78"/>
  <c r="AH144" i="78"/>
  <c r="AH168" i="78"/>
  <c r="AH240" i="78"/>
  <c r="AH156" i="78"/>
  <c r="AH117" i="78"/>
  <c r="AH106" i="78"/>
  <c r="AH104" i="78"/>
  <c r="AH1141" i="78"/>
  <c r="AH844" i="78"/>
  <c r="AH1002" i="78"/>
  <c r="AH762" i="78"/>
  <c r="AH521" i="78"/>
  <c r="AH290" i="78"/>
  <c r="AH274" i="78"/>
  <c r="AH1293" i="78"/>
  <c r="AH1115" i="78"/>
  <c r="AH1142" i="78"/>
  <c r="AH986" i="78"/>
  <c r="AH959" i="78"/>
  <c r="AH800" i="78"/>
  <c r="AH716" i="78"/>
  <c r="AH680" i="78"/>
  <c r="AH802" i="78"/>
  <c r="AH683" i="78"/>
  <c r="AH688" i="78"/>
  <c r="AH482" i="78"/>
  <c r="AH652" i="78"/>
  <c r="AH524" i="78"/>
  <c r="AH445" i="78"/>
  <c r="AH378" i="78"/>
  <c r="AH354" i="78"/>
  <c r="AH317" i="78"/>
  <c r="AH211" i="78"/>
  <c r="AH226" i="78"/>
  <c r="AH1288" i="78"/>
  <c r="AH1205" i="78"/>
  <c r="AH1184" i="78"/>
  <c r="AH1132" i="78"/>
  <c r="AH1135" i="78"/>
  <c r="AH1127" i="78"/>
  <c r="AH999" i="78"/>
  <c r="AH1009" i="78"/>
  <c r="AH983" i="78"/>
  <c r="AH1077" i="78"/>
  <c r="AH745" i="78"/>
  <c r="AH804" i="78"/>
  <c r="AH711" i="78"/>
  <c r="AH707" i="78"/>
  <c r="AH584" i="78"/>
  <c r="AH602" i="78"/>
  <c r="AH492" i="78"/>
  <c r="AH617" i="78"/>
  <c r="AH399" i="78"/>
  <c r="AH367" i="78"/>
  <c r="AH262" i="78"/>
  <c r="AH299" i="78"/>
  <c r="AH315" i="78"/>
  <c r="AH218" i="78"/>
  <c r="AH179" i="78"/>
  <c r="AH164" i="78"/>
  <c r="AH203" i="78"/>
  <c r="AH123" i="78"/>
  <c r="AH1287" i="78"/>
  <c r="AH1233" i="78"/>
  <c r="AH1273" i="78"/>
  <c r="AH1257" i="78"/>
  <c r="AH1269" i="78"/>
  <c r="AH1255" i="78"/>
  <c r="AH1166" i="78"/>
  <c r="AH1118" i="78"/>
  <c r="AH1230" i="78"/>
  <c r="AH1114" i="78"/>
  <c r="AH1105" i="78"/>
  <c r="AH1107" i="78"/>
  <c r="AH1050" i="78"/>
  <c r="AH940" i="78"/>
  <c r="AH976" i="78"/>
  <c r="AH1223" i="78"/>
  <c r="AH969" i="78"/>
  <c r="AH963" i="78"/>
  <c r="AH1081" i="78"/>
  <c r="AH1007" i="78"/>
  <c r="AH920" i="78"/>
  <c r="AH960" i="78"/>
  <c r="AH991" i="78"/>
  <c r="AH930" i="78"/>
  <c r="AH934" i="78"/>
  <c r="AH815" i="78"/>
  <c r="AH843" i="78"/>
  <c r="AH771" i="78"/>
  <c r="AH871" i="78"/>
  <c r="AH796" i="78"/>
  <c r="AH841" i="78"/>
  <c r="AH885" i="78"/>
  <c r="AH755" i="78"/>
  <c r="AH772" i="78"/>
  <c r="AH887" i="78"/>
  <c r="AH798" i="78"/>
  <c r="AH793" i="78"/>
  <c r="AH719" i="78"/>
  <c r="AH830" i="78"/>
  <c r="AH724" i="78"/>
  <c r="AH661" i="78"/>
  <c r="AH727" i="78"/>
  <c r="AH667" i="78"/>
  <c r="AH870" i="78"/>
  <c r="AH607" i="78"/>
  <c r="AH535" i="78"/>
  <c r="AH676" i="78"/>
  <c r="AH576" i="78"/>
  <c r="AH742" i="78"/>
  <c r="AH794" i="78"/>
  <c r="AH545" i="78"/>
  <c r="AH598" i="78"/>
  <c r="AH526" i="78"/>
  <c r="AH441" i="78"/>
  <c r="AH440" i="78"/>
  <c r="AH368" i="78"/>
  <c r="AH561" i="78"/>
  <c r="AH397" i="78"/>
  <c r="AH502" i="78"/>
  <c r="AH426" i="78"/>
  <c r="AH491" i="78"/>
  <c r="AH419" i="78"/>
  <c r="AH519" i="78"/>
  <c r="AH490" i="78"/>
  <c r="AH394" i="78"/>
  <c r="AH325" i="78"/>
  <c r="AH358" i="78"/>
  <c r="AH281" i="78"/>
  <c r="AH282" i="78"/>
  <c r="AH287" i="78"/>
  <c r="AH513" i="78"/>
  <c r="AH291" i="78"/>
  <c r="AH424" i="78"/>
  <c r="AH346" i="78"/>
  <c r="AH360" i="78"/>
  <c r="AH273" i="78"/>
  <c r="AH251" i="78"/>
  <c r="AH231" i="78"/>
  <c r="AH195" i="78"/>
  <c r="AH159" i="78"/>
  <c r="AH188" i="78"/>
  <c r="AH241" i="78"/>
  <c r="AH205" i="78"/>
  <c r="AH244" i="78"/>
  <c r="AH204" i="78"/>
  <c r="AH97" i="78"/>
  <c r="AH146" i="78"/>
  <c r="AH161" i="78"/>
  <c r="O1172" i="78"/>
  <c r="O1143" i="78"/>
  <c r="O1085" i="78"/>
  <c r="O833" i="78"/>
  <c r="O261" i="78"/>
  <c r="O326" i="78"/>
  <c r="O406" i="78"/>
  <c r="O1252" i="78"/>
  <c r="O1268" i="78"/>
  <c r="O1202" i="78"/>
  <c r="O1199" i="78"/>
  <c r="O1171" i="78"/>
  <c r="O1265" i="78"/>
  <c r="O1158" i="78"/>
  <c r="O1255" i="78"/>
  <c r="O1113" i="78"/>
  <c r="O1127" i="78"/>
  <c r="O1044" i="78"/>
  <c r="O1120" i="78"/>
  <c r="O1101" i="78"/>
  <c r="O1076" i="78"/>
  <c r="O965" i="78"/>
  <c r="O939" i="78"/>
  <c r="O1052" i="78"/>
  <c r="O1073" i="78"/>
  <c r="O834" i="78"/>
  <c r="O827" i="78"/>
  <c r="O923" i="78"/>
  <c r="O988" i="78"/>
  <c r="O972" i="78"/>
  <c r="O742" i="78"/>
  <c r="O706" i="78"/>
  <c r="O699" i="78"/>
  <c r="O986" i="78"/>
  <c r="O721" i="78"/>
  <c r="O788" i="78"/>
  <c r="O738" i="78"/>
  <c r="O801" i="78"/>
  <c r="O734" i="78"/>
  <c r="O612" i="78"/>
  <c r="O811" i="78"/>
  <c r="O564" i="78"/>
  <c r="O654" i="78"/>
  <c r="O405" i="78"/>
  <c r="O404" i="78"/>
  <c r="O496" i="78"/>
  <c r="O598" i="78"/>
  <c r="O427" i="78"/>
  <c r="O515" i="78"/>
  <c r="O543" i="78"/>
  <c r="O599" i="78"/>
  <c r="O364" i="78"/>
  <c r="O255" i="78"/>
  <c r="O444" i="78"/>
  <c r="O314" i="78"/>
  <c r="O374" i="78"/>
  <c r="O266" i="78"/>
  <c r="O318" i="78"/>
  <c r="O288" i="78"/>
  <c r="O946" i="78"/>
  <c r="O609" i="78"/>
  <c r="O795" i="78"/>
  <c r="O410" i="78"/>
  <c r="O993" i="78"/>
  <c r="O1006" i="78"/>
  <c r="O984" i="78"/>
  <c r="O611" i="78"/>
  <c r="O415" i="78"/>
  <c r="O1240" i="78"/>
  <c r="O1189" i="78"/>
  <c r="O1169" i="78"/>
  <c r="O1254" i="78"/>
  <c r="O1140" i="78"/>
  <c r="O1197" i="78"/>
  <c r="O1250" i="78"/>
  <c r="O1184" i="78"/>
  <c r="O1069" i="78"/>
  <c r="O1221" i="78"/>
  <c r="O1026" i="78"/>
  <c r="O1110" i="78"/>
  <c r="O1060" i="78"/>
  <c r="O976" i="78"/>
  <c r="O1029" i="78"/>
  <c r="O983" i="78"/>
  <c r="O952" i="78"/>
  <c r="O822" i="78"/>
  <c r="O911" i="78"/>
  <c r="O815" i="78"/>
  <c r="O980" i="78"/>
  <c r="O741" i="78"/>
  <c r="O782" i="78"/>
  <c r="O867" i="78"/>
  <c r="O694" i="78"/>
  <c r="O687" i="78"/>
  <c r="O865" i="78"/>
  <c r="O698" i="78"/>
  <c r="O728" i="78"/>
  <c r="O584" i="78"/>
  <c r="O607" i="78"/>
  <c r="O552" i="78"/>
  <c r="O509" i="78"/>
  <c r="O392" i="78"/>
  <c r="O537" i="78"/>
  <c r="O379" i="78"/>
  <c r="O346" i="78"/>
  <c r="O449" i="78"/>
  <c r="O390" i="78"/>
  <c r="O431" i="78"/>
  <c r="O794" i="78"/>
  <c r="O354" i="78"/>
  <c r="O263" i="78"/>
  <c r="O384" i="78"/>
  <c r="O783" i="78"/>
  <c r="O1206" i="78"/>
  <c r="O1008" i="78"/>
  <c r="O831" i="78"/>
  <c r="O616" i="78"/>
  <c r="O511" i="78"/>
  <c r="O433" i="78"/>
  <c r="O1246" i="78"/>
  <c r="O1203" i="78"/>
  <c r="O1075" i="78"/>
  <c r="O1144" i="78"/>
  <c r="O992" i="78"/>
  <c r="O934" i="78"/>
  <c r="O866" i="78"/>
  <c r="O693" i="78"/>
  <c r="O790" i="78"/>
  <c r="O497" i="78"/>
  <c r="O442" i="78"/>
  <c r="O360" i="78"/>
  <c r="O265" i="78"/>
  <c r="O573" i="78"/>
  <c r="O1284" i="78"/>
  <c r="O1251" i="78"/>
  <c r="O1239" i="78"/>
  <c r="O1191" i="78"/>
  <c r="O1253" i="78"/>
  <c r="O1165" i="78"/>
  <c r="O1208" i="78"/>
  <c r="O1249" i="78"/>
  <c r="O1195" i="78"/>
  <c r="O1124" i="78"/>
  <c r="O1177" i="78"/>
  <c r="O1063" i="78"/>
  <c r="O1175" i="78"/>
  <c r="O1099" i="78"/>
  <c r="O1090" i="78"/>
  <c r="O1049" i="78"/>
  <c r="O970" i="78"/>
  <c r="O1042" i="78"/>
  <c r="O1002" i="78"/>
  <c r="O981" i="78"/>
  <c r="O816" i="78"/>
  <c r="O809" i="78"/>
  <c r="O868" i="78"/>
  <c r="O964" i="78"/>
  <c r="O743" i="78"/>
  <c r="O877" i="78"/>
  <c r="O735" i="78"/>
  <c r="O777" i="78"/>
  <c r="O936" i="78"/>
  <c r="O688" i="78"/>
  <c r="O825" i="78"/>
  <c r="O681" i="78"/>
  <c r="O843" i="78"/>
  <c r="O718" i="78"/>
  <c r="O902" i="78"/>
  <c r="O692" i="78"/>
  <c r="O697" i="78"/>
  <c r="O578" i="78"/>
  <c r="O601" i="78"/>
  <c r="O546" i="78"/>
  <c r="O630" i="78"/>
  <c r="O386" i="78"/>
  <c r="O526" i="78"/>
  <c r="O373" i="78"/>
  <c r="O340" i="78"/>
  <c r="O438" i="78"/>
  <c r="O345" i="78"/>
  <c r="O635" i="78"/>
  <c r="O420" i="78"/>
  <c r="O586" i="78"/>
  <c r="O337" i="78"/>
  <c r="O343" i="78"/>
  <c r="O336" i="78"/>
  <c r="O625" i="78"/>
  <c r="O1258" i="78"/>
  <c r="O1164" i="78"/>
  <c r="O1050" i="78"/>
  <c r="O1103" i="78"/>
  <c r="O951" i="78"/>
  <c r="O744" i="78"/>
  <c r="O1040" i="78"/>
  <c r="O705" i="78"/>
  <c r="O508" i="78"/>
  <c r="O1263" i="78"/>
  <c r="O1229" i="78"/>
  <c r="O821" i="78"/>
  <c r="O700" i="78"/>
  <c r="O590" i="78"/>
  <c r="O585" i="78"/>
  <c r="O352" i="78"/>
  <c r="O1261" i="78"/>
  <c r="O1278" i="78"/>
  <c r="O1219" i="78"/>
  <c r="O1159" i="78"/>
  <c r="O1215" i="78"/>
  <c r="O1078" i="78"/>
  <c r="O1025" i="78"/>
  <c r="O1160" i="78"/>
  <c r="O933" i="78"/>
  <c r="O804" i="78"/>
  <c r="O904" i="78"/>
  <c r="O796" i="78"/>
  <c r="O781" i="78"/>
  <c r="O772" i="78"/>
  <c r="O675" i="78"/>
  <c r="O691" i="78"/>
  <c r="O701" i="78"/>
  <c r="O494" i="78"/>
  <c r="O520" i="78"/>
  <c r="O436" i="78"/>
  <c r="O418" i="78"/>
  <c r="O525" i="78"/>
  <c r="O281" i="78"/>
  <c r="O295" i="78"/>
  <c r="O106" i="78"/>
  <c r="O251" i="78"/>
  <c r="O426" i="78"/>
  <c r="O284" i="78"/>
  <c r="O301" i="78"/>
  <c r="O437" i="78"/>
  <c r="O402" i="78"/>
  <c r="O299" i="78"/>
  <c r="O456" i="78"/>
  <c r="O778" i="78"/>
  <c r="O356" i="78"/>
  <c r="O455" i="78"/>
  <c r="O372" i="78"/>
  <c r="O279" i="78"/>
  <c r="O351" i="78"/>
  <c r="O369" i="78"/>
  <c r="O462" i="78"/>
  <c r="O286" i="78"/>
  <c r="O358" i="78"/>
  <c r="O593" i="78"/>
  <c r="O385" i="78"/>
  <c r="O457" i="78"/>
  <c r="O539" i="78"/>
  <c r="O624" i="78"/>
  <c r="O416" i="78"/>
  <c r="O488" i="78"/>
  <c r="O544" i="78"/>
  <c r="O375" i="78"/>
  <c r="O447" i="78"/>
  <c r="O513" i="78"/>
  <c r="O498" i="78"/>
  <c r="O570" i="78"/>
  <c r="O660" i="78"/>
  <c r="O860" i="78"/>
  <c r="O553" i="78"/>
  <c r="O613" i="78"/>
  <c r="O678" i="78"/>
  <c r="O524" i="78"/>
  <c r="O596" i="78"/>
  <c r="O702" i="78"/>
  <c r="O703" i="78"/>
  <c r="O325" i="78"/>
  <c r="O306" i="78"/>
  <c r="O461" i="78"/>
  <c r="O474" i="78"/>
  <c r="O257" i="78"/>
  <c r="O305" i="78"/>
  <c r="O467" i="78"/>
  <c r="O383" i="78"/>
  <c r="O290" i="78"/>
  <c r="O362" i="78"/>
  <c r="O466" i="78"/>
  <c r="O285" i="78"/>
  <c r="O357" i="78"/>
  <c r="O370" i="78"/>
  <c r="O473" i="78"/>
  <c r="O292" i="78"/>
  <c r="O604" i="78"/>
  <c r="O391" i="78"/>
  <c r="O463" i="78"/>
  <c r="O550" i="78"/>
  <c r="O422" i="78"/>
  <c r="O514" i="78"/>
  <c r="O555" i="78"/>
  <c r="O381" i="78"/>
  <c r="O453" i="78"/>
  <c r="O707" i="78"/>
  <c r="O519" i="78"/>
  <c r="O504" i="78"/>
  <c r="O576" i="78"/>
  <c r="O665" i="78"/>
  <c r="O638" i="78"/>
  <c r="O1080" i="78"/>
  <c r="O559" i="78"/>
  <c r="O614" i="78"/>
  <c r="O530" i="78"/>
  <c r="O602" i="78"/>
  <c r="O649" i="78"/>
  <c r="O708" i="78"/>
  <c r="O709" i="78"/>
  <c r="O887" i="78"/>
  <c r="O884" i="78"/>
  <c r="O704" i="78"/>
  <c r="O639" i="78"/>
  <c r="O711" i="78"/>
  <c r="O929" i="78"/>
  <c r="O789" i="78"/>
  <c r="O652" i="78"/>
  <c r="O787" i="78"/>
  <c r="O800" i="78"/>
  <c r="O855" i="78"/>
  <c r="O746" i="78"/>
  <c r="O871" i="78"/>
  <c r="O823" i="78"/>
  <c r="O1279" i="78"/>
  <c r="O802" i="78"/>
  <c r="O874" i="78"/>
  <c r="O773" i="78"/>
  <c r="O845" i="78"/>
  <c r="O930" i="78"/>
  <c r="O780" i="78"/>
  <c r="O852" i="78"/>
  <c r="O1037" i="78"/>
  <c r="O942" i="78"/>
  <c r="O907" i="78"/>
  <c r="O985" i="78"/>
  <c r="O932" i="78"/>
  <c r="O885" i="78"/>
  <c r="O1064" i="78"/>
  <c r="O1012" i="78"/>
  <c r="O947" i="78"/>
  <c r="O1072" i="78"/>
  <c r="O1015" i="78"/>
  <c r="O1111" i="78"/>
  <c r="O1066" i="78"/>
  <c r="O1047" i="78"/>
  <c r="O1055" i="78"/>
  <c r="O1077" i="78"/>
  <c r="O1194" i="78"/>
  <c r="O1081" i="78"/>
  <c r="O1200" i="78"/>
  <c r="O1106" i="78"/>
  <c r="O1207" i="78"/>
  <c r="O1132" i="78"/>
  <c r="O1125" i="78"/>
  <c r="O1257" i="78"/>
  <c r="O253" i="78"/>
  <c r="O378" i="78"/>
  <c r="O330" i="78"/>
  <c r="O331" i="78"/>
  <c r="O562" i="78"/>
  <c r="O400" i="78"/>
  <c r="O389" i="78"/>
  <c r="O258" i="78"/>
  <c r="O311" i="78"/>
  <c r="O478" i="78"/>
  <c r="O296" i="78"/>
  <c r="O468" i="78"/>
  <c r="O551" i="78"/>
  <c r="O291" i="78"/>
  <c r="O363" i="78"/>
  <c r="O484" i="78"/>
  <c r="O298" i="78"/>
  <c r="O538" i="78"/>
  <c r="O507" i="78"/>
  <c r="O695" i="78"/>
  <c r="O397" i="78"/>
  <c r="O469" i="78"/>
  <c r="O561" i="78"/>
  <c r="O732" i="78"/>
  <c r="O428" i="78"/>
  <c r="O557" i="78"/>
  <c r="O387" i="78"/>
  <c r="O459" i="78"/>
  <c r="O510" i="78"/>
  <c r="O582" i="78"/>
  <c r="O643" i="78"/>
  <c r="O493" i="78"/>
  <c r="O565" i="78"/>
  <c r="O536" i="78"/>
  <c r="O608" i="78"/>
  <c r="O714" i="78"/>
  <c r="O849" i="78"/>
  <c r="O715" i="78"/>
  <c r="O892" i="78"/>
  <c r="O710" i="78"/>
  <c r="O853" i="78"/>
  <c r="O645" i="78"/>
  <c r="O948" i="78"/>
  <c r="O658" i="78"/>
  <c r="O818" i="78"/>
  <c r="O861" i="78"/>
  <c r="O747" i="78"/>
  <c r="O830" i="78"/>
  <c r="O808" i="78"/>
  <c r="O880" i="78"/>
  <c r="O779" i="78"/>
  <c r="O851" i="78"/>
  <c r="O949" i="78"/>
  <c r="O917" i="78"/>
  <c r="O786" i="78"/>
  <c r="O858" i="78"/>
  <c r="O1053" i="78"/>
  <c r="O943" i="78"/>
  <c r="O913" i="78"/>
  <c r="O1013" i="78"/>
  <c r="O987" i="78"/>
  <c r="O955" i="78"/>
  <c r="O891" i="78"/>
  <c r="O1083" i="78"/>
  <c r="O1016" i="78"/>
  <c r="O953" i="78"/>
  <c r="O1022" i="78"/>
  <c r="O1145" i="78"/>
  <c r="O1061" i="78"/>
  <c r="O1182" i="78"/>
  <c r="O1224" i="78"/>
  <c r="O1244" i="78"/>
  <c r="O1107" i="78"/>
  <c r="O1021" i="78"/>
  <c r="O1084" i="78"/>
  <c r="O1230" i="78"/>
  <c r="O1112" i="78"/>
  <c r="O1133" i="78"/>
  <c r="O1271" i="78"/>
  <c r="O1128" i="78"/>
  <c r="O269" i="78"/>
  <c r="O597" i="78"/>
  <c r="O259" i="78"/>
  <c r="O317" i="78"/>
  <c r="O480" i="78"/>
  <c r="O302" i="78"/>
  <c r="O388" i="78"/>
  <c r="O479" i="78"/>
  <c r="O297" i="78"/>
  <c r="O371" i="78"/>
  <c r="O382" i="78"/>
  <c r="O486" i="78"/>
  <c r="O304" i="78"/>
  <c r="O631" i="78"/>
  <c r="O886" i="78"/>
  <c r="O626" i="78"/>
  <c r="O403" i="78"/>
  <c r="O475" i="78"/>
  <c r="O563" i="78"/>
  <c r="O434" i="78"/>
  <c r="O568" i="78"/>
  <c r="O393" i="78"/>
  <c r="O465" i="78"/>
  <c r="O516" i="78"/>
  <c r="O588" i="78"/>
  <c r="O499" i="78"/>
  <c r="O571" i="78"/>
  <c r="O542" i="78"/>
  <c r="O684" i="78"/>
  <c r="O740" i="78"/>
  <c r="O896" i="78"/>
  <c r="O726" i="78"/>
  <c r="O916" i="78"/>
  <c r="O644" i="78"/>
  <c r="O716" i="78"/>
  <c r="O651" i="78"/>
  <c r="O836" i="78"/>
  <c r="O664" i="78"/>
  <c r="O982" i="78"/>
  <c r="O990" i="78"/>
  <c r="O807" i="78"/>
  <c r="O748" i="78"/>
  <c r="O906" i="78"/>
  <c r="O905" i="78"/>
  <c r="O814" i="78"/>
  <c r="O785" i="78"/>
  <c r="O857" i="78"/>
  <c r="O792" i="78"/>
  <c r="O864" i="78"/>
  <c r="O944" i="78"/>
  <c r="O919" i="78"/>
  <c r="O1031" i="78"/>
  <c r="O989" i="78"/>
  <c r="O960" i="78"/>
  <c r="O897" i="78"/>
  <c r="O1226" i="78"/>
  <c r="O1019" i="78"/>
  <c r="O1028" i="78"/>
  <c r="O1054" i="78"/>
  <c r="O959" i="78"/>
  <c r="O1023" i="78"/>
  <c r="O1091" i="78"/>
  <c r="O1105" i="78"/>
  <c r="O1089" i="78"/>
  <c r="O1079" i="78"/>
  <c r="O1248" i="78"/>
  <c r="O1020" i="78"/>
  <c r="O1027" i="78"/>
  <c r="O1118" i="78"/>
  <c r="O1156" i="78"/>
  <c r="O1134" i="78"/>
  <c r="O300" i="78"/>
  <c r="O342" i="78"/>
  <c r="O270" i="78"/>
  <c r="O355" i="78"/>
  <c r="O319" i="78"/>
  <c r="O260" i="78"/>
  <c r="O323" i="78"/>
  <c r="O395" i="78"/>
  <c r="O491" i="78"/>
  <c r="O308" i="78"/>
  <c r="O394" i="78"/>
  <c r="O490" i="78"/>
  <c r="O623" i="78"/>
  <c r="O303" i="78"/>
  <c r="O377" i="78"/>
  <c r="O401" i="78"/>
  <c r="O502" i="78"/>
  <c r="O310" i="78"/>
  <c r="O532" i="78"/>
  <c r="O629" i="78"/>
  <c r="O409" i="78"/>
  <c r="O481" i="78"/>
  <c r="O574" i="78"/>
  <c r="O440" i="78"/>
  <c r="O579" i="78"/>
  <c r="O399" i="78"/>
  <c r="O471" i="78"/>
  <c r="O647" i="78"/>
  <c r="O522" i="78"/>
  <c r="O594" i="78"/>
  <c r="O730" i="78"/>
  <c r="O672" i="78"/>
  <c r="O505" i="78"/>
  <c r="O577" i="78"/>
  <c r="O653" i="78"/>
  <c r="O713" i="78"/>
  <c r="O548" i="78"/>
  <c r="O659" i="78"/>
  <c r="O727" i="78"/>
  <c r="O294" i="78"/>
  <c r="O278" i="78"/>
  <c r="O272" i="78"/>
  <c r="O448" i="78"/>
  <c r="O264" i="78"/>
  <c r="O424" i="78"/>
  <c r="O252" i="78"/>
  <c r="O335" i="78"/>
  <c r="O408" i="78"/>
  <c r="O503" i="78"/>
  <c r="O320" i="78"/>
  <c r="O407" i="78"/>
  <c r="O527" i="78"/>
  <c r="O315" i="78"/>
  <c r="O414" i="78"/>
  <c r="O250" i="78"/>
  <c r="O322" i="78"/>
  <c r="O545" i="78"/>
  <c r="O648" i="78"/>
  <c r="O421" i="78"/>
  <c r="O501" i="78"/>
  <c r="O587" i="78"/>
  <c r="O380" i="78"/>
  <c r="O452" i="78"/>
  <c r="O592" i="78"/>
  <c r="O411" i="78"/>
  <c r="O483" i="78"/>
  <c r="O819" i="78"/>
  <c r="O534" i="78"/>
  <c r="O606" i="78"/>
  <c r="O517" i="78"/>
  <c r="O589" i="78"/>
  <c r="O739" i="78"/>
  <c r="O873" i="78"/>
  <c r="O560" i="78"/>
  <c r="O763" i="78"/>
  <c r="O667" i="78"/>
  <c r="O724" i="78"/>
  <c r="O662" i="78"/>
  <c r="O722" i="78"/>
  <c r="O669" i="78"/>
  <c r="O766" i="78"/>
  <c r="O610" i="78"/>
  <c r="O682" i="78"/>
  <c r="O759" i="78"/>
  <c r="O753" i="78"/>
  <c r="O824" i="78"/>
  <c r="O1017" i="78"/>
  <c r="O998" i="78"/>
  <c r="O847" i="78"/>
  <c r="O924" i="78"/>
  <c r="O918" i="78"/>
  <c r="O832" i="78"/>
  <c r="O928" i="78"/>
  <c r="O803" i="78"/>
  <c r="O875" i="78"/>
  <c r="O1010" i="78"/>
  <c r="O810" i="78"/>
  <c r="O882" i="78"/>
  <c r="O962" i="78"/>
  <c r="O937" i="78"/>
  <c r="O1014" i="78"/>
  <c r="O915" i="78"/>
  <c r="O954" i="78"/>
  <c r="O945" i="78"/>
  <c r="O1058" i="78"/>
  <c r="O1087" i="78"/>
  <c r="O977" i="78"/>
  <c r="O1136" i="78"/>
  <c r="O1139" i="78"/>
  <c r="O1093" i="78"/>
  <c r="O1097" i="78"/>
  <c r="O1038" i="78"/>
  <c r="O1045" i="78"/>
  <c r="O1149" i="78"/>
  <c r="O1286" i="78"/>
  <c r="O1183" i="78"/>
  <c r="O1152" i="78"/>
  <c r="O1272" i="78"/>
  <c r="O1277" i="78"/>
  <c r="O1222" i="78"/>
  <c r="O1174" i="78"/>
  <c r="O1237" i="78"/>
  <c r="O1179" i="78"/>
  <c r="O1243" i="78"/>
  <c r="O1285" i="78"/>
  <c r="O1153" i="78"/>
  <c r="O1190" i="78"/>
  <c r="O1245" i="78"/>
  <c r="O1212" i="78"/>
  <c r="O1094" i="78"/>
  <c r="O1154" i="78"/>
  <c r="O1051" i="78"/>
  <c r="O1123" i="78"/>
  <c r="O1223" i="78"/>
  <c r="O1096" i="78"/>
  <c r="O1046" i="78"/>
  <c r="O1070" i="78"/>
  <c r="O1024" i="78"/>
  <c r="O1018" i="78"/>
  <c r="O1102" i="78"/>
  <c r="O1036" i="78"/>
  <c r="O927" i="78"/>
  <c r="O926" i="78"/>
  <c r="O940" i="78"/>
  <c r="O898" i="78"/>
  <c r="O798" i="78"/>
  <c r="O899" i="78"/>
  <c r="O791" i="78"/>
  <c r="O856" i="78"/>
  <c r="O912" i="78"/>
  <c r="O731" i="78"/>
  <c r="O723" i="78"/>
  <c r="O670" i="78"/>
  <c r="O793" i="78"/>
  <c r="O663" i="78"/>
  <c r="O680" i="78"/>
  <c r="O685" i="78"/>
  <c r="O641" i="78"/>
  <c r="O566" i="78"/>
  <c r="O583" i="78"/>
  <c r="O528" i="78"/>
  <c r="O489" i="78"/>
  <c r="O603" i="78"/>
  <c r="O482" i="78"/>
  <c r="O328" i="78"/>
  <c r="O425" i="78"/>
  <c r="O333" i="78"/>
  <c r="O396" i="78"/>
  <c r="O359" i="78"/>
  <c r="O276" i="78"/>
  <c r="O254" i="78"/>
  <c r="O275" i="78"/>
  <c r="O307" i="78"/>
  <c r="O1266" i="78"/>
  <c r="O1216" i="78"/>
  <c r="O1168" i="78"/>
  <c r="O1205" i="78"/>
  <c r="O1236" i="78"/>
  <c r="O1173" i="78"/>
  <c r="O1242" i="78"/>
  <c r="O1225" i="78"/>
  <c r="O1147" i="78"/>
  <c r="O1088" i="78"/>
  <c r="O1151" i="78"/>
  <c r="O1039" i="78"/>
  <c r="O1155" i="78"/>
  <c r="O1095" i="78"/>
  <c r="O1009" i="78"/>
  <c r="O1092" i="78"/>
  <c r="O1030" i="78"/>
  <c r="O995" i="78"/>
  <c r="O1034" i="78"/>
  <c r="O968" i="78"/>
  <c r="O921" i="78"/>
  <c r="O920" i="78"/>
  <c r="O961" i="78"/>
  <c r="O931" i="78"/>
  <c r="O893" i="78"/>
  <c r="O774" i="78"/>
  <c r="O894" i="78"/>
  <c r="O767" i="78"/>
  <c r="O850" i="78"/>
  <c r="O935" i="78"/>
  <c r="O806" i="78"/>
  <c r="O725" i="78"/>
  <c r="O775" i="78"/>
  <c r="O776" i="78"/>
  <c r="O717" i="78"/>
  <c r="O760" i="78"/>
  <c r="O646" i="78"/>
  <c r="O657" i="78"/>
  <c r="O835" i="78"/>
  <c r="O674" i="78"/>
  <c r="O679" i="78"/>
  <c r="O554" i="78"/>
  <c r="O642" i="78"/>
  <c r="O883" i="78"/>
  <c r="O547" i="78"/>
  <c r="O492" i="78"/>
  <c r="O477" i="78"/>
  <c r="O581" i="78"/>
  <c r="O476" i="78"/>
  <c r="O316" i="78"/>
  <c r="O412" i="78"/>
  <c r="O327" i="78"/>
  <c r="O454" i="78"/>
  <c r="O353" i="78"/>
  <c r="O472" i="78"/>
  <c r="O521" i="78"/>
  <c r="O324" i="78"/>
  <c r="O287" i="78"/>
  <c r="O348" i="78"/>
  <c r="O1282" i="78"/>
  <c r="O1210" i="78"/>
  <c r="O1235" i="78"/>
  <c r="O1167" i="78"/>
  <c r="O1241" i="78"/>
  <c r="O1256" i="78"/>
  <c r="O1141" i="78"/>
  <c r="O1214" i="78"/>
  <c r="O1161" i="78"/>
  <c r="O1201" i="78"/>
  <c r="O1082" i="78"/>
  <c r="O1150" i="78"/>
  <c r="O1033" i="78"/>
  <c r="O1074" i="78"/>
  <c r="O1137" i="78"/>
  <c r="O1011" i="78"/>
  <c r="O1048" i="78"/>
  <c r="O1142" i="78"/>
  <c r="O1003" i="78"/>
  <c r="O1004" i="78"/>
  <c r="O1067" i="78"/>
  <c r="O975" i="78"/>
  <c r="O909" i="78"/>
  <c r="O914" i="78"/>
  <c r="O956" i="78"/>
  <c r="O925" i="78"/>
  <c r="O888" i="78"/>
  <c r="O768" i="78"/>
  <c r="O881" i="78"/>
  <c r="O761" i="78"/>
  <c r="O844" i="78"/>
  <c r="O799" i="78"/>
  <c r="O719" i="78"/>
  <c r="O771" i="78"/>
  <c r="O950" i="78"/>
  <c r="O758" i="78"/>
  <c r="O859" i="78"/>
  <c r="O640" i="78"/>
  <c r="O764" i="78"/>
  <c r="O633" i="78"/>
  <c r="O784" i="78"/>
  <c r="O668" i="78"/>
  <c r="O673" i="78"/>
  <c r="O696" i="78"/>
  <c r="O636" i="78"/>
  <c r="O518" i="78"/>
  <c r="O637" i="78"/>
  <c r="O541" i="78"/>
  <c r="O620" i="78"/>
  <c r="O441" i="78"/>
  <c r="O533" i="78"/>
  <c r="O470" i="78"/>
  <c r="O487" i="78"/>
  <c r="O632" i="78"/>
  <c r="O591" i="78"/>
  <c r="O280" i="78"/>
  <c r="O321" i="78"/>
  <c r="O350" i="78"/>
  <c r="O443" i="78"/>
  <c r="O347" i="78"/>
  <c r="O282" i="78"/>
  <c r="O485" i="78"/>
  <c r="O349" i="78"/>
  <c r="O1276" i="78"/>
  <c r="O1204" i="78"/>
  <c r="O1232" i="78"/>
  <c r="O1231" i="78"/>
  <c r="O1227" i="78"/>
  <c r="O1135" i="78"/>
  <c r="O1211" i="78"/>
  <c r="O1188" i="78"/>
  <c r="O1259" i="78"/>
  <c r="O1148" i="78"/>
  <c r="O1122" i="78"/>
  <c r="O1068" i="78"/>
  <c r="O1138" i="78"/>
  <c r="O1071" i="78"/>
  <c r="O1126" i="78"/>
  <c r="O1005" i="78"/>
  <c r="O997" i="78"/>
  <c r="O1000" i="78"/>
  <c r="O969" i="78"/>
  <c r="O1001" i="78"/>
  <c r="O903" i="78"/>
  <c r="O908" i="78"/>
  <c r="O901" i="78"/>
  <c r="O876" i="78"/>
  <c r="O762" i="78"/>
  <c r="O869" i="78"/>
  <c r="O755" i="78"/>
  <c r="O838" i="78"/>
  <c r="O1187" i="78"/>
  <c r="O879" i="78"/>
  <c r="O1043" i="78"/>
  <c r="O770" i="78"/>
  <c r="O848" i="78"/>
  <c r="O757" i="78"/>
  <c r="O634" i="78"/>
  <c r="O627" i="78"/>
  <c r="O805" i="78"/>
  <c r="O656" i="78"/>
  <c r="O842" i="78"/>
  <c r="O661" i="78"/>
  <c r="O690" i="78"/>
  <c r="O512" i="78"/>
  <c r="O745" i="78"/>
  <c r="O535" i="78"/>
  <c r="O619" i="78"/>
  <c r="O733" i="78"/>
  <c r="O435" i="78"/>
  <c r="O531" i="78"/>
  <c r="O683" i="78"/>
  <c r="O464" i="78"/>
  <c r="O666" i="78"/>
  <c r="O451" i="78"/>
  <c r="O580" i="78"/>
  <c r="O274" i="78"/>
  <c r="O368" i="78"/>
  <c r="O575" i="78"/>
  <c r="O309" i="78"/>
  <c r="O344" i="78"/>
  <c r="O432" i="78"/>
  <c r="O341" i="78"/>
  <c r="O277" i="78"/>
  <c r="O1280" i="78"/>
  <c r="O1119" i="78"/>
  <c r="O971" i="78"/>
  <c r="O840" i="78"/>
  <c r="O1041" i="78"/>
  <c r="O854" i="78"/>
  <c r="O712" i="78"/>
  <c r="O417" i="78"/>
  <c r="O256" i="78"/>
  <c r="O1146" i="78"/>
  <c r="O1109" i="78"/>
  <c r="O941" i="78"/>
  <c r="O1007" i="78"/>
  <c r="O966" i="78"/>
  <c r="O958" i="78"/>
  <c r="O736" i="78"/>
  <c r="O878" i="78"/>
  <c r="O460" i="78"/>
  <c r="O769" i="78"/>
  <c r="O283" i="78"/>
  <c r="O1192" i="78"/>
  <c r="O1234" i="78"/>
  <c r="O1209" i="78"/>
  <c r="O1283" i="78"/>
  <c r="O1180" i="78"/>
  <c r="O1185" i="78"/>
  <c r="O1178" i="78"/>
  <c r="O1100" i="78"/>
  <c r="O1057" i="78"/>
  <c r="O922" i="78"/>
  <c r="O862" i="78"/>
  <c r="O737" i="78"/>
  <c r="O686" i="78"/>
  <c r="O765" i="78"/>
  <c r="O595" i="78"/>
  <c r="O829" i="78"/>
  <c r="O334" i="78"/>
  <c r="O450" i="78"/>
  <c r="O1270" i="78"/>
  <c r="O1198" i="78"/>
  <c r="O1220" i="78"/>
  <c r="O1267" i="78"/>
  <c r="O1281" i="78"/>
  <c r="O1196" i="78"/>
  <c r="O1129" i="78"/>
  <c r="O1181" i="78"/>
  <c r="O1176" i="78"/>
  <c r="O1131" i="78"/>
  <c r="O1166" i="78"/>
  <c r="O1117" i="78"/>
  <c r="O1062" i="78"/>
  <c r="O1108" i="78"/>
  <c r="O1065" i="78"/>
  <c r="O1114" i="78"/>
  <c r="O999" i="78"/>
  <c r="O1116" i="78"/>
  <c r="O991" i="78"/>
  <c r="O963" i="78"/>
  <c r="O996" i="78"/>
  <c r="O895" i="78"/>
  <c r="O870" i="78"/>
  <c r="O756" i="78"/>
  <c r="O863" i="78"/>
  <c r="O749" i="78"/>
  <c r="O967" i="78"/>
  <c r="O826" i="78"/>
  <c r="O978" i="78"/>
  <c r="O841" i="78"/>
  <c r="O754" i="78"/>
  <c r="O872" i="78"/>
  <c r="O628" i="78"/>
  <c r="O621" i="78"/>
  <c r="O650" i="78"/>
  <c r="O910" i="78"/>
  <c r="O812" i="78"/>
  <c r="O506" i="78"/>
  <c r="O529" i="78"/>
  <c r="O618" i="78"/>
  <c r="O689" i="78"/>
  <c r="O429" i="78"/>
  <c r="O458" i="78"/>
  <c r="O655" i="78"/>
  <c r="O445" i="78"/>
  <c r="O569" i="78"/>
  <c r="O268" i="78"/>
  <c r="O367" i="78"/>
  <c r="O273" i="78"/>
  <c r="O338" i="78"/>
  <c r="O430" i="78"/>
  <c r="O329" i="78"/>
  <c r="O313" i="78"/>
  <c r="O289" i="78"/>
  <c r="O271" i="78"/>
  <c r="O376" i="78"/>
  <c r="O1262" i="78"/>
  <c r="O1269" i="78"/>
  <c r="O1163" i="78"/>
  <c r="O751" i="78"/>
  <c r="O973" i="78"/>
  <c r="O600" i="78"/>
  <c r="O556" i="78"/>
  <c r="O365" i="78"/>
  <c r="O549" i="78"/>
  <c r="O1170" i="78"/>
  <c r="O1032" i="78"/>
  <c r="O1115" i="78"/>
  <c r="O1086" i="78"/>
  <c r="O828" i="78"/>
  <c r="O900" i="78"/>
  <c r="O837" i="78"/>
  <c r="O817" i="78"/>
  <c r="O720" i="78"/>
  <c r="O558" i="78"/>
  <c r="O398" i="78"/>
  <c r="O677" i="78"/>
  <c r="O1233" i="78"/>
  <c r="O1186" i="78"/>
  <c r="O1228" i="78"/>
  <c r="O1238" i="78"/>
  <c r="O1260" i="78"/>
  <c r="O1247" i="78"/>
  <c r="O1157" i="78"/>
  <c r="O1098" i="78"/>
  <c r="O979" i="78"/>
  <c r="O797" i="78"/>
  <c r="O813" i="78"/>
  <c r="O729" i="78"/>
  <c r="O676" i="78"/>
  <c r="O572" i="78"/>
  <c r="O540" i="78"/>
  <c r="O605" i="78"/>
  <c r="O339" i="78"/>
  <c r="O1264" i="78"/>
  <c r="O1287" i="78"/>
  <c r="O1218" i="78"/>
  <c r="O1273" i="78"/>
  <c r="O1217" i="78"/>
  <c r="O1213" i="78"/>
  <c r="O1193" i="78"/>
  <c r="O1275" i="78"/>
  <c r="O1162" i="78"/>
  <c r="O1130" i="78"/>
  <c r="O1056" i="78"/>
  <c r="O1059" i="78"/>
  <c r="O1121" i="78"/>
  <c r="O1274" i="78"/>
  <c r="O994" i="78"/>
  <c r="O957" i="78"/>
  <c r="O974" i="78"/>
  <c r="O938" i="78"/>
  <c r="O1035" i="78"/>
  <c r="O889" i="78"/>
  <c r="O846" i="78"/>
  <c r="O750" i="78"/>
  <c r="O839" i="78"/>
  <c r="O820" i="78"/>
  <c r="O890" i="78"/>
  <c r="O1104" i="78"/>
  <c r="O752" i="78"/>
  <c r="O622" i="78"/>
  <c r="O615" i="78"/>
  <c r="O500" i="78"/>
  <c r="O523" i="78"/>
  <c r="O617" i="78"/>
  <c r="O423" i="78"/>
  <c r="O495" i="78"/>
  <c r="O671" i="78"/>
  <c r="O446" i="78"/>
  <c r="O439" i="78"/>
  <c r="O567" i="78"/>
  <c r="O262" i="78"/>
  <c r="O366" i="78"/>
  <c r="O267" i="78"/>
  <c r="O332" i="78"/>
  <c r="O419" i="78"/>
  <c r="O293" i="78"/>
  <c r="O361" i="78"/>
  <c r="O413" i="78"/>
  <c r="O170" i="78"/>
  <c r="O163" i="78"/>
  <c r="O225" i="78"/>
  <c r="O121" i="78"/>
  <c r="O105" i="78"/>
  <c r="O114" i="78"/>
  <c r="O219" i="78"/>
  <c r="O187" i="78"/>
  <c r="O115" i="78"/>
  <c r="O99" i="78"/>
  <c r="O196" i="78"/>
  <c r="O176" i="78"/>
  <c r="O130" i="78"/>
  <c r="O113" i="78"/>
  <c r="O164" i="78"/>
  <c r="O197" i="78"/>
  <c r="O248" i="78"/>
  <c r="O242" i="78"/>
  <c r="O191" i="78"/>
  <c r="O182" i="78"/>
  <c r="O161" i="78"/>
  <c r="O226" i="78"/>
  <c r="O93" i="78"/>
  <c r="O180" i="78"/>
  <c r="O143" i="78"/>
  <c r="O232" i="78"/>
  <c r="O199" i="78"/>
  <c r="O125" i="78"/>
  <c r="O208" i="78"/>
  <c r="O193" i="78"/>
  <c r="O244" i="78"/>
  <c r="O213" i="78"/>
  <c r="O181" i="78"/>
  <c r="O190" i="78"/>
  <c r="O137" i="78"/>
  <c r="O160" i="78"/>
  <c r="O112" i="78"/>
  <c r="O207" i="78"/>
  <c r="O142" i="78"/>
  <c r="O123" i="78"/>
  <c r="O245" i="78"/>
  <c r="O122" i="78"/>
  <c r="O92" i="78"/>
  <c r="O111" i="78"/>
  <c r="O107" i="78"/>
  <c r="O108" i="78"/>
  <c r="O216" i="78"/>
  <c r="O203" i="78"/>
  <c r="O238" i="78"/>
  <c r="O102" i="78"/>
  <c r="O236" i="78"/>
  <c r="O215" i="78"/>
  <c r="O96" i="78"/>
  <c r="O153" i="78"/>
  <c r="O175" i="78"/>
  <c r="O228" i="78"/>
  <c r="O157" i="78"/>
  <c r="O148" i="78"/>
  <c r="O119" i="78"/>
  <c r="O195" i="78"/>
  <c r="O224" i="78"/>
  <c r="O241" i="78"/>
  <c r="O178" i="78"/>
  <c r="O179" i="78"/>
  <c r="O154" i="78"/>
  <c r="O104" i="78"/>
  <c r="O134" i="78"/>
  <c r="O201" i="78"/>
  <c r="O247" i="78"/>
  <c r="O186" i="78"/>
  <c r="O168" i="78"/>
  <c r="O233" i="78"/>
  <c r="O167" i="78"/>
  <c r="O235" i="78"/>
  <c r="O227" i="78"/>
  <c r="O150" i="78"/>
  <c r="O136" i="78"/>
  <c r="O146" i="78"/>
  <c r="O169" i="78"/>
  <c r="O249" i="78"/>
  <c r="O177" i="78"/>
  <c r="O206" i="78"/>
  <c r="O223" i="78"/>
  <c r="O220" i="78"/>
  <c r="O145" i="78"/>
  <c r="O138" i="78"/>
  <c r="O214" i="78"/>
  <c r="O222" i="78"/>
  <c r="O97" i="78"/>
  <c r="O109" i="78"/>
  <c r="O129" i="78"/>
  <c r="O149" i="78"/>
  <c r="O95" i="78"/>
  <c r="O117" i="78"/>
  <c r="O128" i="78"/>
  <c r="O94" i="78"/>
  <c r="O230" i="78"/>
  <c r="O234" i="78"/>
  <c r="O212" i="78"/>
  <c r="O172" i="78"/>
  <c r="O192" i="78"/>
  <c r="O120" i="78"/>
  <c r="O118" i="78"/>
  <c r="O243" i="78"/>
  <c r="O171" i="78"/>
  <c r="O200" i="78"/>
  <c r="O217" i="78"/>
  <c r="O139" i="78"/>
  <c r="O132" i="78"/>
  <c r="O202" i="78"/>
  <c r="O246" i="78"/>
  <c r="O103" i="78"/>
  <c r="O140" i="78"/>
  <c r="O156" i="78"/>
  <c r="O116" i="78"/>
  <c r="O158" i="78"/>
  <c r="O173" i="78"/>
  <c r="O209" i="78"/>
  <c r="O189" i="78"/>
  <c r="O221" i="78"/>
  <c r="O147" i="78"/>
  <c r="O135" i="78"/>
  <c r="O183" i="78"/>
  <c r="O229" i="78"/>
  <c r="O144" i="78"/>
  <c r="O237" i="78"/>
  <c r="O165" i="78"/>
  <c r="O194" i="78"/>
  <c r="O211" i="78"/>
  <c r="O210" i="78"/>
  <c r="O133" i="78"/>
  <c r="O126" i="78"/>
  <c r="O204" i="78"/>
  <c r="O185" i="78"/>
  <c r="O240" i="78"/>
  <c r="O155" i="78"/>
  <c r="O162" i="78"/>
  <c r="O110" i="78"/>
  <c r="O141" i="78"/>
  <c r="O184" i="78"/>
  <c r="O101" i="78"/>
  <c r="O218" i="78"/>
  <c r="O174" i="78"/>
  <c r="O152" i="78"/>
  <c r="O151" i="78"/>
  <c r="O166" i="78"/>
  <c r="O131" i="78"/>
  <c r="O231" i="78"/>
  <c r="O159" i="78"/>
  <c r="O188" i="78"/>
  <c r="O205" i="78"/>
  <c r="O127" i="78"/>
  <c r="O198" i="78"/>
  <c r="O98" i="78"/>
  <c r="O239" i="78"/>
  <c r="O124" i="78"/>
  <c r="O100" i="78"/>
  <c r="A1" i="78"/>
  <c r="AA83" i="78" l="1"/>
  <c r="AA84" i="78"/>
  <c r="AA85" i="78"/>
  <c r="AA86" i="78"/>
  <c r="AA87" i="78"/>
  <c r="AA88" i="78"/>
  <c r="AA89" i="78"/>
  <c r="AA90" i="78"/>
  <c r="AA91" i="78"/>
  <c r="A91" i="78"/>
  <c r="A90" i="78"/>
  <c r="A89" i="78"/>
  <c r="A88" i="78"/>
  <c r="A87" i="78"/>
  <c r="A86" i="78"/>
  <c r="A85" i="78"/>
  <c r="A84" i="78"/>
  <c r="A83" i="78"/>
  <c r="D84" i="78"/>
  <c r="C87" i="78"/>
  <c r="E90" i="78"/>
  <c r="E88" i="78"/>
  <c r="C88" i="78"/>
  <c r="B88" i="78"/>
  <c r="E85" i="78"/>
  <c r="C91" i="78"/>
  <c r="D91" i="78"/>
  <c r="D88" i="78"/>
  <c r="B89" i="78"/>
  <c r="B87" i="78"/>
  <c r="E83" i="78"/>
  <c r="C85" i="78"/>
  <c r="D87" i="78"/>
  <c r="E91" i="78"/>
  <c r="B91" i="78"/>
  <c r="B83" i="78"/>
  <c r="C86" i="78"/>
  <c r="C84" i="78"/>
  <c r="C89" i="78"/>
  <c r="D86" i="78"/>
  <c r="B90" i="78"/>
  <c r="E84" i="78"/>
  <c r="E87" i="78"/>
  <c r="C90" i="78"/>
  <c r="B85" i="78"/>
  <c r="B86" i="78"/>
  <c r="D90" i="78"/>
  <c r="D83" i="78"/>
  <c r="C83" i="78"/>
  <c r="B84" i="78"/>
  <c r="D89" i="78"/>
  <c r="D85" i="78"/>
  <c r="E86" i="78"/>
  <c r="E89" i="78"/>
  <c r="AF84" i="78" l="1"/>
  <c r="AE85" i="78"/>
  <c r="AG84" i="78"/>
  <c r="AF90" i="78"/>
  <c r="AE91" i="78"/>
  <c r="AF85" i="78"/>
  <c r="AG86" i="78"/>
  <c r="AF87" i="78"/>
  <c r="AF88" i="78"/>
  <c r="AF86" i="78"/>
  <c r="AE83" i="78"/>
  <c r="AG88" i="78"/>
  <c r="AE89" i="78"/>
  <c r="AF91" i="78"/>
  <c r="AE86" i="78"/>
  <c r="AF83" i="78"/>
  <c r="AF89" i="78"/>
  <c r="AG83" i="78"/>
  <c r="AE84" i="78"/>
  <c r="AG89" i="78"/>
  <c r="AE90" i="78"/>
  <c r="AG90" i="78"/>
  <c r="AG85" i="78"/>
  <c r="AG91" i="78"/>
  <c r="AE87" i="78"/>
  <c r="AG87" i="78"/>
  <c r="AE88" i="78"/>
  <c r="O85" i="78"/>
  <c r="F89" i="78"/>
  <c r="F83" i="78"/>
  <c r="O91" i="78"/>
  <c r="F90" i="78"/>
  <c r="F91" i="78"/>
  <c r="F87" i="78"/>
  <c r="F86" i="78"/>
  <c r="O83" i="78"/>
  <c r="O89" i="78"/>
  <c r="F84" i="78"/>
  <c r="O86" i="78"/>
  <c r="F88" i="78"/>
  <c r="O84" i="78"/>
  <c r="O90" i="78"/>
  <c r="F85" i="78"/>
  <c r="O87" i="78"/>
  <c r="O88" i="78"/>
  <c r="AA82" i="78"/>
  <c r="AA81" i="78"/>
  <c r="AA80" i="78"/>
  <c r="AA79" i="78"/>
  <c r="AA78" i="78"/>
  <c r="AA77" i="78"/>
  <c r="AA76" i="78"/>
  <c r="AA75" i="78"/>
  <c r="AA74" i="78"/>
  <c r="AA73" i="78"/>
  <c r="AA72" i="78"/>
  <c r="AA71" i="78"/>
  <c r="AA70" i="78"/>
  <c r="AA69" i="78"/>
  <c r="AA68" i="78"/>
  <c r="AA67" i="78"/>
  <c r="AA66" i="78"/>
  <c r="AA65" i="78"/>
  <c r="AA64" i="78"/>
  <c r="AA63" i="78"/>
  <c r="AA62" i="78"/>
  <c r="AA61" i="78"/>
  <c r="AA60" i="78"/>
  <c r="AA59" i="78"/>
  <c r="AA58" i="78"/>
  <c r="AA57" i="78"/>
  <c r="AA56" i="78"/>
  <c r="AA55" i="78"/>
  <c r="AA54" i="78"/>
  <c r="AA53" i="78"/>
  <c r="AA52" i="78"/>
  <c r="AA51" i="78"/>
  <c r="AA50" i="78"/>
  <c r="AA49" i="78"/>
  <c r="AA48" i="78"/>
  <c r="AA47" i="78"/>
  <c r="AA46" i="78"/>
  <c r="AA45" i="78"/>
  <c r="AA44" i="78"/>
  <c r="AA43" i="78"/>
  <c r="AA42" i="78"/>
  <c r="AA41" i="78"/>
  <c r="AA40" i="78"/>
  <c r="AA39" i="78"/>
  <c r="AA38" i="78"/>
  <c r="AA37" i="78"/>
  <c r="AA36" i="78"/>
  <c r="AA35" i="78"/>
  <c r="AA34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D36" i="78"/>
  <c r="E36" i="78"/>
  <c r="D35" i="78"/>
  <c r="C37" i="78"/>
  <c r="B35" i="78"/>
  <c r="D34" i="78"/>
  <c r="C36" i="78"/>
  <c r="B38" i="78"/>
  <c r="C35" i="78"/>
  <c r="B37" i="78"/>
  <c r="E38" i="78"/>
  <c r="B34" i="78"/>
  <c r="C38" i="78"/>
  <c r="E37" i="78"/>
  <c r="E35" i="78"/>
  <c r="D38" i="78"/>
  <c r="C34" i="78"/>
  <c r="D37" i="78"/>
  <c r="B36" i="78"/>
  <c r="E34" i="78"/>
  <c r="D48" i="78"/>
  <c r="B63" i="78"/>
  <c r="D81" i="78"/>
  <c r="D46" i="78"/>
  <c r="B51" i="78"/>
  <c r="B71" i="78"/>
  <c r="B75" i="78"/>
  <c r="D74" i="78"/>
  <c r="D54" i="78"/>
  <c r="C74" i="78"/>
  <c r="E55" i="78"/>
  <c r="C48" i="78"/>
  <c r="C70" i="78"/>
  <c r="C52" i="78"/>
  <c r="C73" i="78"/>
  <c r="C45" i="78"/>
  <c r="C77" i="78"/>
  <c r="B80" i="78"/>
  <c r="B66" i="78"/>
  <c r="D60" i="78"/>
  <c r="B78" i="78"/>
  <c r="B40" i="78"/>
  <c r="B76" i="78"/>
  <c r="B60" i="78"/>
  <c r="B47" i="78"/>
  <c r="C64" i="78"/>
  <c r="E53" i="78"/>
  <c r="E67" i="78"/>
  <c r="C69" i="78"/>
  <c r="E64" i="78"/>
  <c r="C66" i="78"/>
  <c r="E39" i="78"/>
  <c r="C82" i="78"/>
  <c r="E57" i="78"/>
  <c r="E58" i="78"/>
  <c r="D70" i="78"/>
  <c r="B49" i="78"/>
  <c r="D43" i="78"/>
  <c r="B43" i="78"/>
  <c r="D62" i="78"/>
  <c r="E76" i="78"/>
  <c r="E75" i="78"/>
  <c r="AC90" i="78"/>
  <c r="E54" i="78"/>
  <c r="C42" i="78"/>
  <c r="E78" i="78"/>
  <c r="C68" i="78"/>
  <c r="AC84" i="78"/>
  <c r="D53" i="78"/>
  <c r="B52" i="78"/>
  <c r="B70" i="78"/>
  <c r="B72" i="78"/>
  <c r="D75" i="78"/>
  <c r="B68" i="78"/>
  <c r="E70" i="78"/>
  <c r="C59" i="78"/>
  <c r="C49" i="78"/>
  <c r="E82" i="78"/>
  <c r="C57" i="78"/>
  <c r="AC86" i="78"/>
  <c r="C62" i="78"/>
  <c r="C78" i="78"/>
  <c r="D47" i="78"/>
  <c r="E50" i="78"/>
  <c r="C55" i="78"/>
  <c r="B46" i="78"/>
  <c r="B64" i="78"/>
  <c r="E52" i="78"/>
  <c r="E49" i="78"/>
  <c r="C47" i="78"/>
  <c r="D57" i="78"/>
  <c r="D42" i="78"/>
  <c r="E77" i="78"/>
  <c r="E72" i="78"/>
  <c r="D55" i="78"/>
  <c r="B58" i="78"/>
  <c r="D56" i="78"/>
  <c r="E56" i="78"/>
  <c r="C46" i="78"/>
  <c r="D63" i="78"/>
  <c r="B53" i="78"/>
  <c r="E42" i="78"/>
  <c r="D51" i="78"/>
  <c r="D49" i="78"/>
  <c r="D77" i="78"/>
  <c r="B45" i="78"/>
  <c r="D72" i="78"/>
  <c r="D80" i="78"/>
  <c r="B54" i="78"/>
  <c r="C44" i="78"/>
  <c r="E40" i="78"/>
  <c r="C80" i="78"/>
  <c r="AC88" i="78"/>
  <c r="E61" i="78"/>
  <c r="E62" i="78"/>
  <c r="C75" i="78"/>
  <c r="C61" i="78"/>
  <c r="E60" i="78"/>
  <c r="D52" i="78"/>
  <c r="D64" i="78"/>
  <c r="E81" i="78"/>
  <c r="E80" i="78"/>
  <c r="C50" i="78"/>
  <c r="D61" i="78"/>
  <c r="B74" i="78"/>
  <c r="B62" i="78"/>
  <c r="D66" i="78"/>
  <c r="B79" i="78"/>
  <c r="B44" i="78"/>
  <c r="B39" i="78"/>
  <c r="D58" i="78"/>
  <c r="C40" i="78"/>
  <c r="C63" i="78"/>
  <c r="E66" i="78"/>
  <c r="C60" i="78"/>
  <c r="C65" i="78"/>
  <c r="E43" i="78"/>
  <c r="C81" i="78"/>
  <c r="AC87" i="78"/>
  <c r="E69" i="78"/>
  <c r="D68" i="78"/>
  <c r="B82" i="78"/>
  <c r="B55" i="78"/>
  <c r="E79" i="78"/>
  <c r="E47" i="78"/>
  <c r="E74" i="78"/>
  <c r="B50" i="78"/>
  <c r="B48" i="78"/>
  <c r="D82" i="78"/>
  <c r="B41" i="78"/>
  <c r="D59" i="78"/>
  <c r="B59" i="78"/>
  <c r="B67" i="78"/>
  <c r="B42" i="78"/>
  <c r="E59" i="78"/>
  <c r="E44" i="78"/>
  <c r="E65" i="78"/>
  <c r="C39" i="78"/>
  <c r="AC85" i="78"/>
  <c r="E63" i="78"/>
  <c r="C76" i="78"/>
  <c r="C43" i="78"/>
  <c r="B77" i="78"/>
  <c r="D45" i="78"/>
  <c r="D76" i="78"/>
  <c r="C72" i="78"/>
  <c r="C71" i="78"/>
  <c r="E71" i="78"/>
  <c r="D71" i="78"/>
  <c r="B69" i="78"/>
  <c r="E46" i="78"/>
  <c r="C67" i="78"/>
  <c r="B73" i="78"/>
  <c r="B61" i="78"/>
  <c r="D41" i="78"/>
  <c r="E41" i="78"/>
  <c r="AC83" i="78"/>
  <c r="B56" i="78"/>
  <c r="B81" i="78"/>
  <c r="D39" i="78"/>
  <c r="C56" i="78"/>
  <c r="E73" i="78"/>
  <c r="D40" i="78"/>
  <c r="D73" i="78"/>
  <c r="D65" i="78"/>
  <c r="D78" i="78"/>
  <c r="D69" i="78"/>
  <c r="D67" i="78"/>
  <c r="D44" i="78"/>
  <c r="C54" i="78"/>
  <c r="E68" i="78"/>
  <c r="C79" i="78"/>
  <c r="C58" i="78"/>
  <c r="E48" i="78"/>
  <c r="C41" i="78"/>
  <c r="C51" i="78"/>
  <c r="AC89" i="78"/>
  <c r="D50" i="78"/>
  <c r="B65" i="78"/>
  <c r="E45" i="78"/>
  <c r="D79" i="78"/>
  <c r="E51" i="78"/>
  <c r="AC91" i="78"/>
  <c r="B57" i="78"/>
  <c r="C53" i="78"/>
  <c r="AH83" i="78" l="1"/>
  <c r="AB91" i="78"/>
  <c r="AB85" i="78"/>
  <c r="AB86" i="78"/>
  <c r="AB87" i="78"/>
  <c r="AB88" i="78"/>
  <c r="AB89" i="78"/>
  <c r="AB90" i="78"/>
  <c r="AB84" i="78"/>
  <c r="AH84" i="78"/>
  <c r="AH87" i="78"/>
  <c r="AH88" i="78"/>
  <c r="AH89" i="78"/>
  <c r="AH86" i="78"/>
  <c r="AH90" i="78"/>
  <c r="AH91" i="78"/>
  <c r="AH85" i="78"/>
  <c r="AG63" i="78"/>
  <c r="AG54" i="78"/>
  <c r="AG76" i="78"/>
  <c r="AG55" i="78"/>
  <c r="AE75" i="78"/>
  <c r="AE71" i="78"/>
  <c r="AG60" i="78"/>
  <c r="AE72" i="78"/>
  <c r="AG72" i="78"/>
  <c r="AE81" i="78"/>
  <c r="AG64" i="78"/>
  <c r="AE62" i="78"/>
  <c r="AG50" i="78"/>
  <c r="AG66" i="78"/>
  <c r="AE66" i="78"/>
  <c r="AG52" i="78"/>
  <c r="AG45" i="78"/>
  <c r="AG59" i="78"/>
  <c r="AG77" i="78"/>
  <c r="AE56" i="78"/>
  <c r="AE53" i="78"/>
  <c r="AG61" i="78"/>
  <c r="AE45" i="78"/>
  <c r="AG42" i="78"/>
  <c r="AE78" i="78"/>
  <c r="AE48" i="78"/>
  <c r="AG47" i="78"/>
  <c r="AE64" i="78"/>
  <c r="AG67" i="78"/>
  <c r="AG53" i="78"/>
  <c r="AE34" i="78"/>
  <c r="AE70" i="78"/>
  <c r="AE35" i="78"/>
  <c r="AE55" i="78"/>
  <c r="AE51" i="78"/>
  <c r="AE73" i="78"/>
  <c r="AG69" i="78"/>
  <c r="AE47" i="78"/>
  <c r="AE67" i="78"/>
  <c r="AE68" i="78"/>
  <c r="AE37" i="78"/>
  <c r="AG56" i="78"/>
  <c r="AG65" i="78"/>
  <c r="AG58" i="78"/>
  <c r="AG37" i="78"/>
  <c r="AG73" i="78"/>
  <c r="AE43" i="78"/>
  <c r="AE57" i="78"/>
  <c r="AE49" i="78"/>
  <c r="AG39" i="78"/>
  <c r="AG75" i="78"/>
  <c r="AG43" i="78"/>
  <c r="AG34" i="78"/>
  <c r="AE59" i="78"/>
  <c r="AE38" i="78"/>
  <c r="AE74" i="78"/>
  <c r="AG48" i="78"/>
  <c r="AG62" i="78"/>
  <c r="AG78" i="78"/>
  <c r="AE40" i="78"/>
  <c r="AE76" i="78"/>
  <c r="AG81" i="78"/>
  <c r="AE82" i="78"/>
  <c r="AG79" i="78"/>
  <c r="AE65" i="78"/>
  <c r="AE80" i="78"/>
  <c r="AG68" i="78"/>
  <c r="AE46" i="78"/>
  <c r="AE77" i="78"/>
  <c r="AG49" i="78"/>
  <c r="AE60" i="78"/>
  <c r="AE63" i="78"/>
  <c r="AE44" i="78"/>
  <c r="AE61" i="78"/>
  <c r="AE42" i="78"/>
  <c r="AG46" i="78"/>
  <c r="AG41" i="78"/>
  <c r="AE79" i="78"/>
  <c r="AE69" i="78"/>
  <c r="AG51" i="78"/>
  <c r="AE41" i="78"/>
  <c r="AG40" i="78"/>
  <c r="AE50" i="78"/>
  <c r="AE54" i="78"/>
  <c r="AG38" i="78"/>
  <c r="AG74" i="78"/>
  <c r="AG71" i="78"/>
  <c r="AE52" i="78"/>
  <c r="AG57" i="78"/>
  <c r="AG70" i="78"/>
  <c r="AE36" i="78"/>
  <c r="AG82" i="78"/>
  <c r="AE39" i="78"/>
  <c r="AG35" i="78"/>
  <c r="AG44" i="78"/>
  <c r="AG80" i="78"/>
  <c r="AG36" i="78"/>
  <c r="AE58" i="78"/>
  <c r="AF50" i="78"/>
  <c r="AF39" i="78"/>
  <c r="AF51" i="78"/>
  <c r="AF63" i="78"/>
  <c r="AF75" i="78"/>
  <c r="AF53" i="78"/>
  <c r="AF49" i="78"/>
  <c r="AF74" i="78"/>
  <c r="AF78" i="78"/>
  <c r="AF76" i="78"/>
  <c r="AF82" i="78"/>
  <c r="AF46" i="78"/>
  <c r="AF59" i="78"/>
  <c r="AF55" i="78"/>
  <c r="AF65" i="78"/>
  <c r="AF38" i="78"/>
  <c r="AF62" i="78"/>
  <c r="AF43" i="78"/>
  <c r="AF77" i="78"/>
  <c r="AF72" i="78"/>
  <c r="AF36" i="78"/>
  <c r="AF61" i="78"/>
  <c r="AF71" i="78"/>
  <c r="AF67" i="78"/>
  <c r="AF48" i="78"/>
  <c r="AF44" i="78"/>
  <c r="AF56" i="78"/>
  <c r="AF68" i="78"/>
  <c r="AF80" i="78"/>
  <c r="AF41" i="78"/>
  <c r="AF79" i="78"/>
  <c r="AF57" i="78"/>
  <c r="AF81" i="78"/>
  <c r="AF40" i="78"/>
  <c r="AF64" i="78"/>
  <c r="AF73" i="78"/>
  <c r="AF60" i="78"/>
  <c r="AF52" i="78"/>
  <c r="AH52" i="78" s="1"/>
  <c r="AF42" i="78"/>
  <c r="AF45" i="78"/>
  <c r="AF69" i="78"/>
  <c r="AF58" i="78"/>
  <c r="AF34" i="78"/>
  <c r="AF54" i="78"/>
  <c r="AF35" i="78"/>
  <c r="AF66" i="78"/>
  <c r="AF70" i="78"/>
  <c r="AF37" i="78"/>
  <c r="AF47" i="78"/>
  <c r="O77" i="78"/>
  <c r="O41" i="78"/>
  <c r="O71" i="78"/>
  <c r="O53" i="78"/>
  <c r="O35" i="78"/>
  <c r="O47" i="78"/>
  <c r="O59" i="78"/>
  <c r="O65" i="78"/>
  <c r="O72" i="78"/>
  <c r="O78" i="78"/>
  <c r="O55" i="78"/>
  <c r="O67" i="78"/>
  <c r="O38" i="78"/>
  <c r="O44" i="78"/>
  <c r="O50" i="78"/>
  <c r="O56" i="78"/>
  <c r="O62" i="78"/>
  <c r="O68" i="78"/>
  <c r="O74" i="78"/>
  <c r="O80" i="78"/>
  <c r="O54" i="78"/>
  <c r="O48" i="78"/>
  <c r="O66" i="78"/>
  <c r="O37" i="78"/>
  <c r="O43" i="78"/>
  <c r="O61" i="78"/>
  <c r="O79" i="78"/>
  <c r="O39" i="78"/>
  <c r="O45" i="78"/>
  <c r="O51" i="78"/>
  <c r="O57" i="78"/>
  <c r="O63" i="78"/>
  <c r="O69" i="78"/>
  <c r="O75" i="78"/>
  <c r="O81" i="78"/>
  <c r="O49" i="78"/>
  <c r="O36" i="78"/>
  <c r="O42" i="78"/>
  <c r="O60" i="78"/>
  <c r="O73" i="78"/>
  <c r="O34" i="78"/>
  <c r="O40" i="78"/>
  <c r="O46" i="78"/>
  <c r="O52" i="78"/>
  <c r="O58" i="78"/>
  <c r="O64" i="78"/>
  <c r="O70" i="78"/>
  <c r="O76" i="78"/>
  <c r="O82" i="78"/>
  <c r="F69" i="78"/>
  <c r="F57" i="78"/>
  <c r="F54" i="78"/>
  <c r="F53" i="78"/>
  <c r="F38" i="78"/>
  <c r="F35" i="78"/>
  <c r="F74" i="78"/>
  <c r="F41" i="78"/>
  <c r="F80" i="78"/>
  <c r="F42" i="78"/>
  <c r="F39" i="78"/>
  <c r="F78" i="78"/>
  <c r="F36" i="78"/>
  <c r="F44" i="78"/>
  <c r="F45" i="78"/>
  <c r="F51" i="78"/>
  <c r="F48" i="78"/>
  <c r="F50" i="78"/>
  <c r="F61" i="78"/>
  <c r="F75" i="78"/>
  <c r="F81" i="78"/>
  <c r="F63" i="78"/>
  <c r="F37" i="78"/>
  <c r="F64" i="78"/>
  <c r="F56" i="78"/>
  <c r="F66" i="78"/>
  <c r="F55" i="78"/>
  <c r="F47" i="78"/>
  <c r="F71" i="78"/>
  <c r="F52" i="78"/>
  <c r="F46" i="78"/>
  <c r="F43" i="78"/>
  <c r="F70" i="78"/>
  <c r="F62" i="78"/>
  <c r="F72" i="78"/>
  <c r="F60" i="78"/>
  <c r="F49" i="78"/>
  <c r="F82" i="78"/>
  <c r="F68" i="78"/>
  <c r="F58" i="78"/>
  <c r="F79" i="78"/>
  <c r="F76" i="78"/>
  <c r="F65" i="78"/>
  <c r="F67" i="78"/>
  <c r="F59" i="78"/>
  <c r="F40" i="78"/>
  <c r="F77" i="78"/>
  <c r="F73" i="78"/>
  <c r="F34" i="78"/>
  <c r="AC34" i="78"/>
  <c r="AC36" i="78"/>
  <c r="AC38" i="78"/>
  <c r="AC35" i="78"/>
  <c r="AC37" i="78"/>
  <c r="AC79" i="78"/>
  <c r="AC82" i="78"/>
  <c r="AC47" i="78"/>
  <c r="AC80" i="78"/>
  <c r="AC46" i="78"/>
  <c r="AC78" i="78"/>
  <c r="AC66" i="78"/>
  <c r="AC69" i="78"/>
  <c r="AC74" i="78"/>
  <c r="AC59" i="78"/>
  <c r="AC53" i="78"/>
  <c r="AC45" i="78"/>
  <c r="AC54" i="78"/>
  <c r="AC68" i="78"/>
  <c r="AC77" i="78"/>
  <c r="AC51" i="78"/>
  <c r="AC70" i="78"/>
  <c r="AC40" i="78"/>
  <c r="AC55" i="78"/>
  <c r="AC63" i="78"/>
  <c r="AC65" i="78"/>
  <c r="AC57" i="78"/>
  <c r="AC49" i="78"/>
  <c r="AC62" i="78"/>
  <c r="AC56" i="78"/>
  <c r="AC61" i="78"/>
  <c r="AC60" i="78"/>
  <c r="AC50" i="78"/>
  <c r="AC44" i="78"/>
  <c r="AC43" i="78"/>
  <c r="AC58" i="78"/>
  <c r="AC73" i="78"/>
  <c r="AC76" i="78"/>
  <c r="AC67" i="78"/>
  <c r="AC72" i="78"/>
  <c r="AC48" i="78"/>
  <c r="AC71" i="78"/>
  <c r="AC52" i="78"/>
  <c r="AC39" i="78"/>
  <c r="AC41" i="78"/>
  <c r="AC81" i="78"/>
  <c r="AC42" i="78"/>
  <c r="AC64" i="78"/>
  <c r="AC75" i="78"/>
  <c r="AH47" i="78" l="1"/>
  <c r="AH77" i="78"/>
  <c r="AH40" i="78"/>
  <c r="AH81" i="78"/>
  <c r="AH78" i="78"/>
  <c r="AH79" i="78"/>
  <c r="AH61" i="78"/>
  <c r="AH69" i="78"/>
  <c r="AH59" i="78"/>
  <c r="AB75" i="78"/>
  <c r="AB67" i="78"/>
  <c r="AB82" i="78"/>
  <c r="AB83" i="78"/>
  <c r="AH37" i="78"/>
  <c r="AH67" i="78"/>
  <c r="AH66" i="78"/>
  <c r="AH76" i="78"/>
  <c r="AH35" i="78"/>
  <c r="AH36" i="78"/>
  <c r="AB78" i="78"/>
  <c r="AB41" i="78"/>
  <c r="AB42" i="78"/>
  <c r="AB37" i="78"/>
  <c r="AB47" i="78"/>
  <c r="AB81" i="78"/>
  <c r="AB63" i="78"/>
  <c r="AB68" i="78"/>
  <c r="AB77" i="78"/>
  <c r="AB76" i="78"/>
  <c r="AB57" i="78"/>
  <c r="AB49" i="78"/>
  <c r="AB48" i="78"/>
  <c r="AB50" i="78"/>
  <c r="AB66" i="78"/>
  <c r="AB65" i="78"/>
  <c r="AB62" i="78"/>
  <c r="AB61" i="78"/>
  <c r="AB60" i="78"/>
  <c r="AB39" i="78"/>
  <c r="AB40" i="78"/>
  <c r="AB59" i="78"/>
  <c r="AB71" i="78"/>
  <c r="AB72" i="78"/>
  <c r="AB55" i="78"/>
  <c r="AB56" i="78"/>
  <c r="AB38" i="78"/>
  <c r="AB80" i="78"/>
  <c r="AB79" i="78"/>
  <c r="AB43" i="78"/>
  <c r="AB44" i="78"/>
  <c r="AB70" i="78"/>
  <c r="AB69" i="78"/>
  <c r="AB45" i="78"/>
  <c r="AB46" i="78"/>
  <c r="AB51" i="78"/>
  <c r="AB52" i="78"/>
  <c r="AB54" i="78"/>
  <c r="AB53" i="78"/>
  <c r="AB64" i="78"/>
  <c r="AB58" i="78"/>
  <c r="AB35" i="78"/>
  <c r="AB36" i="78"/>
  <c r="AB74" i="78"/>
  <c r="AB73" i="78"/>
  <c r="AH50" i="78"/>
  <c r="AH49" i="78"/>
  <c r="AH58" i="78"/>
  <c r="AH41" i="78"/>
  <c r="AH43" i="78"/>
  <c r="AH53" i="78"/>
  <c r="AH75" i="78"/>
  <c r="AH65" i="78"/>
  <c r="AH55" i="78"/>
  <c r="AH39" i="78"/>
  <c r="AH48" i="78"/>
  <c r="AH71" i="78"/>
  <c r="AH54" i="78"/>
  <c r="AH57" i="78"/>
  <c r="AH72" i="78"/>
  <c r="AH74" i="78"/>
  <c r="AH34" i="78"/>
  <c r="AH62" i="78"/>
  <c r="AH45" i="78"/>
  <c r="AH68" i="78"/>
  <c r="AH38" i="78"/>
  <c r="AH63" i="78"/>
  <c r="AH42" i="78"/>
  <c r="AH56" i="78"/>
  <c r="AH51" i="78"/>
  <c r="AH44" i="78"/>
  <c r="AH80" i="78"/>
  <c r="AH60" i="78"/>
  <c r="AH73" i="78"/>
  <c r="AH46" i="78"/>
  <c r="AH70" i="78"/>
  <c r="AH64" i="78"/>
  <c r="AH82" i="78"/>
  <c r="A33" i="78" l="1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A9" i="78" l="1"/>
  <c r="AA7" i="78"/>
  <c r="B9" i="78"/>
  <c r="D7" i="78"/>
  <c r="D9" i="78"/>
  <c r="E7" i="78"/>
  <c r="B7" i="78"/>
  <c r="C7" i="78"/>
  <c r="C9" i="78"/>
  <c r="E9" i="78"/>
  <c r="AG9" i="78" l="1"/>
  <c r="AG7" i="78"/>
  <c r="AE9" i="78"/>
  <c r="AE7" i="78"/>
  <c r="AF9" i="78"/>
  <c r="AF7" i="78"/>
  <c r="O9" i="78"/>
  <c r="O7" i="78"/>
  <c r="AC7" i="78"/>
  <c r="AC9" i="78"/>
  <c r="AH9" i="78" l="1"/>
  <c r="AH7" i="78"/>
  <c r="AA30" i="78"/>
  <c r="AA27" i="78"/>
  <c r="B30" i="78"/>
  <c r="D27" i="78"/>
  <c r="D30" i="78"/>
  <c r="B27" i="78"/>
  <c r="E30" i="78"/>
  <c r="E27" i="78"/>
  <c r="C30" i="78"/>
  <c r="C27" i="78"/>
  <c r="AG27" i="78" l="1"/>
  <c r="AE30" i="78"/>
  <c r="AG30" i="78"/>
  <c r="AE27" i="78"/>
  <c r="AF27" i="78"/>
  <c r="AF30" i="78"/>
  <c r="AC27" i="78"/>
  <c r="AC30" i="78"/>
  <c r="AH30" i="78" l="1"/>
  <c r="AH27" i="78"/>
  <c r="O27" i="78"/>
  <c r="O30" i="78"/>
  <c r="AA33" i="78"/>
  <c r="AA32" i="78"/>
  <c r="AA31" i="78"/>
  <c r="AA29" i="78"/>
  <c r="AA28" i="78"/>
  <c r="AA26" i="78"/>
  <c r="AA25" i="78"/>
  <c r="AA24" i="78"/>
  <c r="AA23" i="78"/>
  <c r="AA22" i="78"/>
  <c r="AA21" i="78"/>
  <c r="AA20" i="78"/>
  <c r="AA19" i="78"/>
  <c r="AA18" i="78"/>
  <c r="AA17" i="78"/>
  <c r="AA16" i="78"/>
  <c r="AA15" i="78"/>
  <c r="AA14" i="78"/>
  <c r="AA13" i="78"/>
  <c r="AA12" i="78"/>
  <c r="AA11" i="78"/>
  <c r="AA10" i="78"/>
  <c r="AA8" i="78"/>
  <c r="AA6" i="78"/>
  <c r="B2" i="17" l="1"/>
  <c r="B3" i="17"/>
  <c r="B31" i="78"/>
  <c r="D31" i="78"/>
  <c r="B33" i="78"/>
  <c r="D29" i="78"/>
  <c r="E18" i="78"/>
  <c r="C11" i="78"/>
  <c r="C6" i="78"/>
  <c r="C26" i="78"/>
  <c r="E32" i="78"/>
  <c r="C17" i="78"/>
  <c r="B28" i="78"/>
  <c r="D13" i="78"/>
  <c r="B22" i="78"/>
  <c r="E11" i="78"/>
  <c r="E12" i="78"/>
  <c r="E14" i="78"/>
  <c r="B14" i="78"/>
  <c r="D22" i="78"/>
  <c r="B23" i="78"/>
  <c r="D20" i="78"/>
  <c r="D16" i="78"/>
  <c r="E10" i="78"/>
  <c r="E28" i="78"/>
  <c r="E31" i="78"/>
  <c r="E17" i="78"/>
  <c r="C31" i="78"/>
  <c r="D26" i="78"/>
  <c r="D25" i="78"/>
  <c r="B16" i="78"/>
  <c r="D19" i="78"/>
  <c r="B19" i="78"/>
  <c r="D24" i="78"/>
  <c r="D17" i="78"/>
  <c r="B26" i="78"/>
  <c r="E23" i="78"/>
  <c r="E19" i="78"/>
  <c r="E16" i="78"/>
  <c r="C22" i="78"/>
  <c r="E25" i="78"/>
  <c r="B11" i="78"/>
  <c r="D14" i="78"/>
  <c r="C19" i="78"/>
  <c r="E8" i="78"/>
  <c r="C25" i="78"/>
  <c r="B15" i="78"/>
  <c r="B24" i="78"/>
  <c r="D6" i="78"/>
  <c r="B8" i="78"/>
  <c r="D33" i="78"/>
  <c r="E22" i="78"/>
  <c r="E24" i="78"/>
  <c r="E13" i="78"/>
  <c r="C10" i="78"/>
  <c r="C8" i="78"/>
  <c r="C33" i="78"/>
  <c r="E33" i="78"/>
  <c r="D11" i="78"/>
  <c r="C32" i="78"/>
  <c r="B10" i="78"/>
  <c r="B18" i="78"/>
  <c r="B17" i="78"/>
  <c r="B25" i="78"/>
  <c r="C28" i="78"/>
  <c r="C13" i="78"/>
  <c r="C21" i="78"/>
  <c r="E21" i="78"/>
  <c r="C20" i="78"/>
  <c r="C15" i="78"/>
  <c r="D18" i="78"/>
  <c r="D32" i="78"/>
  <c r="C24" i="78"/>
  <c r="B32" i="78"/>
  <c r="E20" i="78"/>
  <c r="C14" i="78"/>
  <c r="C12" i="78"/>
  <c r="D28" i="78"/>
  <c r="B12" i="78"/>
  <c r="D21" i="78"/>
  <c r="B13" i="78"/>
  <c r="E29" i="78"/>
  <c r="C23" i="78"/>
  <c r="B20" i="78"/>
  <c r="E15" i="78"/>
  <c r="E26" i="78"/>
  <c r="B6" i="78"/>
  <c r="B29" i="78"/>
  <c r="D23" i="78"/>
  <c r="C29" i="78"/>
  <c r="B21" i="78"/>
  <c r="D12" i="78"/>
  <c r="C18" i="78"/>
  <c r="D10" i="78"/>
  <c r="D8" i="78"/>
  <c r="D15" i="78"/>
  <c r="E6" i="78"/>
  <c r="C16" i="78"/>
  <c r="Q3" i="78"/>
  <c r="Q2" i="78"/>
  <c r="AG13" i="78" l="1"/>
  <c r="AG29" i="78"/>
  <c r="AE15" i="78"/>
  <c r="AG15" i="78"/>
  <c r="AE25" i="78"/>
  <c r="AG18" i="78"/>
  <c r="AE24" i="78"/>
  <c r="AG22" i="78"/>
  <c r="AE19" i="78"/>
  <c r="AG11" i="78"/>
  <c r="AG8" i="78"/>
  <c r="AE22" i="78"/>
  <c r="AE29" i="78"/>
  <c r="AE11" i="78"/>
  <c r="AE17" i="78"/>
  <c r="AE12" i="78"/>
  <c r="AE20" i="78"/>
  <c r="AE23" i="78"/>
  <c r="AG21" i="78"/>
  <c r="AE10" i="78"/>
  <c r="AG14" i="78"/>
  <c r="AG25" i="78"/>
  <c r="AG26" i="78"/>
  <c r="AE16" i="78"/>
  <c r="AG24" i="78"/>
  <c r="AE33" i="78"/>
  <c r="AG23" i="78"/>
  <c r="AG12" i="78"/>
  <c r="AG16" i="78"/>
  <c r="AG10" i="78"/>
  <c r="AG32" i="78"/>
  <c r="AG17" i="78"/>
  <c r="AG28" i="78"/>
  <c r="AE13" i="78"/>
  <c r="AG31" i="78"/>
  <c r="AE18" i="78"/>
  <c r="AE31" i="78"/>
  <c r="AE21" i="78"/>
  <c r="AE8" i="78"/>
  <c r="AG20" i="78"/>
  <c r="AE28" i="78"/>
  <c r="AG33" i="78"/>
  <c r="AE14" i="78"/>
  <c r="AG19" i="78"/>
  <c r="AE26" i="78"/>
  <c r="AE32" i="78"/>
  <c r="AF32" i="78"/>
  <c r="AF21" i="78"/>
  <c r="AF18" i="78"/>
  <c r="AF20" i="78"/>
  <c r="AF12" i="78"/>
  <c r="AF31" i="78"/>
  <c r="AF17" i="78"/>
  <c r="AF28" i="78"/>
  <c r="AF14" i="78"/>
  <c r="AF33" i="78"/>
  <c r="AF11" i="78"/>
  <c r="AF19" i="78"/>
  <c r="AF26" i="78"/>
  <c r="AF24" i="78"/>
  <c r="AF22" i="78"/>
  <c r="AF25" i="78"/>
  <c r="AF15" i="78"/>
  <c r="AF29" i="78"/>
  <c r="AF16" i="78"/>
  <c r="AF8" i="78"/>
  <c r="AF13" i="78"/>
  <c r="AF23" i="78"/>
  <c r="AF10" i="78"/>
  <c r="AF6" i="78"/>
  <c r="AE6" i="78"/>
  <c r="O6" i="78"/>
  <c r="O20" i="78"/>
  <c r="O31" i="78"/>
  <c r="O22" i="78"/>
  <c r="O23" i="78"/>
  <c r="O24" i="78"/>
  <c r="O16" i="78"/>
  <c r="O29" i="78"/>
  <c r="O15" i="78"/>
  <c r="O21" i="78"/>
  <c r="O14" i="78"/>
  <c r="AG6" i="78"/>
  <c r="Q4" i="78"/>
  <c r="O8" i="78"/>
  <c r="O10" i="78"/>
  <c r="O33" i="78"/>
  <c r="O19" i="78"/>
  <c r="O11" i="78"/>
  <c r="O13" i="78"/>
  <c r="O17" i="78"/>
  <c r="O26" i="78"/>
  <c r="O25" i="78"/>
  <c r="O28" i="78"/>
  <c r="O12" i="78"/>
  <c r="O32" i="78"/>
  <c r="O18" i="78"/>
  <c r="F23" i="78"/>
  <c r="F24" i="78"/>
  <c r="F31" i="78"/>
  <c r="F30" i="78"/>
  <c r="F29" i="78"/>
  <c r="F33" i="78"/>
  <c r="F26" i="78"/>
  <c r="F19" i="78"/>
  <c r="F20" i="78"/>
  <c r="F22" i="78"/>
  <c r="F27" i="78"/>
  <c r="F21" i="78"/>
  <c r="F28" i="78"/>
  <c r="F32" i="78"/>
  <c r="F18" i="78"/>
  <c r="F25" i="78"/>
  <c r="F17" i="78"/>
  <c r="F14" i="78"/>
  <c r="F16" i="78"/>
  <c r="F15" i="78"/>
  <c r="F10" i="78"/>
  <c r="F11" i="78"/>
  <c r="F7" i="78"/>
  <c r="F9" i="78"/>
  <c r="F13" i="78"/>
  <c r="F8" i="78"/>
  <c r="F12" i="78"/>
  <c r="F6" i="78"/>
  <c r="L1288" i="78"/>
  <c r="J1290" i="78"/>
  <c r="M1288" i="78"/>
  <c r="L1289" i="78"/>
  <c r="K1290" i="78"/>
  <c r="J1291" i="78"/>
  <c r="I1292" i="78"/>
  <c r="H1293" i="78"/>
  <c r="G1294" i="78"/>
  <c r="M1289" i="78"/>
  <c r="L1290" i="78"/>
  <c r="K1291" i="78"/>
  <c r="J1292" i="78"/>
  <c r="I1293" i="78"/>
  <c r="H1294" i="78"/>
  <c r="G1295" i="78"/>
  <c r="M1290" i="78"/>
  <c r="L1291" i="78"/>
  <c r="K1292" i="78"/>
  <c r="J1293" i="78"/>
  <c r="I1294" i="78"/>
  <c r="H1295" i="78"/>
  <c r="G1296" i="78"/>
  <c r="K1289" i="78"/>
  <c r="I1291" i="78"/>
  <c r="G1293" i="78"/>
  <c r="G1297" i="78"/>
  <c r="M1292" i="78"/>
  <c r="G1298" i="78"/>
  <c r="M1293" i="78"/>
  <c r="L1294" i="78"/>
  <c r="K1295" i="78"/>
  <c r="J1296" i="78"/>
  <c r="I1297" i="78"/>
  <c r="H1298" i="78"/>
  <c r="H1292" i="78"/>
  <c r="K1293" i="78"/>
  <c r="K1294" i="78"/>
  <c r="G1288" i="78"/>
  <c r="M1294" i="78"/>
  <c r="L1295" i="78"/>
  <c r="K1296" i="78"/>
  <c r="J1297" i="78"/>
  <c r="I1298" i="78"/>
  <c r="J1294" i="78"/>
  <c r="H1297" i="78"/>
  <c r="H1288" i="78"/>
  <c r="G1289" i="78"/>
  <c r="M1295" i="78"/>
  <c r="L1296" i="78"/>
  <c r="K1297" i="78"/>
  <c r="J1298" i="78"/>
  <c r="M1291" i="78"/>
  <c r="H1296" i="78"/>
  <c r="I1296" i="78"/>
  <c r="I1288" i="78"/>
  <c r="H1289" i="78"/>
  <c r="G1290" i="78"/>
  <c r="M1296" i="78"/>
  <c r="L1297" i="78"/>
  <c r="K1298" i="78"/>
  <c r="L1292" i="78"/>
  <c r="J1295" i="78"/>
  <c r="J1288" i="78"/>
  <c r="I1289" i="78"/>
  <c r="H1290" i="78"/>
  <c r="G1291" i="78"/>
  <c r="M1297" i="78"/>
  <c r="L1298" i="78"/>
  <c r="I1295" i="78"/>
  <c r="L1293" i="78"/>
  <c r="K1288" i="78"/>
  <c r="J1289" i="78"/>
  <c r="I1290" i="78"/>
  <c r="H1291" i="78"/>
  <c r="G1292" i="78"/>
  <c r="M1298" i="78"/>
  <c r="G1299" i="78"/>
  <c r="H1299" i="78"/>
  <c r="I1299" i="78"/>
  <c r="H1300" i="78"/>
  <c r="G1301" i="78"/>
  <c r="J1299" i="78"/>
  <c r="I1300" i="78"/>
  <c r="H1301" i="78"/>
  <c r="G1302" i="78"/>
  <c r="K1299" i="78"/>
  <c r="J1300" i="78"/>
  <c r="I1301" i="78"/>
  <c r="H1302" i="78"/>
  <c r="G1303" i="78"/>
  <c r="L1299" i="78"/>
  <c r="K1300" i="78"/>
  <c r="H1303" i="78"/>
  <c r="M1299" i="78"/>
  <c r="L1300" i="78"/>
  <c r="I1303" i="78"/>
  <c r="M1300" i="78"/>
  <c r="L1301" i="78"/>
  <c r="K1302" i="78"/>
  <c r="J1303" i="78"/>
  <c r="G1300" i="78"/>
  <c r="J1301" i="78"/>
  <c r="J1302" i="78"/>
  <c r="M1301" i="78"/>
  <c r="L1302" i="78"/>
  <c r="K1303" i="78"/>
  <c r="I1302" i="78"/>
  <c r="K1301" i="78"/>
  <c r="M1302" i="78"/>
  <c r="L1303" i="78"/>
  <c r="M1303" i="78"/>
  <c r="J1304" i="78"/>
  <c r="I1305" i="78"/>
  <c r="H1306" i="78"/>
  <c r="G1307" i="78"/>
  <c r="K1304" i="78"/>
  <c r="J1305" i="78"/>
  <c r="I1306" i="78"/>
  <c r="H1307" i="78"/>
  <c r="G1308" i="78"/>
  <c r="L1304" i="78"/>
  <c r="K1305" i="78"/>
  <c r="J1306" i="78"/>
  <c r="I1307" i="78"/>
  <c r="H1308" i="78"/>
  <c r="G1309" i="78"/>
  <c r="M1304" i="78"/>
  <c r="L1305" i="78"/>
  <c r="K1306" i="78"/>
  <c r="J1307" i="78"/>
  <c r="I1308" i="78"/>
  <c r="H1309" i="78"/>
  <c r="G1310" i="78"/>
  <c r="H1304" i="78"/>
  <c r="H1305" i="78"/>
  <c r="M1305" i="78"/>
  <c r="K1307" i="78"/>
  <c r="H1310" i="78"/>
  <c r="L1307" i="78"/>
  <c r="J1309" i="78"/>
  <c r="J1310" i="78"/>
  <c r="M1308" i="78"/>
  <c r="L1309" i="78"/>
  <c r="K1310" i="78"/>
  <c r="J1308" i="78"/>
  <c r="K1308" i="78"/>
  <c r="K1309" i="78"/>
  <c r="M1309" i="78"/>
  <c r="L1310" i="78"/>
  <c r="G1305" i="78"/>
  <c r="I1304" i="78"/>
  <c r="G1306" i="78"/>
  <c r="L1306" i="78"/>
  <c r="I1309" i="78"/>
  <c r="M1306" i="78"/>
  <c r="I1310" i="78"/>
  <c r="M1307" i="78"/>
  <c r="L1308" i="78"/>
  <c r="G1304" i="78"/>
  <c r="M1310" i="78"/>
  <c r="G1311" i="78"/>
  <c r="H1311" i="78"/>
  <c r="I1311" i="78"/>
  <c r="J1311" i="78"/>
  <c r="K1311" i="78"/>
  <c r="L1311" i="78"/>
  <c r="M1311" i="78"/>
  <c r="G1312" i="78"/>
  <c r="I1312" i="78"/>
  <c r="J1312" i="78"/>
  <c r="K1312" i="78"/>
  <c r="L1312" i="78"/>
  <c r="H1312" i="78"/>
  <c r="M1312" i="78"/>
  <c r="J273" i="78"/>
  <c r="J332" i="78"/>
  <c r="G352" i="78"/>
  <c r="I445" i="78"/>
  <c r="K718" i="78"/>
  <c r="L273" i="78"/>
  <c r="L319" i="78"/>
  <c r="H339" i="78"/>
  <c r="L350" i="78"/>
  <c r="H387" i="78"/>
  <c r="H458" i="78"/>
  <c r="K650" i="78"/>
  <c r="G260" i="78"/>
  <c r="I269" i="78"/>
  <c r="L277" i="78"/>
  <c r="L296" i="78"/>
  <c r="M301" i="78"/>
  <c r="L314" i="78"/>
  <c r="G316" i="78"/>
  <c r="M319" i="78"/>
  <c r="G321" i="78"/>
  <c r="M324" i="78"/>
  <c r="G326" i="78"/>
  <c r="K329" i="78"/>
  <c r="G331" i="78"/>
  <c r="L332" i="78"/>
  <c r="G334" i="78"/>
  <c r="M337" i="78"/>
  <c r="I339" i="78"/>
  <c r="G345" i="78"/>
  <c r="G358" i="78"/>
  <c r="H368" i="78"/>
  <c r="K372" i="78"/>
  <c r="I387" i="78"/>
  <c r="H399" i="78"/>
  <c r="J408" i="78"/>
  <c r="J416" i="78"/>
  <c r="L445" i="78"/>
  <c r="J458" i="78"/>
  <c r="H471" i="78"/>
  <c r="J480" i="78"/>
  <c r="J488" i="78"/>
  <c r="I510" i="78"/>
  <c r="K521" i="78"/>
  <c r="H529" i="78"/>
  <c r="L586" i="78"/>
  <c r="G601" i="78"/>
  <c r="K680" i="78"/>
  <c r="G719" i="78"/>
  <c r="M729" i="78"/>
  <c r="G259" i="78"/>
  <c r="H260" i="78"/>
  <c r="H261" i="78"/>
  <c r="H262" i="78"/>
  <c r="H263" i="78"/>
  <c r="I264" i="78"/>
  <c r="J265" i="78"/>
  <c r="J266" i="78"/>
  <c r="J267" i="78"/>
  <c r="J268" i="78"/>
  <c r="K269" i="78"/>
  <c r="L270" i="78"/>
  <c r="L271" i="78"/>
  <c r="L272" i="78"/>
  <c r="K276" i="78"/>
  <c r="M277" i="78"/>
  <c r="H281" i="78"/>
  <c r="M282" i="78"/>
  <c r="G286" i="78"/>
  <c r="M287" i="78"/>
  <c r="I290" i="78"/>
  <c r="M293" i="78"/>
  <c r="I295" i="78"/>
  <c r="H298" i="78"/>
  <c r="H303" i="78"/>
  <c r="I308" i="78"/>
  <c r="M311" i="78"/>
  <c r="I313" i="78"/>
  <c r="H316" i="78"/>
  <c r="H321" i="78"/>
  <c r="I326" i="78"/>
  <c r="M329" i="78"/>
  <c r="I331" i="78"/>
  <c r="H334" i="78"/>
  <c r="J339" i="78"/>
  <c r="M341" i="78"/>
  <c r="L343" i="78"/>
  <c r="H345" i="78"/>
  <c r="I349" i="78"/>
  <c r="L356" i="78"/>
  <c r="H358" i="78"/>
  <c r="M360" i="78"/>
  <c r="J362" i="78"/>
  <c r="G364" i="78"/>
  <c r="H366" i="78"/>
  <c r="I368" i="78"/>
  <c r="G370" i="78"/>
  <c r="L372" i="78"/>
  <c r="J384" i="78"/>
  <c r="K387" i="78"/>
  <c r="H391" i="78"/>
  <c r="L395" i="78"/>
  <c r="K408" i="78"/>
  <c r="L425" i="78"/>
  <c r="H441" i="78"/>
  <c r="J450" i="78"/>
  <c r="H463" i="78"/>
  <c r="L467" i="78"/>
  <c r="K480" i="78"/>
  <c r="M505" i="78"/>
  <c r="J510" i="78"/>
  <c r="H516" i="78"/>
  <c r="J529" i="78"/>
  <c r="H601" i="78"/>
  <c r="G610" i="78"/>
  <c r="M625" i="78"/>
  <c r="L957" i="78"/>
  <c r="I271" i="78"/>
  <c r="I282" i="78"/>
  <c r="I324" i="78"/>
  <c r="G339" i="78"/>
  <c r="G377" i="78"/>
  <c r="M419" i="78"/>
  <c r="H268" i="78"/>
  <c r="L278" i="78"/>
  <c r="J291" i="78"/>
  <c r="K306" i="78"/>
  <c r="J445" i="78"/>
  <c r="I265" i="78"/>
  <c r="K272" i="78"/>
  <c r="K293" i="78"/>
  <c r="G308" i="78"/>
  <c r="K360" i="78"/>
  <c r="G255" i="78"/>
  <c r="I261" i="78"/>
  <c r="M269" i="78"/>
  <c r="I336" i="78"/>
  <c r="K362" i="78"/>
  <c r="G404" i="78"/>
  <c r="G476" i="78"/>
  <c r="H610" i="78"/>
  <c r="G253" i="78"/>
  <c r="H254" i="78"/>
  <c r="H255" i="78"/>
  <c r="H256" i="78"/>
  <c r="H257" i="78"/>
  <c r="I258" i="78"/>
  <c r="J259" i="78"/>
  <c r="J260" i="78"/>
  <c r="J261" i="78"/>
  <c r="J262" i="78"/>
  <c r="K263" i="78"/>
  <c r="L264" i="78"/>
  <c r="L265" i="78"/>
  <c r="L266" i="78"/>
  <c r="L267" i="78"/>
  <c r="M268" i="78"/>
  <c r="H275" i="78"/>
  <c r="M276" i="78"/>
  <c r="G280" i="78"/>
  <c r="M281" i="78"/>
  <c r="G285" i="78"/>
  <c r="J286" i="78"/>
  <c r="G289" i="78"/>
  <c r="K290" i="78"/>
  <c r="L295" i="78"/>
  <c r="K300" i="78"/>
  <c r="J303" i="78"/>
  <c r="K308" i="78"/>
  <c r="L313" i="78"/>
  <c r="K318" i="78"/>
  <c r="J321" i="78"/>
  <c r="K326" i="78"/>
  <c r="L331" i="78"/>
  <c r="K336" i="78"/>
  <c r="G338" i="78"/>
  <c r="J345" i="78"/>
  <c r="M347" i="78"/>
  <c r="L349" i="78"/>
  <c r="H351" i="78"/>
  <c r="I355" i="78"/>
  <c r="L362" i="78"/>
  <c r="I364" i="78"/>
  <c r="K366" i="78"/>
  <c r="K368" i="78"/>
  <c r="J370" i="78"/>
  <c r="I385" i="78"/>
  <c r="H404" i="78"/>
  <c r="J421" i="78"/>
  <c r="H434" i="78"/>
  <c r="J451" i="78"/>
  <c r="H476" i="78"/>
  <c r="G494" i="78"/>
  <c r="I500" i="78"/>
  <c r="K506" i="78"/>
  <c r="G517" i="78"/>
  <c r="H553" i="78"/>
  <c r="M568" i="78"/>
  <c r="L581" i="78"/>
  <c r="J610" i="78"/>
  <c r="H913" i="78"/>
  <c r="M936" i="78"/>
  <c r="G267" i="78"/>
  <c r="L288" i="78"/>
  <c r="M304" i="78"/>
  <c r="M322" i="78"/>
  <c r="K337" i="78"/>
  <c r="I356" i="78"/>
  <c r="I415" i="78"/>
  <c r="K462" i="78"/>
  <c r="K509" i="78"/>
  <c r="H737" i="78"/>
  <c r="H269" i="78"/>
  <c r="K282" i="78"/>
  <c r="K314" i="78"/>
  <c r="G362" i="78"/>
  <c r="J615" i="78"/>
  <c r="G264" i="78"/>
  <c r="K270" i="78"/>
  <c r="K311" i="78"/>
  <c r="G254" i="78"/>
  <c r="I259" i="78"/>
  <c r="K264" i="78"/>
  <c r="K268" i="78"/>
  <c r="L276" i="78"/>
  <c r="J290" i="78"/>
  <c r="I300" i="78"/>
  <c r="I321" i="78"/>
  <c r="M343" i="78"/>
  <c r="H364" i="78"/>
  <c r="I391" i="78"/>
  <c r="I421" i="78"/>
  <c r="L480" i="78"/>
  <c r="G553" i="78"/>
  <c r="G250" i="78"/>
  <c r="G251" i="78"/>
  <c r="G252" i="78"/>
  <c r="I253" i="78"/>
  <c r="I254" i="78"/>
  <c r="I255" i="78"/>
  <c r="I256" i="78"/>
  <c r="I257" i="78"/>
  <c r="K258" i="78"/>
  <c r="K259" i="78"/>
  <c r="K260" i="78"/>
  <c r="K261" i="78"/>
  <c r="K262" i="78"/>
  <c r="M263" i="78"/>
  <c r="M264" i="78"/>
  <c r="M265" i="78"/>
  <c r="M266" i="78"/>
  <c r="M267" i="78"/>
  <c r="K275" i="78"/>
  <c r="H280" i="78"/>
  <c r="G284" i="78"/>
  <c r="H285" i="78"/>
  <c r="M286" i="78"/>
  <c r="I289" i="78"/>
  <c r="L290" i="78"/>
  <c r="G292" i="78"/>
  <c r="M295" i="78"/>
  <c r="G297" i="78"/>
  <c r="M300" i="78"/>
  <c r="G302" i="78"/>
  <c r="K305" i="78"/>
  <c r="G307" i="78"/>
  <c r="L308" i="78"/>
  <c r="G310" i="78"/>
  <c r="M313" i="78"/>
  <c r="G315" i="78"/>
  <c r="M318" i="78"/>
  <c r="G320" i="78"/>
  <c r="K323" i="78"/>
  <c r="G325" i="78"/>
  <c r="L326" i="78"/>
  <c r="G328" i="78"/>
  <c r="M331" i="78"/>
  <c r="G333" i="78"/>
  <c r="M336" i="78"/>
  <c r="I338" i="78"/>
  <c r="M349" i="78"/>
  <c r="I351" i="78"/>
  <c r="K355" i="78"/>
  <c r="G357" i="78"/>
  <c r="H379" i="78"/>
  <c r="G382" i="78"/>
  <c r="L385" i="78"/>
  <c r="J392" i="78"/>
  <c r="L421" i="78"/>
  <c r="J434" i="78"/>
  <c r="H447" i="78"/>
  <c r="J456" i="78"/>
  <c r="J464" i="78"/>
  <c r="I494" i="78"/>
  <c r="M500" i="78"/>
  <c r="M506" i="78"/>
  <c r="H517" i="78"/>
  <c r="J553" i="78"/>
  <c r="M627" i="78"/>
  <c r="I653" i="78"/>
  <c r="K673" i="78"/>
  <c r="K704" i="78"/>
  <c r="G268" i="78"/>
  <c r="J314" i="78"/>
  <c r="G428" i="78"/>
  <c r="I487" i="78"/>
  <c r="H266" i="78"/>
  <c r="K277" i="78"/>
  <c r="H287" i="78"/>
  <c r="J327" i="78"/>
  <c r="J356" i="78"/>
  <c r="H372" i="78"/>
  <c r="H566" i="78"/>
  <c r="K729" i="78"/>
  <c r="I268" i="78"/>
  <c r="G295" i="78"/>
  <c r="M306" i="78"/>
  <c r="G257" i="78"/>
  <c r="K267" i="78"/>
  <c r="J308" i="78"/>
  <c r="M316" i="78"/>
  <c r="K349" i="78"/>
  <c r="M372" i="78"/>
  <c r="K438" i="78"/>
  <c r="M467" i="78"/>
  <c r="M713" i="78"/>
  <c r="H250" i="78"/>
  <c r="H251" i="78"/>
  <c r="I252" i="78"/>
  <c r="J253" i="78"/>
  <c r="J254" i="78"/>
  <c r="J255" i="78"/>
  <c r="J256" i="78"/>
  <c r="K257" i="78"/>
  <c r="L258" i="78"/>
  <c r="L259" i="78"/>
  <c r="L260" i="78"/>
  <c r="L261" i="78"/>
  <c r="M262" i="78"/>
  <c r="G274" i="78"/>
  <c r="M275" i="78"/>
  <c r="G279" i="78"/>
  <c r="J280" i="78"/>
  <c r="H284" i="78"/>
  <c r="I285" i="78"/>
  <c r="J289" i="78"/>
  <c r="H292" i="78"/>
  <c r="H297" i="78"/>
  <c r="I302" i="78"/>
  <c r="M305" i="78"/>
  <c r="I307" i="78"/>
  <c r="H310" i="78"/>
  <c r="H315" i="78"/>
  <c r="I320" i="78"/>
  <c r="M323" i="78"/>
  <c r="I325" i="78"/>
  <c r="H328" i="78"/>
  <c r="H333" i="78"/>
  <c r="J338" i="78"/>
  <c r="G344" i="78"/>
  <c r="J351" i="78"/>
  <c r="M353" i="78"/>
  <c r="L355" i="78"/>
  <c r="H357" i="78"/>
  <c r="I361" i="78"/>
  <c r="J373" i="78"/>
  <c r="I379" i="78"/>
  <c r="I382" i="78"/>
  <c r="M385" i="78"/>
  <c r="L401" i="78"/>
  <c r="H417" i="78"/>
  <c r="J426" i="78"/>
  <c r="H439" i="78"/>
  <c r="L443" i="78"/>
  <c r="K456" i="78"/>
  <c r="L473" i="78"/>
  <c r="H489" i="78"/>
  <c r="L562" i="78"/>
  <c r="K620" i="78"/>
  <c r="K714" i="78"/>
  <c r="L754" i="78"/>
  <c r="J869" i="78"/>
  <c r="I272" i="78"/>
  <c r="K301" i="78"/>
  <c r="K319" i="78"/>
  <c r="M374" i="78"/>
  <c r="L432" i="78"/>
  <c r="H267" i="78"/>
  <c r="M288" i="78"/>
  <c r="L337" i="78"/>
  <c r="M354" i="78"/>
  <c r="G262" i="78"/>
  <c r="K343" i="78"/>
  <c r="I262" i="78"/>
  <c r="I250" i="78"/>
  <c r="I251" i="78"/>
  <c r="K252" i="78"/>
  <c r="K253" i="78"/>
  <c r="K254" i="78"/>
  <c r="K255" i="78"/>
  <c r="K256" i="78"/>
  <c r="M257" i="78"/>
  <c r="M258" i="78"/>
  <c r="M259" i="78"/>
  <c r="M260" i="78"/>
  <c r="M261" i="78"/>
  <c r="H274" i="78"/>
  <c r="G278" i="78"/>
  <c r="H279" i="78"/>
  <c r="M280" i="78"/>
  <c r="G283" i="78"/>
  <c r="I284" i="78"/>
  <c r="J285" i="78"/>
  <c r="K289" i="78"/>
  <c r="M292" i="78"/>
  <c r="I294" i="78"/>
  <c r="I297" i="78"/>
  <c r="J302" i="78"/>
  <c r="K307" i="78"/>
  <c r="M310" i="78"/>
  <c r="I312" i="78"/>
  <c r="I315" i="78"/>
  <c r="J320" i="78"/>
  <c r="K325" i="78"/>
  <c r="M328" i="78"/>
  <c r="I330" i="78"/>
  <c r="I333" i="78"/>
  <c r="K338" i="78"/>
  <c r="G340" i="78"/>
  <c r="K342" i="78"/>
  <c r="I344" i="78"/>
  <c r="M355" i="78"/>
  <c r="I357" i="78"/>
  <c r="K361" i="78"/>
  <c r="G363" i="78"/>
  <c r="H367" i="78"/>
  <c r="G369" i="78"/>
  <c r="H371" i="78"/>
  <c r="L373" i="78"/>
  <c r="J379" i="78"/>
  <c r="I397" i="78"/>
  <c r="K414" i="78"/>
  <c r="I439" i="78"/>
  <c r="M443" i="78"/>
  <c r="G452" i="78"/>
  <c r="L456" i="78"/>
  <c r="I469" i="78"/>
  <c r="K486" i="78"/>
  <c r="H540" i="78"/>
  <c r="I582" i="78"/>
  <c r="L605" i="78"/>
  <c r="I637" i="78"/>
  <c r="G646" i="78"/>
  <c r="G266" i="78"/>
  <c r="J277" i="78"/>
  <c r="I291" i="78"/>
  <c r="I309" i="78"/>
  <c r="K350" i="78"/>
  <c r="K390" i="78"/>
  <c r="M592" i="78"/>
  <c r="I270" i="78"/>
  <c r="K296" i="78"/>
  <c r="J309" i="78"/>
  <c r="H352" i="78"/>
  <c r="J403" i="78"/>
  <c r="I558" i="78"/>
  <c r="G263" i="78"/>
  <c r="K271" i="78"/>
  <c r="L282" i="78"/>
  <c r="I362" i="78"/>
  <c r="G256" i="78"/>
  <c r="I263" i="78"/>
  <c r="M271" i="78"/>
  <c r="K281" i="78"/>
  <c r="I303" i="78"/>
  <c r="K313" i="78"/>
  <c r="J326" i="78"/>
  <c r="J368" i="78"/>
  <c r="M395" i="78"/>
  <c r="K643" i="78"/>
  <c r="J250" i="78"/>
  <c r="K251" i="78"/>
  <c r="L252" i="78"/>
  <c r="L253" i="78"/>
  <c r="L254" i="78"/>
  <c r="L255" i="78"/>
  <c r="M256" i="78"/>
  <c r="G273" i="78"/>
  <c r="J274" i="78"/>
  <c r="H278" i="78"/>
  <c r="I279" i="78"/>
  <c r="I283" i="78"/>
  <c r="J284" i="78"/>
  <c r="L285" i="78"/>
  <c r="L289" i="78"/>
  <c r="K294" i="78"/>
  <c r="J297" i="78"/>
  <c r="K302" i="78"/>
  <c r="L307" i="78"/>
  <c r="K312" i="78"/>
  <c r="J315" i="78"/>
  <c r="K320" i="78"/>
  <c r="L325" i="78"/>
  <c r="K330" i="78"/>
  <c r="J333" i="78"/>
  <c r="L338" i="78"/>
  <c r="H340" i="78"/>
  <c r="M342" i="78"/>
  <c r="J344" i="78"/>
  <c r="G350" i="78"/>
  <c r="J357" i="78"/>
  <c r="M359" i="78"/>
  <c r="L361" i="78"/>
  <c r="H363" i="78"/>
  <c r="G365" i="78"/>
  <c r="I367" i="78"/>
  <c r="H369" i="78"/>
  <c r="J371" i="78"/>
  <c r="M373" i="78"/>
  <c r="G376" i="78"/>
  <c r="L379" i="78"/>
  <c r="J397" i="78"/>
  <c r="H410" i="78"/>
  <c r="J427" i="78"/>
  <c r="H452" i="78"/>
  <c r="J469" i="78"/>
  <c r="H482" i="78"/>
  <c r="L496" i="78"/>
  <c r="L533" i="78"/>
  <c r="G577" i="78"/>
  <c r="G269" i="78"/>
  <c r="K278" i="78"/>
  <c r="L283" i="78"/>
  <c r="J296" i="78"/>
  <c r="I306" i="78"/>
  <c r="J272" i="78"/>
  <c r="M283" i="78"/>
  <c r="K332" i="78"/>
  <c r="M377" i="78"/>
  <c r="I266" i="78"/>
  <c r="G290" i="78"/>
  <c r="G303" i="78"/>
  <c r="K356" i="78"/>
  <c r="G258" i="78"/>
  <c r="K265" i="78"/>
  <c r="H286" i="78"/>
  <c r="M298" i="78"/>
  <c r="I318" i="78"/>
  <c r="K331" i="78"/>
  <c r="G351" i="78"/>
  <c r="J366" i="78"/>
  <c r="I463" i="78"/>
  <c r="K250" i="78"/>
  <c r="M251" i="78"/>
  <c r="M252" i="78"/>
  <c r="M253" i="78"/>
  <c r="M254" i="78"/>
  <c r="M255" i="78"/>
  <c r="G272" i="78"/>
  <c r="H273" i="78"/>
  <c r="M274" i="78"/>
  <c r="G277" i="78"/>
  <c r="I278" i="78"/>
  <c r="J279" i="78"/>
  <c r="J283" i="78"/>
  <c r="K284" i="78"/>
  <c r="I288" i="78"/>
  <c r="M289" i="78"/>
  <c r="G291" i="78"/>
  <c r="M294" i="78"/>
  <c r="G296" i="78"/>
  <c r="K299" i="78"/>
  <c r="G301" i="78"/>
  <c r="L302" i="78"/>
  <c r="G304" i="78"/>
  <c r="M307" i="78"/>
  <c r="G309" i="78"/>
  <c r="M312" i="78"/>
  <c r="G314" i="78"/>
  <c r="K317" i="78"/>
  <c r="G319" i="78"/>
  <c r="L320" i="78"/>
  <c r="G322" i="78"/>
  <c r="M325" i="78"/>
  <c r="G327" i="78"/>
  <c r="M330" i="78"/>
  <c r="G332" i="78"/>
  <c r="K335" i="78"/>
  <c r="G337" i="78"/>
  <c r="K344" i="78"/>
  <c r="G346" i="78"/>
  <c r="K348" i="78"/>
  <c r="I350" i="78"/>
  <c r="M361" i="78"/>
  <c r="I363" i="78"/>
  <c r="H365" i="78"/>
  <c r="J367" i="78"/>
  <c r="I369" i="78"/>
  <c r="L371" i="78"/>
  <c r="I376" i="78"/>
  <c r="L389" i="78"/>
  <c r="L397" i="78"/>
  <c r="J410" i="78"/>
  <c r="H423" i="78"/>
  <c r="J432" i="78"/>
  <c r="J440" i="78"/>
  <c r="L469" i="78"/>
  <c r="J482" i="78"/>
  <c r="H571" i="78"/>
  <c r="H577" i="78"/>
  <c r="G270" i="78"/>
  <c r="I327" i="78"/>
  <c r="K354" i="78"/>
  <c r="I615" i="78"/>
  <c r="G265" i="78"/>
  <c r="J271" i="78"/>
  <c r="L301" i="78"/>
  <c r="K324" i="78"/>
  <c r="I343" i="78"/>
  <c r="H428" i="78"/>
  <c r="J475" i="78"/>
  <c r="M544" i="78"/>
  <c r="G261" i="78"/>
  <c r="I267" i="78"/>
  <c r="I276" i="78"/>
  <c r="K287" i="78"/>
  <c r="G298" i="78"/>
  <c r="G313" i="78"/>
  <c r="I260" i="78"/>
  <c r="K266" i="78"/>
  <c r="M270" i="78"/>
  <c r="K295" i="78"/>
  <c r="M334" i="78"/>
  <c r="I345" i="78"/>
  <c r="I370" i="78"/>
  <c r="L408" i="78"/>
  <c r="H500" i="78"/>
  <c r="L1088" i="78"/>
  <c r="M250" i="78"/>
  <c r="G271" i="78"/>
  <c r="H272" i="78"/>
  <c r="I273" i="78"/>
  <c r="I277" i="78"/>
  <c r="J278" i="78"/>
  <c r="L279" i="78"/>
  <c r="K283" i="78"/>
  <c r="L284" i="78"/>
  <c r="K288" i="78"/>
  <c r="H291" i="78"/>
  <c r="I296" i="78"/>
  <c r="M299" i="78"/>
  <c r="I301" i="78"/>
  <c r="H304" i="78"/>
  <c r="H309" i="78"/>
  <c r="I314" i="78"/>
  <c r="M317" i="78"/>
  <c r="I319" i="78"/>
  <c r="H322" i="78"/>
  <c r="H327" i="78"/>
  <c r="I332" i="78"/>
  <c r="M335" i="78"/>
  <c r="I337" i="78"/>
  <c r="L344" i="78"/>
  <c r="H346" i="78"/>
  <c r="M348" i="78"/>
  <c r="J350" i="78"/>
  <c r="G356" i="78"/>
  <c r="J363" i="78"/>
  <c r="J365" i="78"/>
  <c r="K367" i="78"/>
  <c r="J369" i="78"/>
  <c r="M371" i="78"/>
  <c r="K380" i="78"/>
  <c r="H393" i="78"/>
  <c r="J402" i="78"/>
  <c r="H415" i="78"/>
  <c r="L419" i="78"/>
  <c r="K432" i="78"/>
  <c r="L449" i="78"/>
  <c r="H465" i="78"/>
  <c r="J474" i="78"/>
  <c r="H487" i="78"/>
  <c r="M497" i="78"/>
  <c r="I513" i="78"/>
  <c r="I534" i="78"/>
  <c r="J577" i="78"/>
  <c r="K599" i="78"/>
  <c r="H615" i="78"/>
  <c r="H290" i="78"/>
  <c r="L294" i="78"/>
  <c r="J295" i="78"/>
  <c r="H296" i="78"/>
  <c r="L300" i="78"/>
  <c r="J301" i="78"/>
  <c r="H302" i="78"/>
  <c r="L306" i="78"/>
  <c r="J307" i="78"/>
  <c r="H308" i="78"/>
  <c r="L312" i="78"/>
  <c r="J313" i="78"/>
  <c r="H314" i="78"/>
  <c r="L318" i="78"/>
  <c r="J319" i="78"/>
  <c r="H320" i="78"/>
  <c r="L324" i="78"/>
  <c r="J325" i="78"/>
  <c r="H326" i="78"/>
  <c r="L330" i="78"/>
  <c r="J331" i="78"/>
  <c r="H332" i="78"/>
  <c r="L336" i="78"/>
  <c r="J337" i="78"/>
  <c r="H338" i="78"/>
  <c r="L342" i="78"/>
  <c r="J343" i="78"/>
  <c r="H344" i="78"/>
  <c r="L348" i="78"/>
  <c r="J349" i="78"/>
  <c r="H350" i="78"/>
  <c r="L354" i="78"/>
  <c r="J355" i="78"/>
  <c r="H356" i="78"/>
  <c r="L360" i="78"/>
  <c r="J361" i="78"/>
  <c r="H362" i="78"/>
  <c r="G368" i="78"/>
  <c r="G371" i="78"/>
  <c r="J372" i="78"/>
  <c r="K373" i="78"/>
  <c r="L377" i="78"/>
  <c r="M380" i="78"/>
  <c r="J385" i="78"/>
  <c r="L390" i="78"/>
  <c r="H397" i="78"/>
  <c r="M401" i="78"/>
  <c r="L403" i="78"/>
  <c r="G410" i="78"/>
  <c r="L414" i="78"/>
  <c r="H421" i="78"/>
  <c r="M425" i="78"/>
  <c r="L427" i="78"/>
  <c r="G434" i="78"/>
  <c r="L438" i="78"/>
  <c r="H445" i="78"/>
  <c r="M449" i="78"/>
  <c r="L451" i="78"/>
  <c r="G458" i="78"/>
  <c r="L462" i="78"/>
  <c r="H469" i="78"/>
  <c r="M473" i="78"/>
  <c r="L475" i="78"/>
  <c r="G482" i="78"/>
  <c r="L486" i="78"/>
  <c r="M496" i="78"/>
  <c r="G500" i="78"/>
  <c r="G509" i="78"/>
  <c r="G529" i="78"/>
  <c r="L538" i="78"/>
  <c r="L557" i="78"/>
  <c r="H590" i="78"/>
  <c r="H595" i="78"/>
  <c r="J620" i="78"/>
  <c r="L625" i="78"/>
  <c r="K637" i="78"/>
  <c r="M643" i="78"/>
  <c r="J657" i="78"/>
  <c r="K664" i="78"/>
  <c r="G686" i="78"/>
  <c r="H704" i="78"/>
  <c r="H735" i="78"/>
  <c r="M272" i="78"/>
  <c r="K273" i="78"/>
  <c r="I274" i="78"/>
  <c r="G275" i="78"/>
  <c r="M278" i="78"/>
  <c r="K279" i="78"/>
  <c r="I280" i="78"/>
  <c r="G281" i="78"/>
  <c r="M284" i="78"/>
  <c r="K285" i="78"/>
  <c r="I286" i="78"/>
  <c r="G287" i="78"/>
  <c r="M290" i="78"/>
  <c r="K291" i="78"/>
  <c r="I292" i="78"/>
  <c r="G293" i="78"/>
  <c r="M296" i="78"/>
  <c r="K297" i="78"/>
  <c r="I298" i="78"/>
  <c r="G299" i="78"/>
  <c r="M302" i="78"/>
  <c r="K303" i="78"/>
  <c r="I304" i="78"/>
  <c r="G305" i="78"/>
  <c r="M308" i="78"/>
  <c r="K309" i="78"/>
  <c r="I310" i="78"/>
  <c r="G311" i="78"/>
  <c r="M314" i="78"/>
  <c r="K315" i="78"/>
  <c r="I316" i="78"/>
  <c r="G317" i="78"/>
  <c r="M320" i="78"/>
  <c r="K321" i="78"/>
  <c r="I322" i="78"/>
  <c r="G323" i="78"/>
  <c r="M326" i="78"/>
  <c r="K327" i="78"/>
  <c r="I328" i="78"/>
  <c r="G329" i="78"/>
  <c r="M332" i="78"/>
  <c r="K333" i="78"/>
  <c r="I334" i="78"/>
  <c r="G335" i="78"/>
  <c r="M338" i="78"/>
  <c r="K339" i="78"/>
  <c r="I340" i="78"/>
  <c r="G341" i="78"/>
  <c r="M344" i="78"/>
  <c r="K345" i="78"/>
  <c r="I346" i="78"/>
  <c r="G347" i="78"/>
  <c r="M350" i="78"/>
  <c r="K351" i="78"/>
  <c r="I352" i="78"/>
  <c r="G353" i="78"/>
  <c r="M356" i="78"/>
  <c r="K357" i="78"/>
  <c r="I358" i="78"/>
  <c r="G359" i="78"/>
  <c r="M362" i="78"/>
  <c r="K363" i="78"/>
  <c r="J364" i="78"/>
  <c r="L365" i="78"/>
  <c r="L366" i="78"/>
  <c r="L367" i="78"/>
  <c r="L368" i="78"/>
  <c r="K369" i="78"/>
  <c r="L370" i="78"/>
  <c r="G375" i="78"/>
  <c r="J376" i="78"/>
  <c r="M379" i="78"/>
  <c r="H381" i="78"/>
  <c r="K384" i="78"/>
  <c r="G386" i="78"/>
  <c r="M389" i="78"/>
  <c r="J391" i="78"/>
  <c r="K402" i="78"/>
  <c r="J404" i="78"/>
  <c r="L413" i="78"/>
  <c r="J415" i="78"/>
  <c r="K426" i="78"/>
  <c r="J428" i="78"/>
  <c r="L437" i="78"/>
  <c r="J439" i="78"/>
  <c r="K450" i="78"/>
  <c r="J452" i="78"/>
  <c r="L461" i="78"/>
  <c r="J463" i="78"/>
  <c r="K474" i="78"/>
  <c r="J476" i="78"/>
  <c r="L485" i="78"/>
  <c r="J487" i="78"/>
  <c r="I501" i="78"/>
  <c r="H504" i="78"/>
  <c r="K510" i="78"/>
  <c r="J517" i="78"/>
  <c r="I540" i="78"/>
  <c r="J545" i="78"/>
  <c r="H564" i="78"/>
  <c r="J601" i="78"/>
  <c r="I606" i="78"/>
  <c r="M622" i="78"/>
  <c r="H646" i="78"/>
  <c r="M653" i="78"/>
  <c r="G698" i="78"/>
  <c r="G809" i="78"/>
  <c r="I819" i="78"/>
  <c r="H851" i="78"/>
  <c r="L291" i="78"/>
  <c r="J292" i="78"/>
  <c r="H293" i="78"/>
  <c r="L297" i="78"/>
  <c r="J298" i="78"/>
  <c r="H299" i="78"/>
  <c r="L303" i="78"/>
  <c r="J304" i="78"/>
  <c r="H305" i="78"/>
  <c r="L309" i="78"/>
  <c r="J310" i="78"/>
  <c r="H311" i="78"/>
  <c r="L315" i="78"/>
  <c r="J316" i="78"/>
  <c r="H317" i="78"/>
  <c r="L321" i="78"/>
  <c r="J322" i="78"/>
  <c r="H323" i="78"/>
  <c r="L327" i="78"/>
  <c r="J328" i="78"/>
  <c r="H329" i="78"/>
  <c r="L333" i="78"/>
  <c r="J334" i="78"/>
  <c r="H335" i="78"/>
  <c r="L339" i="78"/>
  <c r="J340" i="78"/>
  <c r="H341" i="78"/>
  <c r="L345" i="78"/>
  <c r="J346" i="78"/>
  <c r="H347" i="78"/>
  <c r="L351" i="78"/>
  <c r="J352" i="78"/>
  <c r="H353" i="78"/>
  <c r="L357" i="78"/>
  <c r="J358" i="78"/>
  <c r="H359" i="78"/>
  <c r="L363" i="78"/>
  <c r="L364" i="78"/>
  <c r="M365" i="78"/>
  <c r="M366" i="78"/>
  <c r="M367" i="78"/>
  <c r="M368" i="78"/>
  <c r="L369" i="78"/>
  <c r="G374" i="78"/>
  <c r="H375" i="78"/>
  <c r="I381" i="78"/>
  <c r="L384" i="78"/>
  <c r="H386" i="78"/>
  <c r="L391" i="78"/>
  <c r="G398" i="78"/>
  <c r="L402" i="78"/>
  <c r="H409" i="78"/>
  <c r="M413" i="78"/>
  <c r="L415" i="78"/>
  <c r="G422" i="78"/>
  <c r="L426" i="78"/>
  <c r="H433" i="78"/>
  <c r="M437" i="78"/>
  <c r="L439" i="78"/>
  <c r="G446" i="78"/>
  <c r="L450" i="78"/>
  <c r="H457" i="78"/>
  <c r="M461" i="78"/>
  <c r="L463" i="78"/>
  <c r="G470" i="78"/>
  <c r="L474" i="78"/>
  <c r="H481" i="78"/>
  <c r="M485" i="78"/>
  <c r="L487" i="78"/>
  <c r="K501" i="78"/>
  <c r="J504" i="78"/>
  <c r="M510" i="78"/>
  <c r="I514" i="78"/>
  <c r="L522" i="78"/>
  <c r="J540" i="78"/>
  <c r="I564" i="78"/>
  <c r="J569" i="78"/>
  <c r="H588" i="78"/>
  <c r="K617" i="78"/>
  <c r="L690" i="78"/>
  <c r="I723" i="78"/>
  <c r="M841" i="78"/>
  <c r="J851" i="78"/>
  <c r="M273" i="78"/>
  <c r="K274" i="78"/>
  <c r="I275" i="78"/>
  <c r="G276" i="78"/>
  <c r="M279" i="78"/>
  <c r="K280" i="78"/>
  <c r="I281" i="78"/>
  <c r="G282" i="78"/>
  <c r="M285" i="78"/>
  <c r="K286" i="78"/>
  <c r="I287" i="78"/>
  <c r="G288" i="78"/>
  <c r="M291" i="78"/>
  <c r="K292" i="78"/>
  <c r="I293" i="78"/>
  <c r="G294" i="78"/>
  <c r="M297" i="78"/>
  <c r="K298" i="78"/>
  <c r="I299" i="78"/>
  <c r="G300" i="78"/>
  <c r="M303" i="78"/>
  <c r="K304" i="78"/>
  <c r="I305" i="78"/>
  <c r="G306" i="78"/>
  <c r="M309" i="78"/>
  <c r="K310" i="78"/>
  <c r="I311" i="78"/>
  <c r="G312" i="78"/>
  <c r="M315" i="78"/>
  <c r="K316" i="78"/>
  <c r="I317" i="78"/>
  <c r="G318" i="78"/>
  <c r="M321" i="78"/>
  <c r="K322" i="78"/>
  <c r="I323" i="78"/>
  <c r="G324" i="78"/>
  <c r="M327" i="78"/>
  <c r="K328" i="78"/>
  <c r="I329" i="78"/>
  <c r="G330" i="78"/>
  <c r="M333" i="78"/>
  <c r="K334" i="78"/>
  <c r="I335" i="78"/>
  <c r="G336" i="78"/>
  <c r="M339" i="78"/>
  <c r="K340" i="78"/>
  <c r="I341" i="78"/>
  <c r="G342" i="78"/>
  <c r="M345" i="78"/>
  <c r="K346" i="78"/>
  <c r="I347" i="78"/>
  <c r="G348" i="78"/>
  <c r="M351" i="78"/>
  <c r="K352" i="78"/>
  <c r="I353" i="78"/>
  <c r="G354" i="78"/>
  <c r="M357" i="78"/>
  <c r="K358" i="78"/>
  <c r="I359" i="78"/>
  <c r="G360" i="78"/>
  <c r="H374" i="78"/>
  <c r="I375" i="78"/>
  <c r="J378" i="78"/>
  <c r="K381" i="78"/>
  <c r="J386" i="78"/>
  <c r="J396" i="78"/>
  <c r="H398" i="78"/>
  <c r="I409" i="78"/>
  <c r="H411" i="78"/>
  <c r="J420" i="78"/>
  <c r="H422" i="78"/>
  <c r="I433" i="78"/>
  <c r="H435" i="78"/>
  <c r="J444" i="78"/>
  <c r="H446" i="78"/>
  <c r="I457" i="78"/>
  <c r="H459" i="78"/>
  <c r="J468" i="78"/>
  <c r="H470" i="78"/>
  <c r="I481" i="78"/>
  <c r="H483" i="78"/>
  <c r="G495" i="78"/>
  <c r="L514" i="78"/>
  <c r="J527" i="78"/>
  <c r="H536" i="78"/>
  <c r="L546" i="78"/>
  <c r="J564" i="78"/>
  <c r="I588" i="78"/>
  <c r="J593" i="78"/>
  <c r="L612" i="78"/>
  <c r="I709" i="78"/>
  <c r="J723" i="78"/>
  <c r="L250" i="78"/>
  <c r="J251" i="78"/>
  <c r="H252" i="78"/>
  <c r="L256" i="78"/>
  <c r="J257" i="78"/>
  <c r="H258" i="78"/>
  <c r="L262" i="78"/>
  <c r="J263" i="78"/>
  <c r="H264" i="78"/>
  <c r="L268" i="78"/>
  <c r="J269" i="78"/>
  <c r="H270" i="78"/>
  <c r="L274" i="78"/>
  <c r="J275" i="78"/>
  <c r="H276" i="78"/>
  <c r="L280" i="78"/>
  <c r="J281" i="78"/>
  <c r="H282" i="78"/>
  <c r="L286" i="78"/>
  <c r="J287" i="78"/>
  <c r="H288" i="78"/>
  <c r="L292" i="78"/>
  <c r="J293" i="78"/>
  <c r="H294" i="78"/>
  <c r="L298" i="78"/>
  <c r="J299" i="78"/>
  <c r="H300" i="78"/>
  <c r="L304" i="78"/>
  <c r="J305" i="78"/>
  <c r="H306" i="78"/>
  <c r="L310" i="78"/>
  <c r="J311" i="78"/>
  <c r="H312" i="78"/>
  <c r="L316" i="78"/>
  <c r="J317" i="78"/>
  <c r="H318" i="78"/>
  <c r="L322" i="78"/>
  <c r="J323" i="78"/>
  <c r="H324" i="78"/>
  <c r="L328" i="78"/>
  <c r="J329" i="78"/>
  <c r="H330" i="78"/>
  <c r="L334" i="78"/>
  <c r="J335" i="78"/>
  <c r="H336" i="78"/>
  <c r="L340" i="78"/>
  <c r="J341" i="78"/>
  <c r="H342" i="78"/>
  <c r="L346" i="78"/>
  <c r="J347" i="78"/>
  <c r="H348" i="78"/>
  <c r="L352" i="78"/>
  <c r="J353" i="78"/>
  <c r="H354" i="78"/>
  <c r="L358" i="78"/>
  <c r="J359" i="78"/>
  <c r="H360" i="78"/>
  <c r="I374" i="78"/>
  <c r="K375" i="78"/>
  <c r="K378" i="78"/>
  <c r="G380" i="78"/>
  <c r="G383" i="78"/>
  <c r="K386" i="78"/>
  <c r="K396" i="78"/>
  <c r="J398" i="78"/>
  <c r="L407" i="78"/>
  <c r="J409" i="78"/>
  <c r="K420" i="78"/>
  <c r="J422" i="78"/>
  <c r="L431" i="78"/>
  <c r="J433" i="78"/>
  <c r="K444" i="78"/>
  <c r="J446" i="78"/>
  <c r="L455" i="78"/>
  <c r="J457" i="78"/>
  <c r="K468" i="78"/>
  <c r="J470" i="78"/>
  <c r="L479" i="78"/>
  <c r="J481" i="78"/>
  <c r="K495" i="78"/>
  <c r="H505" i="78"/>
  <c r="K511" i="78"/>
  <c r="M514" i="78"/>
  <c r="K527" i="78"/>
  <c r="J551" i="78"/>
  <c r="H560" i="78"/>
  <c r="L570" i="78"/>
  <c r="J588" i="78"/>
  <c r="M623" i="78"/>
  <c r="G669" i="78"/>
  <c r="L684" i="78"/>
  <c r="M709" i="78"/>
  <c r="K723" i="78"/>
  <c r="L791" i="78"/>
  <c r="M340" i="78"/>
  <c r="K341" i="78"/>
  <c r="I342" i="78"/>
  <c r="G343" i="78"/>
  <c r="M346" i="78"/>
  <c r="K347" i="78"/>
  <c r="I348" i="78"/>
  <c r="G349" i="78"/>
  <c r="M352" i="78"/>
  <c r="K353" i="78"/>
  <c r="I354" i="78"/>
  <c r="G355" i="78"/>
  <c r="M358" i="78"/>
  <c r="K359" i="78"/>
  <c r="I360" i="78"/>
  <c r="G361" i="78"/>
  <c r="H373" i="78"/>
  <c r="J374" i="78"/>
  <c r="L375" i="78"/>
  <c r="L378" i="78"/>
  <c r="H380" i="78"/>
  <c r="L383" i="78"/>
  <c r="M386" i="78"/>
  <c r="G392" i="78"/>
  <c r="L396" i="78"/>
  <c r="H403" i="78"/>
  <c r="M407" i="78"/>
  <c r="L409" i="78"/>
  <c r="G416" i="78"/>
  <c r="L420" i="78"/>
  <c r="H427" i="78"/>
  <c r="M431" i="78"/>
  <c r="L433" i="78"/>
  <c r="G440" i="78"/>
  <c r="L444" i="78"/>
  <c r="H451" i="78"/>
  <c r="M455" i="78"/>
  <c r="L457" i="78"/>
  <c r="G464" i="78"/>
  <c r="L468" i="78"/>
  <c r="H475" i="78"/>
  <c r="M479" i="78"/>
  <c r="L481" i="78"/>
  <c r="G488" i="78"/>
  <c r="G499" i="78"/>
  <c r="I505" i="78"/>
  <c r="M511" i="78"/>
  <c r="H523" i="78"/>
  <c r="K551" i="78"/>
  <c r="J575" i="78"/>
  <c r="H584" i="78"/>
  <c r="L594" i="78"/>
  <c r="G608" i="78"/>
  <c r="G613" i="78"/>
  <c r="K618" i="78"/>
  <c r="K636" i="78"/>
  <c r="M642" i="78"/>
  <c r="H718" i="78"/>
  <c r="G741" i="78"/>
  <c r="L251" i="78"/>
  <c r="J252" i="78"/>
  <c r="H253" i="78"/>
  <c r="L257" i="78"/>
  <c r="J258" i="78"/>
  <c r="H259" i="78"/>
  <c r="L263" i="78"/>
  <c r="J264" i="78"/>
  <c r="H265" i="78"/>
  <c r="L269" i="78"/>
  <c r="J270" i="78"/>
  <c r="H271" i="78"/>
  <c r="L275" i="78"/>
  <c r="J276" i="78"/>
  <c r="H277" i="78"/>
  <c r="L281" i="78"/>
  <c r="J282" i="78"/>
  <c r="H283" i="78"/>
  <c r="L287" i="78"/>
  <c r="J288" i="78"/>
  <c r="H289" i="78"/>
  <c r="L293" i="78"/>
  <c r="J294" i="78"/>
  <c r="H295" i="78"/>
  <c r="L299" i="78"/>
  <c r="J300" i="78"/>
  <c r="H301" i="78"/>
  <c r="L305" i="78"/>
  <c r="J306" i="78"/>
  <c r="H307" i="78"/>
  <c r="L311" i="78"/>
  <c r="J312" i="78"/>
  <c r="H313" i="78"/>
  <c r="L317" i="78"/>
  <c r="J318" i="78"/>
  <c r="H319" i="78"/>
  <c r="L323" i="78"/>
  <c r="J324" i="78"/>
  <c r="H325" i="78"/>
  <c r="L329" i="78"/>
  <c r="J330" i="78"/>
  <c r="H331" i="78"/>
  <c r="L335" i="78"/>
  <c r="J336" i="78"/>
  <c r="H337" i="78"/>
  <c r="L341" i="78"/>
  <c r="J342" i="78"/>
  <c r="H343" i="78"/>
  <c r="L347" i="78"/>
  <c r="J348" i="78"/>
  <c r="H349" i="78"/>
  <c r="L353" i="78"/>
  <c r="J354" i="78"/>
  <c r="H355" i="78"/>
  <c r="L359" i="78"/>
  <c r="J360" i="78"/>
  <c r="H361" i="78"/>
  <c r="I373" i="78"/>
  <c r="K374" i="78"/>
  <c r="J380" i="78"/>
  <c r="M383" i="78"/>
  <c r="H385" i="78"/>
  <c r="G388" i="78"/>
  <c r="J390" i="78"/>
  <c r="H392" i="78"/>
  <c r="I403" i="78"/>
  <c r="H405" i="78"/>
  <c r="J414" i="78"/>
  <c r="H416" i="78"/>
  <c r="I427" i="78"/>
  <c r="H429" i="78"/>
  <c r="J438" i="78"/>
  <c r="H440" i="78"/>
  <c r="I451" i="78"/>
  <c r="H453" i="78"/>
  <c r="J462" i="78"/>
  <c r="H464" i="78"/>
  <c r="I475" i="78"/>
  <c r="H477" i="78"/>
  <c r="J486" i="78"/>
  <c r="H488" i="78"/>
  <c r="H493" i="78"/>
  <c r="I496" i="78"/>
  <c r="I499" i="78"/>
  <c r="J505" i="78"/>
  <c r="H542" i="78"/>
  <c r="H547" i="78"/>
  <c r="K575" i="78"/>
  <c r="J599" i="78"/>
  <c r="J608" i="78"/>
  <c r="J613" i="78"/>
  <c r="J650" i="78"/>
  <c r="K656" i="78"/>
  <c r="L678" i="78"/>
  <c r="G693" i="78"/>
  <c r="I718" i="78"/>
  <c r="I803" i="78"/>
  <c r="H834" i="78"/>
  <c r="M378" i="78"/>
  <c r="K379" i="78"/>
  <c r="I380" i="78"/>
  <c r="G381" i="78"/>
  <c r="M384" i="78"/>
  <c r="K385" i="78"/>
  <c r="I386" i="78"/>
  <c r="G387" i="78"/>
  <c r="M390" i="78"/>
  <c r="K391" i="78"/>
  <c r="I392" i="78"/>
  <c r="G393" i="78"/>
  <c r="M396" i="78"/>
  <c r="K397" i="78"/>
  <c r="I398" i="78"/>
  <c r="G399" i="78"/>
  <c r="M402" i="78"/>
  <c r="K403" i="78"/>
  <c r="I404" i="78"/>
  <c r="G405" i="78"/>
  <c r="M408" i="78"/>
  <c r="K409" i="78"/>
  <c r="I410" i="78"/>
  <c r="G411" i="78"/>
  <c r="M414" i="78"/>
  <c r="K415" i="78"/>
  <c r="I416" i="78"/>
  <c r="G417" i="78"/>
  <c r="M420" i="78"/>
  <c r="K421" i="78"/>
  <c r="I422" i="78"/>
  <c r="G423" i="78"/>
  <c r="M426" i="78"/>
  <c r="K427" i="78"/>
  <c r="I428" i="78"/>
  <c r="G429" i="78"/>
  <c r="M432" i="78"/>
  <c r="K433" i="78"/>
  <c r="I434" i="78"/>
  <c r="G435" i="78"/>
  <c r="M438" i="78"/>
  <c r="K439" i="78"/>
  <c r="I440" i="78"/>
  <c r="G441" i="78"/>
  <c r="M444" i="78"/>
  <c r="K445" i="78"/>
  <c r="I446" i="78"/>
  <c r="G447" i="78"/>
  <c r="M450" i="78"/>
  <c r="K451" i="78"/>
  <c r="I452" i="78"/>
  <c r="G453" i="78"/>
  <c r="M456" i="78"/>
  <c r="K457" i="78"/>
  <c r="I458" i="78"/>
  <c r="G459" i="78"/>
  <c r="M462" i="78"/>
  <c r="K463" i="78"/>
  <c r="I464" i="78"/>
  <c r="G465" i="78"/>
  <c r="M468" i="78"/>
  <c r="K469" i="78"/>
  <c r="I470" i="78"/>
  <c r="G471" i="78"/>
  <c r="M474" i="78"/>
  <c r="K475" i="78"/>
  <c r="I476" i="78"/>
  <c r="G477" i="78"/>
  <c r="M480" i="78"/>
  <c r="K481" i="78"/>
  <c r="I482" i="78"/>
  <c r="G483" i="78"/>
  <c r="M486" i="78"/>
  <c r="K487" i="78"/>
  <c r="I488" i="78"/>
  <c r="G489" i="78"/>
  <c r="G493" i="78"/>
  <c r="H494" i="78"/>
  <c r="I495" i="78"/>
  <c r="H499" i="78"/>
  <c r="K500" i="78"/>
  <c r="I504" i="78"/>
  <c r="K505" i="78"/>
  <c r="J509" i="78"/>
  <c r="L510" i="78"/>
  <c r="G513" i="78"/>
  <c r="M517" i="78"/>
  <c r="I519" i="78"/>
  <c r="J521" i="78"/>
  <c r="G523" i="78"/>
  <c r="L527" i="78"/>
  <c r="H534" i="78"/>
  <c r="M538" i="78"/>
  <c r="L540" i="78"/>
  <c r="G547" i="78"/>
  <c r="L551" i="78"/>
  <c r="H558" i="78"/>
  <c r="M562" i="78"/>
  <c r="L564" i="78"/>
  <c r="G571" i="78"/>
  <c r="L575" i="78"/>
  <c r="H582" i="78"/>
  <c r="M586" i="78"/>
  <c r="L588" i="78"/>
  <c r="G595" i="78"/>
  <c r="L599" i="78"/>
  <c r="H606" i="78"/>
  <c r="H608" i="78"/>
  <c r="I613" i="78"/>
  <c r="L615" i="78"/>
  <c r="I618" i="78"/>
  <c r="L620" i="78"/>
  <c r="K623" i="78"/>
  <c r="M628" i="78"/>
  <c r="J637" i="78"/>
  <c r="L643" i="78"/>
  <c r="L650" i="78"/>
  <c r="M657" i="78"/>
  <c r="J661" i="78"/>
  <c r="I673" i="78"/>
  <c r="K690" i="78"/>
  <c r="I699" i="78"/>
  <c r="I704" i="78"/>
  <c r="J709" i="78"/>
  <c r="I747" i="78"/>
  <c r="K754" i="78"/>
  <c r="H803" i="78"/>
  <c r="I851" i="78"/>
  <c r="I869" i="78"/>
  <c r="M391" i="78"/>
  <c r="K392" i="78"/>
  <c r="I393" i="78"/>
  <c r="G394" i="78"/>
  <c r="M397" i="78"/>
  <c r="K398" i="78"/>
  <c r="I399" i="78"/>
  <c r="G400" i="78"/>
  <c r="M403" i="78"/>
  <c r="K404" i="78"/>
  <c r="I405" i="78"/>
  <c r="G406" i="78"/>
  <c r="M409" i="78"/>
  <c r="K410" i="78"/>
  <c r="I411" i="78"/>
  <c r="G412" i="78"/>
  <c r="M415" i="78"/>
  <c r="K416" i="78"/>
  <c r="I417" i="78"/>
  <c r="G418" i="78"/>
  <c r="M421" i="78"/>
  <c r="K422" i="78"/>
  <c r="I423" i="78"/>
  <c r="G424" i="78"/>
  <c r="M427" i="78"/>
  <c r="K428" i="78"/>
  <c r="I429" i="78"/>
  <c r="G430" i="78"/>
  <c r="M433" i="78"/>
  <c r="K434" i="78"/>
  <c r="I435" i="78"/>
  <c r="G436" i="78"/>
  <c r="M439" i="78"/>
  <c r="K440" i="78"/>
  <c r="I441" i="78"/>
  <c r="G442" i="78"/>
  <c r="M445" i="78"/>
  <c r="K446" i="78"/>
  <c r="I447" i="78"/>
  <c r="G448" i="78"/>
  <c r="M451" i="78"/>
  <c r="K452" i="78"/>
  <c r="I453" i="78"/>
  <c r="G454" i="78"/>
  <c r="M457" i="78"/>
  <c r="K458" i="78"/>
  <c r="I459" i="78"/>
  <c r="G460" i="78"/>
  <c r="M463" i="78"/>
  <c r="K464" i="78"/>
  <c r="I465" i="78"/>
  <c r="G466" i="78"/>
  <c r="M469" i="78"/>
  <c r="K470" i="78"/>
  <c r="I471" i="78"/>
  <c r="G472" i="78"/>
  <c r="M475" i="78"/>
  <c r="K476" i="78"/>
  <c r="I477" i="78"/>
  <c r="G478" i="78"/>
  <c r="M481" i="78"/>
  <c r="K482" i="78"/>
  <c r="I483" i="78"/>
  <c r="G484" i="78"/>
  <c r="M487" i="78"/>
  <c r="K488" i="78"/>
  <c r="I489" i="78"/>
  <c r="G490" i="78"/>
  <c r="H492" i="78"/>
  <c r="I493" i="78"/>
  <c r="K494" i="78"/>
  <c r="H498" i="78"/>
  <c r="J499" i="78"/>
  <c r="G503" i="78"/>
  <c r="K504" i="78"/>
  <c r="G508" i="78"/>
  <c r="L509" i="78"/>
  <c r="K513" i="78"/>
  <c r="I516" i="78"/>
  <c r="L521" i="78"/>
  <c r="J523" i="78"/>
  <c r="L532" i="78"/>
  <c r="J534" i="78"/>
  <c r="K545" i="78"/>
  <c r="J547" i="78"/>
  <c r="L556" i="78"/>
  <c r="J558" i="78"/>
  <c r="K569" i="78"/>
  <c r="J571" i="78"/>
  <c r="L580" i="78"/>
  <c r="J582" i="78"/>
  <c r="K593" i="78"/>
  <c r="J595" i="78"/>
  <c r="L604" i="78"/>
  <c r="J606" i="78"/>
  <c r="G611" i="78"/>
  <c r="L613" i="78"/>
  <c r="H616" i="78"/>
  <c r="L618" i="78"/>
  <c r="M637" i="78"/>
  <c r="I662" i="78"/>
  <c r="I669" i="78"/>
  <c r="M678" i="78"/>
  <c r="H686" i="78"/>
  <c r="M690" i="78"/>
  <c r="L725" i="78"/>
  <c r="M731" i="78"/>
  <c r="I737" i="78"/>
  <c r="G743" i="78"/>
  <c r="K813" i="78"/>
  <c r="H370" i="78"/>
  <c r="L374" i="78"/>
  <c r="J375" i="78"/>
  <c r="H376" i="78"/>
  <c r="L380" i="78"/>
  <c r="J381" i="78"/>
  <c r="H382" i="78"/>
  <c r="L386" i="78"/>
  <c r="J387" i="78"/>
  <c r="H388" i="78"/>
  <c r="L392" i="78"/>
  <c r="J393" i="78"/>
  <c r="H394" i="78"/>
  <c r="L398" i="78"/>
  <c r="J399" i="78"/>
  <c r="H400" i="78"/>
  <c r="L404" i="78"/>
  <c r="J405" i="78"/>
  <c r="H406" i="78"/>
  <c r="L410" i="78"/>
  <c r="J411" i="78"/>
  <c r="H412" i="78"/>
  <c r="L416" i="78"/>
  <c r="J417" i="78"/>
  <c r="H418" i="78"/>
  <c r="L422" i="78"/>
  <c r="J423" i="78"/>
  <c r="H424" i="78"/>
  <c r="L428" i="78"/>
  <c r="J429" i="78"/>
  <c r="H430" i="78"/>
  <c r="L434" i="78"/>
  <c r="J435" i="78"/>
  <c r="H436" i="78"/>
  <c r="L440" i="78"/>
  <c r="J441" i="78"/>
  <c r="H442" i="78"/>
  <c r="L446" i="78"/>
  <c r="J447" i="78"/>
  <c r="H448" i="78"/>
  <c r="L452" i="78"/>
  <c r="J453" i="78"/>
  <c r="H454" i="78"/>
  <c r="L458" i="78"/>
  <c r="J459" i="78"/>
  <c r="H460" i="78"/>
  <c r="L464" i="78"/>
  <c r="J465" i="78"/>
  <c r="H466" i="78"/>
  <c r="L470" i="78"/>
  <c r="J471" i="78"/>
  <c r="H472" i="78"/>
  <c r="L476" i="78"/>
  <c r="J477" i="78"/>
  <c r="H478" i="78"/>
  <c r="L482" i="78"/>
  <c r="J483" i="78"/>
  <c r="H484" i="78"/>
  <c r="L488" i="78"/>
  <c r="J489" i="78"/>
  <c r="H490" i="78"/>
  <c r="G491" i="78"/>
  <c r="I492" i="78"/>
  <c r="J493" i="78"/>
  <c r="M494" i="78"/>
  <c r="I498" i="78"/>
  <c r="K499" i="78"/>
  <c r="J503" i="78"/>
  <c r="L504" i="78"/>
  <c r="I508" i="78"/>
  <c r="M509" i="78"/>
  <c r="H512" i="78"/>
  <c r="J516" i="78"/>
  <c r="H528" i="78"/>
  <c r="M532" i="78"/>
  <c r="L534" i="78"/>
  <c r="G541" i="78"/>
  <c r="L545" i="78"/>
  <c r="H552" i="78"/>
  <c r="M556" i="78"/>
  <c r="L558" i="78"/>
  <c r="G565" i="78"/>
  <c r="L569" i="78"/>
  <c r="H576" i="78"/>
  <c r="M580" i="78"/>
  <c r="L582" i="78"/>
  <c r="G589" i="78"/>
  <c r="L593" i="78"/>
  <c r="H600" i="78"/>
  <c r="M604" i="78"/>
  <c r="L606" i="78"/>
  <c r="H611" i="78"/>
  <c r="I616" i="78"/>
  <c r="J621" i="78"/>
  <c r="L626" i="78"/>
  <c r="J662" i="78"/>
  <c r="K674" i="78"/>
  <c r="G682" i="78"/>
  <c r="I686" i="78"/>
  <c r="M720" i="78"/>
  <c r="K737" i="78"/>
  <c r="H743" i="78"/>
  <c r="I787" i="78"/>
  <c r="L813" i="78"/>
  <c r="M879" i="78"/>
  <c r="I388" i="78"/>
  <c r="G389" i="78"/>
  <c r="M392" i="78"/>
  <c r="K393" i="78"/>
  <c r="I394" i="78"/>
  <c r="G395" i="78"/>
  <c r="M398" i="78"/>
  <c r="K399" i="78"/>
  <c r="I400" i="78"/>
  <c r="G401" i="78"/>
  <c r="M404" i="78"/>
  <c r="K405" i="78"/>
  <c r="I406" i="78"/>
  <c r="G407" i="78"/>
  <c r="M410" i="78"/>
  <c r="K411" i="78"/>
  <c r="I412" i="78"/>
  <c r="G413" i="78"/>
  <c r="M416" i="78"/>
  <c r="K417" i="78"/>
  <c r="I418" i="78"/>
  <c r="G419" i="78"/>
  <c r="M422" i="78"/>
  <c r="K423" i="78"/>
  <c r="I424" i="78"/>
  <c r="G425" i="78"/>
  <c r="M428" i="78"/>
  <c r="K429" i="78"/>
  <c r="I430" i="78"/>
  <c r="G431" i="78"/>
  <c r="M434" i="78"/>
  <c r="K435" i="78"/>
  <c r="I436" i="78"/>
  <c r="G437" i="78"/>
  <c r="M440" i="78"/>
  <c r="K441" i="78"/>
  <c r="I442" i="78"/>
  <c r="G443" i="78"/>
  <c r="M446" i="78"/>
  <c r="K447" i="78"/>
  <c r="I448" i="78"/>
  <c r="G449" i="78"/>
  <c r="M452" i="78"/>
  <c r="K453" i="78"/>
  <c r="I454" i="78"/>
  <c r="G455" i="78"/>
  <c r="M458" i="78"/>
  <c r="K459" i="78"/>
  <c r="I460" i="78"/>
  <c r="G461" i="78"/>
  <c r="M464" i="78"/>
  <c r="K465" i="78"/>
  <c r="I466" i="78"/>
  <c r="G467" i="78"/>
  <c r="M470" i="78"/>
  <c r="K471" i="78"/>
  <c r="I472" i="78"/>
  <c r="G473" i="78"/>
  <c r="M476" i="78"/>
  <c r="K477" i="78"/>
  <c r="I478" i="78"/>
  <c r="G479" i="78"/>
  <c r="M482" i="78"/>
  <c r="K483" i="78"/>
  <c r="I484" i="78"/>
  <c r="G485" i="78"/>
  <c r="M488" i="78"/>
  <c r="K489" i="78"/>
  <c r="I490" i="78"/>
  <c r="H491" i="78"/>
  <c r="J492" i="78"/>
  <c r="K493" i="78"/>
  <c r="J498" i="78"/>
  <c r="M499" i="78"/>
  <c r="K503" i="78"/>
  <c r="M504" i="78"/>
  <c r="L508" i="78"/>
  <c r="I512" i="78"/>
  <c r="L516" i="78"/>
  <c r="I528" i="78"/>
  <c r="H530" i="78"/>
  <c r="J539" i="78"/>
  <c r="H541" i="78"/>
  <c r="I552" i="78"/>
  <c r="H554" i="78"/>
  <c r="J563" i="78"/>
  <c r="H565" i="78"/>
  <c r="I576" i="78"/>
  <c r="H578" i="78"/>
  <c r="J587" i="78"/>
  <c r="H589" i="78"/>
  <c r="I600" i="78"/>
  <c r="H602" i="78"/>
  <c r="G609" i="78"/>
  <c r="K611" i="78"/>
  <c r="H614" i="78"/>
  <c r="J616" i="78"/>
  <c r="K621" i="78"/>
  <c r="M626" i="78"/>
  <c r="J638" i="78"/>
  <c r="H641" i="78"/>
  <c r="I655" i="78"/>
  <c r="K662" i="78"/>
  <c r="G666" i="78"/>
  <c r="K686" i="78"/>
  <c r="I691" i="78"/>
  <c r="G716" i="78"/>
  <c r="J726" i="78"/>
  <c r="J743" i="78"/>
  <c r="M813" i="78"/>
  <c r="J919" i="78"/>
  <c r="G998" i="78"/>
  <c r="H377" i="78"/>
  <c r="L381" i="78"/>
  <c r="J382" i="78"/>
  <c r="H383" i="78"/>
  <c r="L387" i="78"/>
  <c r="J388" i="78"/>
  <c r="H389" i="78"/>
  <c r="L393" i="78"/>
  <c r="J394" i="78"/>
  <c r="H395" i="78"/>
  <c r="L399" i="78"/>
  <c r="J400" i="78"/>
  <c r="H401" i="78"/>
  <c r="L405" i="78"/>
  <c r="J406" i="78"/>
  <c r="H407" i="78"/>
  <c r="L411" i="78"/>
  <c r="J412" i="78"/>
  <c r="H413" i="78"/>
  <c r="L417" i="78"/>
  <c r="J418" i="78"/>
  <c r="H419" i="78"/>
  <c r="L423" i="78"/>
  <c r="J424" i="78"/>
  <c r="H425" i="78"/>
  <c r="L429" i="78"/>
  <c r="J430" i="78"/>
  <c r="H431" i="78"/>
  <c r="L435" i="78"/>
  <c r="J436" i="78"/>
  <c r="H437" i="78"/>
  <c r="L441" i="78"/>
  <c r="J442" i="78"/>
  <c r="H443" i="78"/>
  <c r="L447" i="78"/>
  <c r="J448" i="78"/>
  <c r="H449" i="78"/>
  <c r="L453" i="78"/>
  <c r="J454" i="78"/>
  <c r="H455" i="78"/>
  <c r="L459" i="78"/>
  <c r="J460" i="78"/>
  <c r="H461" i="78"/>
  <c r="L465" i="78"/>
  <c r="J466" i="78"/>
  <c r="H467" i="78"/>
  <c r="L471" i="78"/>
  <c r="J472" i="78"/>
  <c r="H473" i="78"/>
  <c r="L477" i="78"/>
  <c r="J478" i="78"/>
  <c r="H479" i="78"/>
  <c r="L483" i="78"/>
  <c r="J484" i="78"/>
  <c r="H485" i="78"/>
  <c r="L489" i="78"/>
  <c r="J490" i="78"/>
  <c r="J491" i="78"/>
  <c r="K492" i="78"/>
  <c r="M493" i="78"/>
  <c r="G497" i="78"/>
  <c r="K498" i="78"/>
  <c r="G502" i="78"/>
  <c r="L503" i="78"/>
  <c r="G507" i="78"/>
  <c r="M508" i="78"/>
  <c r="G511" i="78"/>
  <c r="K512" i="78"/>
  <c r="G515" i="78"/>
  <c r="M516" i="78"/>
  <c r="H518" i="78"/>
  <c r="G520" i="78"/>
  <c r="L526" i="78"/>
  <c r="J528" i="78"/>
  <c r="K539" i="78"/>
  <c r="J541" i="78"/>
  <c r="L550" i="78"/>
  <c r="J552" i="78"/>
  <c r="K563" i="78"/>
  <c r="J565" i="78"/>
  <c r="L574" i="78"/>
  <c r="J576" i="78"/>
  <c r="K587" i="78"/>
  <c r="J589" i="78"/>
  <c r="L598" i="78"/>
  <c r="J600" i="78"/>
  <c r="H609" i="78"/>
  <c r="I614" i="78"/>
  <c r="M616" i="78"/>
  <c r="J619" i="78"/>
  <c r="L621" i="78"/>
  <c r="L624" i="78"/>
  <c r="K638" i="78"/>
  <c r="I679" i="78"/>
  <c r="G706" i="78"/>
  <c r="G711" i="78"/>
  <c r="H716" i="78"/>
  <c r="H721" i="78"/>
  <c r="M726" i="78"/>
  <c r="K738" i="78"/>
  <c r="G750" i="78"/>
  <c r="G863" i="78"/>
  <c r="I998" i="78"/>
  <c r="M363" i="78"/>
  <c r="K364" i="78"/>
  <c r="I365" i="78"/>
  <c r="G366" i="78"/>
  <c r="M369" i="78"/>
  <c r="K370" i="78"/>
  <c r="I371" i="78"/>
  <c r="G372" i="78"/>
  <c r="M375" i="78"/>
  <c r="K376" i="78"/>
  <c r="I377" i="78"/>
  <c r="G378" i="78"/>
  <c r="M381" i="78"/>
  <c r="K382" i="78"/>
  <c r="I383" i="78"/>
  <c r="G384" i="78"/>
  <c r="M387" i="78"/>
  <c r="K388" i="78"/>
  <c r="I389" i="78"/>
  <c r="G390" i="78"/>
  <c r="M393" i="78"/>
  <c r="K394" i="78"/>
  <c r="I395" i="78"/>
  <c r="G396" i="78"/>
  <c r="M399" i="78"/>
  <c r="K400" i="78"/>
  <c r="I401" i="78"/>
  <c r="G402" i="78"/>
  <c r="M405" i="78"/>
  <c r="K406" i="78"/>
  <c r="I407" i="78"/>
  <c r="G408" i="78"/>
  <c r="M411" i="78"/>
  <c r="K412" i="78"/>
  <c r="I413" i="78"/>
  <c r="G414" i="78"/>
  <c r="M417" i="78"/>
  <c r="K418" i="78"/>
  <c r="I419" i="78"/>
  <c r="G420" i="78"/>
  <c r="M423" i="78"/>
  <c r="K424" i="78"/>
  <c r="I425" i="78"/>
  <c r="G426" i="78"/>
  <c r="M429" i="78"/>
  <c r="K430" i="78"/>
  <c r="I431" i="78"/>
  <c r="G432" i="78"/>
  <c r="M435" i="78"/>
  <c r="K436" i="78"/>
  <c r="I437" i="78"/>
  <c r="G438" i="78"/>
  <c r="M441" i="78"/>
  <c r="K442" i="78"/>
  <c r="I443" i="78"/>
  <c r="G444" i="78"/>
  <c r="M447" i="78"/>
  <c r="K448" i="78"/>
  <c r="I449" i="78"/>
  <c r="G450" i="78"/>
  <c r="M453" i="78"/>
  <c r="K454" i="78"/>
  <c r="I455" i="78"/>
  <c r="G456" i="78"/>
  <c r="M459" i="78"/>
  <c r="K460" i="78"/>
  <c r="I461" i="78"/>
  <c r="G462" i="78"/>
  <c r="M465" i="78"/>
  <c r="K466" i="78"/>
  <c r="I467" i="78"/>
  <c r="G468" i="78"/>
  <c r="M471" i="78"/>
  <c r="K472" i="78"/>
  <c r="I473" i="78"/>
  <c r="G474" i="78"/>
  <c r="M477" i="78"/>
  <c r="K478" i="78"/>
  <c r="I479" i="78"/>
  <c r="G480" i="78"/>
  <c r="M483" i="78"/>
  <c r="K484" i="78"/>
  <c r="I485" i="78"/>
  <c r="G486" i="78"/>
  <c r="M489" i="78"/>
  <c r="K490" i="78"/>
  <c r="K491" i="78"/>
  <c r="L492" i="78"/>
  <c r="J497" i="78"/>
  <c r="L498" i="78"/>
  <c r="I502" i="78"/>
  <c r="M503" i="78"/>
  <c r="G506" i="78"/>
  <c r="I507" i="78"/>
  <c r="H511" i="78"/>
  <c r="M512" i="78"/>
  <c r="J515" i="78"/>
  <c r="K518" i="78"/>
  <c r="L520" i="78"/>
  <c r="H522" i="78"/>
  <c r="M526" i="78"/>
  <c r="L528" i="78"/>
  <c r="G535" i="78"/>
  <c r="L539" i="78"/>
  <c r="H546" i="78"/>
  <c r="M550" i="78"/>
  <c r="L552" i="78"/>
  <c r="G559" i="78"/>
  <c r="L563" i="78"/>
  <c r="H570" i="78"/>
  <c r="M574" i="78"/>
  <c r="L576" i="78"/>
  <c r="G583" i="78"/>
  <c r="L587" i="78"/>
  <c r="H594" i="78"/>
  <c r="M598" i="78"/>
  <c r="L600" i="78"/>
  <c r="G607" i="78"/>
  <c r="J609" i="78"/>
  <c r="J614" i="78"/>
  <c r="K619" i="78"/>
  <c r="M624" i="78"/>
  <c r="L638" i="78"/>
  <c r="H645" i="78"/>
  <c r="I649" i="78"/>
  <c r="G656" i="78"/>
  <c r="I659" i="78"/>
  <c r="J667" i="78"/>
  <c r="G675" i="78"/>
  <c r="K692" i="78"/>
  <c r="J697" i="78"/>
  <c r="I711" i="78"/>
  <c r="K716" i="78"/>
  <c r="K721" i="78"/>
  <c r="I744" i="78"/>
  <c r="I750" i="78"/>
  <c r="K758" i="78"/>
  <c r="L782" i="78"/>
  <c r="J814" i="78"/>
  <c r="I823" i="78"/>
  <c r="L376" i="78"/>
  <c r="J377" i="78"/>
  <c r="H378" i="78"/>
  <c r="L382" i="78"/>
  <c r="J383" i="78"/>
  <c r="H384" i="78"/>
  <c r="L388" i="78"/>
  <c r="J389" i="78"/>
  <c r="H390" i="78"/>
  <c r="L394" i="78"/>
  <c r="J395" i="78"/>
  <c r="H396" i="78"/>
  <c r="L400" i="78"/>
  <c r="J401" i="78"/>
  <c r="H402" i="78"/>
  <c r="L406" i="78"/>
  <c r="J407" i="78"/>
  <c r="H408" i="78"/>
  <c r="L412" i="78"/>
  <c r="J413" i="78"/>
  <c r="H414" i="78"/>
  <c r="L418" i="78"/>
  <c r="J419" i="78"/>
  <c r="H420" i="78"/>
  <c r="L424" i="78"/>
  <c r="J425" i="78"/>
  <c r="H426" i="78"/>
  <c r="L430" i="78"/>
  <c r="J431" i="78"/>
  <c r="H432" i="78"/>
  <c r="L436" i="78"/>
  <c r="J437" i="78"/>
  <c r="H438" i="78"/>
  <c r="L442" i="78"/>
  <c r="J443" i="78"/>
  <c r="H444" i="78"/>
  <c r="L448" i="78"/>
  <c r="J449" i="78"/>
  <c r="H450" i="78"/>
  <c r="L454" i="78"/>
  <c r="J455" i="78"/>
  <c r="H456" i="78"/>
  <c r="L460" i="78"/>
  <c r="J461" i="78"/>
  <c r="H462" i="78"/>
  <c r="L466" i="78"/>
  <c r="J467" i="78"/>
  <c r="H468" i="78"/>
  <c r="L472" i="78"/>
  <c r="J473" i="78"/>
  <c r="H474" i="78"/>
  <c r="L478" i="78"/>
  <c r="J479" i="78"/>
  <c r="H480" i="78"/>
  <c r="L484" i="78"/>
  <c r="J485" i="78"/>
  <c r="H486" i="78"/>
  <c r="L490" i="78"/>
  <c r="L491" i="78"/>
  <c r="M492" i="78"/>
  <c r="K497" i="78"/>
  <c r="M498" i="78"/>
  <c r="L502" i="78"/>
  <c r="H506" i="78"/>
  <c r="K507" i="78"/>
  <c r="I511" i="78"/>
  <c r="K515" i="78"/>
  <c r="M520" i="78"/>
  <c r="I522" i="78"/>
  <c r="H524" i="78"/>
  <c r="J533" i="78"/>
  <c r="H535" i="78"/>
  <c r="I546" i="78"/>
  <c r="H548" i="78"/>
  <c r="J557" i="78"/>
  <c r="H559" i="78"/>
  <c r="I570" i="78"/>
  <c r="H572" i="78"/>
  <c r="J581" i="78"/>
  <c r="H583" i="78"/>
  <c r="I594" i="78"/>
  <c r="H596" i="78"/>
  <c r="J605" i="78"/>
  <c r="H607" i="78"/>
  <c r="G612" i="78"/>
  <c r="L614" i="78"/>
  <c r="H617" i="78"/>
  <c r="L619" i="78"/>
  <c r="J622" i="78"/>
  <c r="G642" i="78"/>
  <c r="J649" i="78"/>
  <c r="G652" i="78"/>
  <c r="H656" i="78"/>
  <c r="K667" i="78"/>
  <c r="I680" i="78"/>
  <c r="K697" i="78"/>
  <c r="K702" i="78"/>
  <c r="I734" i="78"/>
  <c r="L758" i="78"/>
  <c r="M782" i="78"/>
  <c r="M823" i="78"/>
  <c r="M364" i="78"/>
  <c r="K365" i="78"/>
  <c r="I366" i="78"/>
  <c r="G367" i="78"/>
  <c r="M370" i="78"/>
  <c r="K371" i="78"/>
  <c r="I372" i="78"/>
  <c r="G373" i="78"/>
  <c r="M376" i="78"/>
  <c r="K377" i="78"/>
  <c r="I378" i="78"/>
  <c r="G379" i="78"/>
  <c r="M382" i="78"/>
  <c r="K383" i="78"/>
  <c r="I384" i="78"/>
  <c r="G385" i="78"/>
  <c r="M388" i="78"/>
  <c r="K389" i="78"/>
  <c r="I390" i="78"/>
  <c r="G391" i="78"/>
  <c r="M394" i="78"/>
  <c r="K395" i="78"/>
  <c r="I396" i="78"/>
  <c r="G397" i="78"/>
  <c r="M400" i="78"/>
  <c r="K401" i="78"/>
  <c r="I402" i="78"/>
  <c r="G403" i="78"/>
  <c r="M406" i="78"/>
  <c r="K407" i="78"/>
  <c r="I408" i="78"/>
  <c r="G409" i="78"/>
  <c r="M412" i="78"/>
  <c r="K413" i="78"/>
  <c r="I414" i="78"/>
  <c r="G415" i="78"/>
  <c r="M418" i="78"/>
  <c r="K419" i="78"/>
  <c r="I420" i="78"/>
  <c r="G421" i="78"/>
  <c r="M424" i="78"/>
  <c r="K425" i="78"/>
  <c r="I426" i="78"/>
  <c r="G427" i="78"/>
  <c r="M430" i="78"/>
  <c r="K431" i="78"/>
  <c r="I432" i="78"/>
  <c r="G433" i="78"/>
  <c r="M436" i="78"/>
  <c r="K437" i="78"/>
  <c r="I438" i="78"/>
  <c r="G439" i="78"/>
  <c r="M442" i="78"/>
  <c r="K443" i="78"/>
  <c r="I444" i="78"/>
  <c r="G445" i="78"/>
  <c r="M448" i="78"/>
  <c r="K449" i="78"/>
  <c r="I450" i="78"/>
  <c r="G451" i="78"/>
  <c r="M454" i="78"/>
  <c r="K455" i="78"/>
  <c r="I456" i="78"/>
  <c r="G457" i="78"/>
  <c r="M460" i="78"/>
  <c r="K461" i="78"/>
  <c r="I462" i="78"/>
  <c r="G463" i="78"/>
  <c r="M466" i="78"/>
  <c r="K467" i="78"/>
  <c r="I468" i="78"/>
  <c r="G469" i="78"/>
  <c r="M472" i="78"/>
  <c r="K473" i="78"/>
  <c r="I474" i="78"/>
  <c r="G475" i="78"/>
  <c r="M478" i="78"/>
  <c r="K479" i="78"/>
  <c r="I480" i="78"/>
  <c r="G481" i="78"/>
  <c r="M484" i="78"/>
  <c r="K485" i="78"/>
  <c r="I486" i="78"/>
  <c r="G487" i="78"/>
  <c r="M490" i="78"/>
  <c r="M491" i="78"/>
  <c r="G496" i="78"/>
  <c r="L497" i="78"/>
  <c r="G501" i="78"/>
  <c r="M502" i="78"/>
  <c r="G505" i="78"/>
  <c r="I506" i="78"/>
  <c r="H510" i="78"/>
  <c r="J511" i="78"/>
  <c r="G514" i="78"/>
  <c r="L515" i="78"/>
  <c r="J522" i="78"/>
  <c r="K533" i="78"/>
  <c r="J535" i="78"/>
  <c r="L544" i="78"/>
  <c r="J546" i="78"/>
  <c r="K557" i="78"/>
  <c r="J559" i="78"/>
  <c r="L568" i="78"/>
  <c r="J570" i="78"/>
  <c r="K581" i="78"/>
  <c r="J583" i="78"/>
  <c r="L592" i="78"/>
  <c r="J594" i="78"/>
  <c r="K605" i="78"/>
  <c r="J607" i="78"/>
  <c r="I612" i="78"/>
  <c r="I617" i="78"/>
  <c r="K622" i="78"/>
  <c r="L627" i="78"/>
  <c r="M639" i="78"/>
  <c r="K642" i="78"/>
  <c r="L649" i="78"/>
  <c r="I656" i="78"/>
  <c r="L667" i="78"/>
  <c r="M671" i="78"/>
  <c r="G676" i="78"/>
  <c r="J680" i="78"/>
  <c r="K684" i="78"/>
  <c r="M697" i="78"/>
  <c r="M702" i="78"/>
  <c r="M728" i="78"/>
  <c r="I751" i="78"/>
  <c r="M758" i="78"/>
  <c r="G512" i="78"/>
  <c r="M515" i="78"/>
  <c r="K516" i="78"/>
  <c r="I517" i="78"/>
  <c r="G518" i="78"/>
  <c r="M521" i="78"/>
  <c r="K522" i="78"/>
  <c r="I523" i="78"/>
  <c r="G524" i="78"/>
  <c r="M527" i="78"/>
  <c r="K528" i="78"/>
  <c r="I529" i="78"/>
  <c r="G530" i="78"/>
  <c r="M533" i="78"/>
  <c r="K534" i="78"/>
  <c r="I535" i="78"/>
  <c r="G536" i="78"/>
  <c r="M539" i="78"/>
  <c r="K540" i="78"/>
  <c r="I541" i="78"/>
  <c r="G542" i="78"/>
  <c r="M545" i="78"/>
  <c r="K546" i="78"/>
  <c r="I547" i="78"/>
  <c r="G548" i="78"/>
  <c r="M551" i="78"/>
  <c r="K552" i="78"/>
  <c r="I553" i="78"/>
  <c r="G554" i="78"/>
  <c r="M557" i="78"/>
  <c r="K558" i="78"/>
  <c r="I559" i="78"/>
  <c r="G560" i="78"/>
  <c r="M563" i="78"/>
  <c r="K564" i="78"/>
  <c r="I565" i="78"/>
  <c r="G566" i="78"/>
  <c r="M569" i="78"/>
  <c r="K570" i="78"/>
  <c r="I571" i="78"/>
  <c r="G572" i="78"/>
  <c r="M575" i="78"/>
  <c r="K576" i="78"/>
  <c r="I577" i="78"/>
  <c r="G578" i="78"/>
  <c r="M581" i="78"/>
  <c r="K582" i="78"/>
  <c r="I583" i="78"/>
  <c r="G584" i="78"/>
  <c r="M587" i="78"/>
  <c r="K588" i="78"/>
  <c r="I589" i="78"/>
  <c r="G590" i="78"/>
  <c r="M593" i="78"/>
  <c r="K594" i="78"/>
  <c r="I595" i="78"/>
  <c r="G596" i="78"/>
  <c r="M599" i="78"/>
  <c r="K600" i="78"/>
  <c r="I601" i="78"/>
  <c r="G602" i="78"/>
  <c r="M605" i="78"/>
  <c r="K606" i="78"/>
  <c r="I607" i="78"/>
  <c r="I608" i="78"/>
  <c r="I609" i="78"/>
  <c r="I610" i="78"/>
  <c r="I611" i="78"/>
  <c r="K612" i="78"/>
  <c r="K613" i="78"/>
  <c r="K614" i="78"/>
  <c r="K615" i="78"/>
  <c r="K616" i="78"/>
  <c r="M617" i="78"/>
  <c r="M618" i="78"/>
  <c r="M619" i="78"/>
  <c r="M620" i="78"/>
  <c r="M621" i="78"/>
  <c r="G636" i="78"/>
  <c r="L637" i="78"/>
  <c r="L642" i="78"/>
  <c r="G645" i="78"/>
  <c r="K646" i="78"/>
  <c r="K649" i="78"/>
  <c r="J656" i="78"/>
  <c r="M659" i="78"/>
  <c r="I661" i="78"/>
  <c r="G664" i="78"/>
  <c r="M667" i="78"/>
  <c r="H669" i="78"/>
  <c r="J673" i="78"/>
  <c r="M684" i="78"/>
  <c r="J686" i="78"/>
  <c r="G688" i="78"/>
  <c r="M695" i="78"/>
  <c r="L702" i="78"/>
  <c r="K709" i="78"/>
  <c r="I716" i="78"/>
  <c r="I721" i="78"/>
  <c r="M723" i="78"/>
  <c r="K726" i="78"/>
  <c r="L729" i="78"/>
  <c r="G735" i="78"/>
  <c r="G747" i="78"/>
  <c r="M754" i="78"/>
  <c r="M764" i="78"/>
  <c r="J803" i="78"/>
  <c r="K824" i="78"/>
  <c r="I841" i="78"/>
  <c r="G857" i="78"/>
  <c r="I863" i="78"/>
  <c r="K904" i="78"/>
  <c r="K517" i="78"/>
  <c r="I518" i="78"/>
  <c r="G519" i="78"/>
  <c r="M522" i="78"/>
  <c r="K523" i="78"/>
  <c r="I524" i="78"/>
  <c r="G525" i="78"/>
  <c r="M528" i="78"/>
  <c r="K529" i="78"/>
  <c r="I530" i="78"/>
  <c r="G531" i="78"/>
  <c r="M534" i="78"/>
  <c r="K535" i="78"/>
  <c r="I536" i="78"/>
  <c r="G537" i="78"/>
  <c r="M540" i="78"/>
  <c r="K541" i="78"/>
  <c r="I542" i="78"/>
  <c r="G543" i="78"/>
  <c r="M546" i="78"/>
  <c r="K547" i="78"/>
  <c r="I548" i="78"/>
  <c r="G549" i="78"/>
  <c r="M552" i="78"/>
  <c r="K553" i="78"/>
  <c r="I554" i="78"/>
  <c r="G555" i="78"/>
  <c r="M558" i="78"/>
  <c r="K559" i="78"/>
  <c r="I560" i="78"/>
  <c r="G561" i="78"/>
  <c r="M564" i="78"/>
  <c r="K565" i="78"/>
  <c r="I566" i="78"/>
  <c r="G567" i="78"/>
  <c r="M570" i="78"/>
  <c r="K571" i="78"/>
  <c r="I572" i="78"/>
  <c r="G573" i="78"/>
  <c r="M576" i="78"/>
  <c r="K577" i="78"/>
  <c r="I578" i="78"/>
  <c r="G579" i="78"/>
  <c r="M582" i="78"/>
  <c r="K583" i="78"/>
  <c r="I584" i="78"/>
  <c r="G585" i="78"/>
  <c r="M588" i="78"/>
  <c r="K589" i="78"/>
  <c r="I590" i="78"/>
  <c r="G591" i="78"/>
  <c r="M594" i="78"/>
  <c r="K595" i="78"/>
  <c r="I596" i="78"/>
  <c r="G597" i="78"/>
  <c r="M600" i="78"/>
  <c r="K601" i="78"/>
  <c r="I602" i="78"/>
  <c r="G603" i="78"/>
  <c r="M606" i="78"/>
  <c r="K607" i="78"/>
  <c r="K608" i="78"/>
  <c r="K609" i="78"/>
  <c r="K610" i="78"/>
  <c r="M611" i="78"/>
  <c r="M612" i="78"/>
  <c r="M613" i="78"/>
  <c r="M614" i="78"/>
  <c r="M615" i="78"/>
  <c r="G632" i="78"/>
  <c r="G633" i="78"/>
  <c r="G634" i="78"/>
  <c r="H635" i="78"/>
  <c r="L636" i="78"/>
  <c r="I641" i="78"/>
  <c r="I645" i="78"/>
  <c r="G648" i="78"/>
  <c r="M649" i="78"/>
  <c r="H652" i="78"/>
  <c r="J655" i="78"/>
  <c r="L656" i="78"/>
  <c r="K661" i="78"/>
  <c r="K666" i="78"/>
  <c r="L673" i="78"/>
  <c r="H675" i="78"/>
  <c r="J679" i="78"/>
  <c r="J691" i="78"/>
  <c r="I693" i="78"/>
  <c r="H698" i="78"/>
  <c r="G700" i="78"/>
  <c r="M707" i="78"/>
  <c r="L714" i="78"/>
  <c r="H719" i="78"/>
  <c r="M721" i="78"/>
  <c r="I724" i="78"/>
  <c r="J735" i="78"/>
  <c r="M738" i="78"/>
  <c r="J744" i="78"/>
  <c r="K747" i="78"/>
  <c r="K751" i="78"/>
  <c r="H755" i="78"/>
  <c r="K760" i="78"/>
  <c r="K831" i="78"/>
  <c r="G836" i="78"/>
  <c r="G876" i="78"/>
  <c r="G882" i="78"/>
  <c r="I932" i="78"/>
  <c r="J1056" i="78"/>
  <c r="M1079" i="78"/>
  <c r="L493" i="78"/>
  <c r="J494" i="78"/>
  <c r="H495" i="78"/>
  <c r="L499" i="78"/>
  <c r="J500" i="78"/>
  <c r="H501" i="78"/>
  <c r="L505" i="78"/>
  <c r="J506" i="78"/>
  <c r="H507" i="78"/>
  <c r="L511" i="78"/>
  <c r="J512" i="78"/>
  <c r="H513" i="78"/>
  <c r="L517" i="78"/>
  <c r="J518" i="78"/>
  <c r="H519" i="78"/>
  <c r="L523" i="78"/>
  <c r="J524" i="78"/>
  <c r="H525" i="78"/>
  <c r="L529" i="78"/>
  <c r="J530" i="78"/>
  <c r="H531" i="78"/>
  <c r="L535" i="78"/>
  <c r="J536" i="78"/>
  <c r="H537" i="78"/>
  <c r="L541" i="78"/>
  <c r="J542" i="78"/>
  <c r="H543" i="78"/>
  <c r="L547" i="78"/>
  <c r="J548" i="78"/>
  <c r="H549" i="78"/>
  <c r="L553" i="78"/>
  <c r="J554" i="78"/>
  <c r="H555" i="78"/>
  <c r="L559" i="78"/>
  <c r="J560" i="78"/>
  <c r="H561" i="78"/>
  <c r="L565" i="78"/>
  <c r="J566" i="78"/>
  <c r="H567" i="78"/>
  <c r="L571" i="78"/>
  <c r="J572" i="78"/>
  <c r="H573" i="78"/>
  <c r="L577" i="78"/>
  <c r="J578" i="78"/>
  <c r="H579" i="78"/>
  <c r="L583" i="78"/>
  <c r="J584" i="78"/>
  <c r="H585" i="78"/>
  <c r="L589" i="78"/>
  <c r="J590" i="78"/>
  <c r="H591" i="78"/>
  <c r="L595" i="78"/>
  <c r="J596" i="78"/>
  <c r="H597" i="78"/>
  <c r="L601" i="78"/>
  <c r="J602" i="78"/>
  <c r="H603" i="78"/>
  <c r="L607" i="78"/>
  <c r="L608" i="78"/>
  <c r="L609" i="78"/>
  <c r="M610" i="78"/>
  <c r="G631" i="78"/>
  <c r="H632" i="78"/>
  <c r="H633" i="78"/>
  <c r="H634" i="78"/>
  <c r="I635" i="78"/>
  <c r="M636" i="78"/>
  <c r="G640" i="78"/>
  <c r="M641" i="78"/>
  <c r="G644" i="78"/>
  <c r="J645" i="78"/>
  <c r="K648" i="78"/>
  <c r="G651" i="78"/>
  <c r="K652" i="78"/>
  <c r="K655" i="78"/>
  <c r="L661" i="78"/>
  <c r="G663" i="78"/>
  <c r="L666" i="78"/>
  <c r="G668" i="78"/>
  <c r="M673" i="78"/>
  <c r="I675" i="78"/>
  <c r="M677" i="78"/>
  <c r="K679" i="78"/>
  <c r="G681" i="78"/>
  <c r="I685" i="78"/>
  <c r="K691" i="78"/>
  <c r="I698" i="78"/>
  <c r="I703" i="78"/>
  <c r="G705" i="78"/>
  <c r="G710" i="78"/>
  <c r="M714" i="78"/>
  <c r="G717" i="78"/>
  <c r="I719" i="78"/>
  <c r="J724" i="78"/>
  <c r="K727" i="78"/>
  <c r="M744" i="78"/>
  <c r="M751" i="78"/>
  <c r="L760" i="78"/>
  <c r="H775" i="78"/>
  <c r="I789" i="78"/>
  <c r="L820" i="78"/>
  <c r="L831" i="78"/>
  <c r="M848" i="78"/>
  <c r="H882" i="78"/>
  <c r="I899" i="78"/>
  <c r="M523" i="78"/>
  <c r="K524" i="78"/>
  <c r="I525" i="78"/>
  <c r="G526" i="78"/>
  <c r="M529" i="78"/>
  <c r="K530" i="78"/>
  <c r="I531" i="78"/>
  <c r="G532" i="78"/>
  <c r="M535" i="78"/>
  <c r="K536" i="78"/>
  <c r="I537" i="78"/>
  <c r="G538" i="78"/>
  <c r="M541" i="78"/>
  <c r="K542" i="78"/>
  <c r="I543" i="78"/>
  <c r="G544" i="78"/>
  <c r="M547" i="78"/>
  <c r="K548" i="78"/>
  <c r="I549" i="78"/>
  <c r="G550" i="78"/>
  <c r="M553" i="78"/>
  <c r="K554" i="78"/>
  <c r="I555" i="78"/>
  <c r="G556" i="78"/>
  <c r="M559" i="78"/>
  <c r="K560" i="78"/>
  <c r="I561" i="78"/>
  <c r="G562" i="78"/>
  <c r="M565" i="78"/>
  <c r="K566" i="78"/>
  <c r="I567" i="78"/>
  <c r="G568" i="78"/>
  <c r="M571" i="78"/>
  <c r="K572" i="78"/>
  <c r="I573" i="78"/>
  <c r="G574" i="78"/>
  <c r="M577" i="78"/>
  <c r="K578" i="78"/>
  <c r="I579" i="78"/>
  <c r="G580" i="78"/>
  <c r="M583" i="78"/>
  <c r="K584" i="78"/>
  <c r="I585" i="78"/>
  <c r="G586" i="78"/>
  <c r="M589" i="78"/>
  <c r="K590" i="78"/>
  <c r="I591" i="78"/>
  <c r="G592" i="78"/>
  <c r="M595" i="78"/>
  <c r="K596" i="78"/>
  <c r="I597" i="78"/>
  <c r="G598" i="78"/>
  <c r="M601" i="78"/>
  <c r="K602" i="78"/>
  <c r="I603" i="78"/>
  <c r="G604" i="78"/>
  <c r="M607" i="78"/>
  <c r="M608" i="78"/>
  <c r="M609" i="78"/>
  <c r="G626" i="78"/>
  <c r="G627" i="78"/>
  <c r="G628" i="78"/>
  <c r="G629" i="78"/>
  <c r="G630" i="78"/>
  <c r="I631" i="78"/>
  <c r="I632" i="78"/>
  <c r="I633" i="78"/>
  <c r="I634" i="78"/>
  <c r="K635" i="78"/>
  <c r="G639" i="78"/>
  <c r="H640" i="78"/>
  <c r="H644" i="78"/>
  <c r="M645" i="78"/>
  <c r="L648" i="78"/>
  <c r="H651" i="78"/>
  <c r="L655" i="78"/>
  <c r="G658" i="78"/>
  <c r="M661" i="78"/>
  <c r="H663" i="78"/>
  <c r="M666" i="78"/>
  <c r="H668" i="78"/>
  <c r="L679" i="78"/>
  <c r="H681" i="78"/>
  <c r="J685" i="78"/>
  <c r="M691" i="78"/>
  <c r="K696" i="78"/>
  <c r="K698" i="78"/>
  <c r="J703" i="78"/>
  <c r="I705" i="78"/>
  <c r="H710" i="78"/>
  <c r="G712" i="78"/>
  <c r="H717" i="78"/>
  <c r="L719" i="78"/>
  <c r="I722" i="78"/>
  <c r="K724" i="78"/>
  <c r="L727" i="78"/>
  <c r="K730" i="78"/>
  <c r="G736" i="78"/>
  <c r="J748" i="78"/>
  <c r="I756" i="78"/>
  <c r="M760" i="78"/>
  <c r="M770" i="78"/>
  <c r="I775" i="78"/>
  <c r="M800" i="78"/>
  <c r="G826" i="78"/>
  <c r="I837" i="78"/>
  <c r="K866" i="78"/>
  <c r="K899" i="78"/>
  <c r="H925" i="78"/>
  <c r="L494" i="78"/>
  <c r="J495" i="78"/>
  <c r="H496" i="78"/>
  <c r="L500" i="78"/>
  <c r="J501" i="78"/>
  <c r="H502" i="78"/>
  <c r="L506" i="78"/>
  <c r="J507" i="78"/>
  <c r="H508" i="78"/>
  <c r="L512" i="78"/>
  <c r="J513" i="78"/>
  <c r="H514" i="78"/>
  <c r="L518" i="78"/>
  <c r="J519" i="78"/>
  <c r="H520" i="78"/>
  <c r="L524" i="78"/>
  <c r="J525" i="78"/>
  <c r="H526" i="78"/>
  <c r="L530" i="78"/>
  <c r="J531" i="78"/>
  <c r="H532" i="78"/>
  <c r="L536" i="78"/>
  <c r="J537" i="78"/>
  <c r="H538" i="78"/>
  <c r="L542" i="78"/>
  <c r="J543" i="78"/>
  <c r="H544" i="78"/>
  <c r="L548" i="78"/>
  <c r="J549" i="78"/>
  <c r="H550" i="78"/>
  <c r="L554" i="78"/>
  <c r="J555" i="78"/>
  <c r="H556" i="78"/>
  <c r="L560" i="78"/>
  <c r="J561" i="78"/>
  <c r="H562" i="78"/>
  <c r="L566" i="78"/>
  <c r="J567" i="78"/>
  <c r="H568" i="78"/>
  <c r="L572" i="78"/>
  <c r="J573" i="78"/>
  <c r="H574" i="78"/>
  <c r="L578" i="78"/>
  <c r="J579" i="78"/>
  <c r="H580" i="78"/>
  <c r="L584" i="78"/>
  <c r="J585" i="78"/>
  <c r="H586" i="78"/>
  <c r="L590" i="78"/>
  <c r="J591" i="78"/>
  <c r="H592" i="78"/>
  <c r="L596" i="78"/>
  <c r="J597" i="78"/>
  <c r="H598" i="78"/>
  <c r="L602" i="78"/>
  <c r="J603" i="78"/>
  <c r="H604" i="78"/>
  <c r="G625" i="78"/>
  <c r="H626" i="78"/>
  <c r="H627" i="78"/>
  <c r="H628" i="78"/>
  <c r="H629" i="78"/>
  <c r="I630" i="78"/>
  <c r="J631" i="78"/>
  <c r="J632" i="78"/>
  <c r="J633" i="78"/>
  <c r="J634" i="78"/>
  <c r="M635" i="78"/>
  <c r="H639" i="78"/>
  <c r="J640" i="78"/>
  <c r="I644" i="78"/>
  <c r="M648" i="78"/>
  <c r="I651" i="78"/>
  <c r="G654" i="78"/>
  <c r="M655" i="78"/>
  <c r="K658" i="78"/>
  <c r="G660" i="78"/>
  <c r="I663" i="78"/>
  <c r="I668" i="78"/>
  <c r="G674" i="78"/>
  <c r="M679" i="78"/>
  <c r="I681" i="78"/>
  <c r="M683" i="78"/>
  <c r="K685" i="78"/>
  <c r="G687" i="78"/>
  <c r="M689" i="78"/>
  <c r="L696" i="78"/>
  <c r="K703" i="78"/>
  <c r="I710" i="78"/>
  <c r="I715" i="78"/>
  <c r="I717" i="78"/>
  <c r="J722" i="78"/>
  <c r="M727" i="78"/>
  <c r="M730" i="78"/>
  <c r="H736" i="78"/>
  <c r="K748" i="78"/>
  <c r="J756" i="78"/>
  <c r="M766" i="78"/>
  <c r="M775" i="78"/>
  <c r="G780" i="78"/>
  <c r="J821" i="78"/>
  <c r="H826" i="78"/>
  <c r="G844" i="78"/>
  <c r="G854" i="78"/>
  <c r="L866" i="78"/>
  <c r="I925" i="78"/>
  <c r="K943" i="78"/>
  <c r="M518" i="78"/>
  <c r="K519" i="78"/>
  <c r="I520" i="78"/>
  <c r="G521" i="78"/>
  <c r="M524" i="78"/>
  <c r="K525" i="78"/>
  <c r="I526" i="78"/>
  <c r="G527" i="78"/>
  <c r="M530" i="78"/>
  <c r="K531" i="78"/>
  <c r="I532" i="78"/>
  <c r="G533" i="78"/>
  <c r="M536" i="78"/>
  <c r="K537" i="78"/>
  <c r="I538" i="78"/>
  <c r="G539" i="78"/>
  <c r="M542" i="78"/>
  <c r="K543" i="78"/>
  <c r="I544" i="78"/>
  <c r="G545" i="78"/>
  <c r="M548" i="78"/>
  <c r="K549" i="78"/>
  <c r="I550" i="78"/>
  <c r="G551" i="78"/>
  <c r="M554" i="78"/>
  <c r="K555" i="78"/>
  <c r="I556" i="78"/>
  <c r="G557" i="78"/>
  <c r="M560" i="78"/>
  <c r="K561" i="78"/>
  <c r="I562" i="78"/>
  <c r="G563" i="78"/>
  <c r="M566" i="78"/>
  <c r="K567" i="78"/>
  <c r="I568" i="78"/>
  <c r="G569" i="78"/>
  <c r="M572" i="78"/>
  <c r="K573" i="78"/>
  <c r="I574" i="78"/>
  <c r="G575" i="78"/>
  <c r="M578" i="78"/>
  <c r="K579" i="78"/>
  <c r="I580" i="78"/>
  <c r="G581" i="78"/>
  <c r="M584" i="78"/>
  <c r="K585" i="78"/>
  <c r="I586" i="78"/>
  <c r="G587" i="78"/>
  <c r="M590" i="78"/>
  <c r="K591" i="78"/>
  <c r="I592" i="78"/>
  <c r="G593" i="78"/>
  <c r="M596" i="78"/>
  <c r="K597" i="78"/>
  <c r="I598" i="78"/>
  <c r="G599" i="78"/>
  <c r="M602" i="78"/>
  <c r="K603" i="78"/>
  <c r="I604" i="78"/>
  <c r="G605" i="78"/>
  <c r="G620" i="78"/>
  <c r="G621" i="78"/>
  <c r="G622" i="78"/>
  <c r="G623" i="78"/>
  <c r="G624" i="78"/>
  <c r="I625" i="78"/>
  <c r="I626" i="78"/>
  <c r="I627" i="78"/>
  <c r="I628" i="78"/>
  <c r="I629" i="78"/>
  <c r="K630" i="78"/>
  <c r="K631" i="78"/>
  <c r="K632" i="78"/>
  <c r="K633" i="78"/>
  <c r="K634" i="78"/>
  <c r="G638" i="78"/>
  <c r="I639" i="78"/>
  <c r="K640" i="78"/>
  <c r="J644" i="78"/>
  <c r="G650" i="78"/>
  <c r="J651" i="78"/>
  <c r="K654" i="78"/>
  <c r="G657" i="78"/>
  <c r="K660" i="78"/>
  <c r="M663" i="78"/>
  <c r="J668" i="78"/>
  <c r="K672" i="78"/>
  <c r="H674" i="78"/>
  <c r="L685" i="78"/>
  <c r="H687" i="78"/>
  <c r="G692" i="78"/>
  <c r="M696" i="78"/>
  <c r="M703" i="78"/>
  <c r="K708" i="78"/>
  <c r="K710" i="78"/>
  <c r="J715" i="78"/>
  <c r="K717" i="78"/>
  <c r="G720" i="78"/>
  <c r="K722" i="78"/>
  <c r="I736" i="78"/>
  <c r="M739" i="78"/>
  <c r="H742" i="78"/>
  <c r="L748" i="78"/>
  <c r="G753" i="78"/>
  <c r="K756" i="78"/>
  <c r="J771" i="78"/>
  <c r="J780" i="78"/>
  <c r="H785" i="78"/>
  <c r="G796" i="78"/>
  <c r="G806" i="78"/>
  <c r="L838" i="78"/>
  <c r="H844" i="78"/>
  <c r="L854" i="78"/>
  <c r="K860" i="78"/>
  <c r="I879" i="78"/>
  <c r="L925" i="78"/>
  <c r="G1037" i="78"/>
  <c r="L495" i="78"/>
  <c r="J496" i="78"/>
  <c r="H497" i="78"/>
  <c r="L501" i="78"/>
  <c r="J502" i="78"/>
  <c r="H503" i="78"/>
  <c r="L507" i="78"/>
  <c r="J508" i="78"/>
  <c r="H509" i="78"/>
  <c r="L513" i="78"/>
  <c r="J514" i="78"/>
  <c r="H515" i="78"/>
  <c r="L519" i="78"/>
  <c r="J520" i="78"/>
  <c r="H521" i="78"/>
  <c r="L525" i="78"/>
  <c r="J526" i="78"/>
  <c r="H527" i="78"/>
  <c r="L531" i="78"/>
  <c r="J532" i="78"/>
  <c r="H533" i="78"/>
  <c r="L537" i="78"/>
  <c r="J538" i="78"/>
  <c r="H539" i="78"/>
  <c r="L543" i="78"/>
  <c r="J544" i="78"/>
  <c r="H545" i="78"/>
  <c r="L549" i="78"/>
  <c r="J550" i="78"/>
  <c r="H551" i="78"/>
  <c r="L555" i="78"/>
  <c r="J556" i="78"/>
  <c r="H557" i="78"/>
  <c r="L561" i="78"/>
  <c r="J562" i="78"/>
  <c r="H563" i="78"/>
  <c r="L567" i="78"/>
  <c r="J568" i="78"/>
  <c r="H569" i="78"/>
  <c r="L573" i="78"/>
  <c r="J574" i="78"/>
  <c r="H575" i="78"/>
  <c r="L579" i="78"/>
  <c r="J580" i="78"/>
  <c r="H581" i="78"/>
  <c r="L585" i="78"/>
  <c r="J586" i="78"/>
  <c r="H587" i="78"/>
  <c r="L591" i="78"/>
  <c r="J592" i="78"/>
  <c r="H593" i="78"/>
  <c r="L597" i="78"/>
  <c r="J598" i="78"/>
  <c r="H599" i="78"/>
  <c r="L603" i="78"/>
  <c r="J604" i="78"/>
  <c r="H605" i="78"/>
  <c r="G619" i="78"/>
  <c r="H620" i="78"/>
  <c r="H621" i="78"/>
  <c r="H622" i="78"/>
  <c r="H623" i="78"/>
  <c r="I624" i="78"/>
  <c r="J625" i="78"/>
  <c r="J626" i="78"/>
  <c r="J627" i="78"/>
  <c r="J628" i="78"/>
  <c r="K629" i="78"/>
  <c r="L630" i="78"/>
  <c r="L631" i="78"/>
  <c r="L632" i="78"/>
  <c r="L633" i="78"/>
  <c r="M634" i="78"/>
  <c r="H638" i="78"/>
  <c r="J639" i="78"/>
  <c r="I643" i="78"/>
  <c r="K644" i="78"/>
  <c r="I647" i="78"/>
  <c r="H650" i="78"/>
  <c r="M651" i="78"/>
  <c r="L654" i="78"/>
  <c r="H657" i="78"/>
  <c r="L660" i="78"/>
  <c r="G662" i="78"/>
  <c r="I665" i="78"/>
  <c r="K668" i="78"/>
  <c r="G670" i="78"/>
  <c r="L672" i="78"/>
  <c r="I674" i="78"/>
  <c r="G680" i="78"/>
  <c r="M685" i="78"/>
  <c r="I687" i="78"/>
  <c r="H692" i="78"/>
  <c r="G694" i="78"/>
  <c r="M701" i="78"/>
  <c r="L708" i="78"/>
  <c r="K715" i="78"/>
  <c r="I720" i="78"/>
  <c r="M722" i="78"/>
  <c r="I725" i="78"/>
  <c r="K728" i="78"/>
  <c r="K736" i="78"/>
  <c r="I753" i="78"/>
  <c r="K762" i="78"/>
  <c r="L771" i="78"/>
  <c r="G776" i="78"/>
  <c r="I791" i="78"/>
  <c r="H796" i="78"/>
  <c r="L806" i="78"/>
  <c r="H816" i="78"/>
  <c r="I833" i="78"/>
  <c r="J844" i="78"/>
  <c r="J873" i="78"/>
  <c r="J879" i="78"/>
  <c r="J936" i="78"/>
  <c r="I491" i="78"/>
  <c r="G492" i="78"/>
  <c r="M495" i="78"/>
  <c r="K496" i="78"/>
  <c r="I497" i="78"/>
  <c r="G498" i="78"/>
  <c r="M501" i="78"/>
  <c r="K502" i="78"/>
  <c r="I503" i="78"/>
  <c r="G504" i="78"/>
  <c r="M507" i="78"/>
  <c r="K508" i="78"/>
  <c r="I509" i="78"/>
  <c r="G510" i="78"/>
  <c r="M513" i="78"/>
  <c r="K514" i="78"/>
  <c r="I515" i="78"/>
  <c r="G516" i="78"/>
  <c r="M519" i="78"/>
  <c r="K520" i="78"/>
  <c r="I521" i="78"/>
  <c r="G522" i="78"/>
  <c r="M525" i="78"/>
  <c r="K526" i="78"/>
  <c r="I527" i="78"/>
  <c r="G528" i="78"/>
  <c r="M531" i="78"/>
  <c r="K532" i="78"/>
  <c r="I533" i="78"/>
  <c r="G534" i="78"/>
  <c r="M537" i="78"/>
  <c r="K538" i="78"/>
  <c r="I539" i="78"/>
  <c r="G540" i="78"/>
  <c r="M543" i="78"/>
  <c r="K544" i="78"/>
  <c r="I545" i="78"/>
  <c r="G546" i="78"/>
  <c r="M549" i="78"/>
  <c r="K550" i="78"/>
  <c r="I551" i="78"/>
  <c r="G552" i="78"/>
  <c r="M555" i="78"/>
  <c r="K556" i="78"/>
  <c r="I557" i="78"/>
  <c r="G558" i="78"/>
  <c r="M561" i="78"/>
  <c r="K562" i="78"/>
  <c r="I563" i="78"/>
  <c r="G564" i="78"/>
  <c r="M567" i="78"/>
  <c r="K568" i="78"/>
  <c r="I569" i="78"/>
  <c r="G570" i="78"/>
  <c r="M573" i="78"/>
  <c r="K574" i="78"/>
  <c r="I575" i="78"/>
  <c r="G576" i="78"/>
  <c r="M579" i="78"/>
  <c r="K580" i="78"/>
  <c r="I581" i="78"/>
  <c r="G582" i="78"/>
  <c r="M585" i="78"/>
  <c r="K586" i="78"/>
  <c r="I587" i="78"/>
  <c r="G588" i="78"/>
  <c r="M591" i="78"/>
  <c r="K592" i="78"/>
  <c r="I593" i="78"/>
  <c r="G594" i="78"/>
  <c r="M597" i="78"/>
  <c r="K598" i="78"/>
  <c r="I599" i="78"/>
  <c r="G600" i="78"/>
  <c r="M603" i="78"/>
  <c r="K604" i="78"/>
  <c r="I605" i="78"/>
  <c r="G606" i="78"/>
  <c r="G614" i="78"/>
  <c r="G615" i="78"/>
  <c r="G616" i="78"/>
  <c r="G617" i="78"/>
  <c r="G618" i="78"/>
  <c r="I619" i="78"/>
  <c r="I620" i="78"/>
  <c r="I621" i="78"/>
  <c r="I622" i="78"/>
  <c r="I623" i="78"/>
  <c r="K624" i="78"/>
  <c r="K625" i="78"/>
  <c r="K626" i="78"/>
  <c r="K627" i="78"/>
  <c r="K628" i="78"/>
  <c r="M629" i="78"/>
  <c r="M630" i="78"/>
  <c r="M631" i="78"/>
  <c r="M632" i="78"/>
  <c r="M633" i="78"/>
  <c r="I638" i="78"/>
  <c r="L639" i="78"/>
  <c r="J643" i="78"/>
  <c r="L644" i="78"/>
  <c r="M647" i="78"/>
  <c r="I650" i="78"/>
  <c r="M654" i="78"/>
  <c r="I657" i="78"/>
  <c r="M660" i="78"/>
  <c r="H662" i="78"/>
  <c r="M665" i="78"/>
  <c r="I667" i="78"/>
  <c r="M672" i="78"/>
  <c r="J674" i="78"/>
  <c r="K678" i="78"/>
  <c r="H680" i="78"/>
  <c r="I692" i="78"/>
  <c r="I697" i="78"/>
  <c r="G699" i="78"/>
  <c r="G704" i="78"/>
  <c r="M708" i="78"/>
  <c r="M715" i="78"/>
  <c r="G718" i="78"/>
  <c r="J720" i="78"/>
  <c r="K725" i="78"/>
  <c r="L728" i="78"/>
  <c r="K753" i="78"/>
  <c r="M762" i="78"/>
  <c r="K786" i="78"/>
  <c r="J791" i="78"/>
  <c r="J796" i="78"/>
  <c r="K879" i="78"/>
  <c r="K894" i="78"/>
  <c r="I919" i="78"/>
  <c r="K936" i="78"/>
  <c r="M974" i="78"/>
  <c r="H1007" i="78"/>
  <c r="L691" i="78"/>
  <c r="J692" i="78"/>
  <c r="H693" i="78"/>
  <c r="L697" i="78"/>
  <c r="J698" i="78"/>
  <c r="H699" i="78"/>
  <c r="L703" i="78"/>
  <c r="J704" i="78"/>
  <c r="H705" i="78"/>
  <c r="L709" i="78"/>
  <c r="J710" i="78"/>
  <c r="H711" i="78"/>
  <c r="L715" i="78"/>
  <c r="J716" i="78"/>
  <c r="J717" i="78"/>
  <c r="J718" i="78"/>
  <c r="K719" i="78"/>
  <c r="K720" i="78"/>
  <c r="L721" i="78"/>
  <c r="L722" i="78"/>
  <c r="L723" i="78"/>
  <c r="M724" i="78"/>
  <c r="M725" i="78"/>
  <c r="G734" i="78"/>
  <c r="I735" i="78"/>
  <c r="J736" i="78"/>
  <c r="M737" i="78"/>
  <c r="G742" i="78"/>
  <c r="I743" i="78"/>
  <c r="J747" i="78"/>
  <c r="H750" i="78"/>
  <c r="J753" i="78"/>
  <c r="M756" i="78"/>
  <c r="K771" i="78"/>
  <c r="H780" i="78"/>
  <c r="G785" i="78"/>
  <c r="M787" i="78"/>
  <c r="M791" i="78"/>
  <c r="I796" i="78"/>
  <c r="M803" i="78"/>
  <c r="K806" i="78"/>
  <c r="G816" i="78"/>
  <c r="M821" i="78"/>
  <c r="I826" i="78"/>
  <c r="M831" i="78"/>
  <c r="G834" i="78"/>
  <c r="I844" i="78"/>
  <c r="M851" i="78"/>
  <c r="K854" i="78"/>
  <c r="H863" i="78"/>
  <c r="M866" i="78"/>
  <c r="I873" i="78"/>
  <c r="L879" i="78"/>
  <c r="M915" i="78"/>
  <c r="J925" i="78"/>
  <c r="H932" i="78"/>
  <c r="M944" i="78"/>
  <c r="H658" i="78"/>
  <c r="L662" i="78"/>
  <c r="J663" i="78"/>
  <c r="H664" i="78"/>
  <c r="L668" i="78"/>
  <c r="J669" i="78"/>
  <c r="H670" i="78"/>
  <c r="L674" i="78"/>
  <c r="J675" i="78"/>
  <c r="H676" i="78"/>
  <c r="L680" i="78"/>
  <c r="J681" i="78"/>
  <c r="H682" i="78"/>
  <c r="L686" i="78"/>
  <c r="J687" i="78"/>
  <c r="H688" i="78"/>
  <c r="L692" i="78"/>
  <c r="J693" i="78"/>
  <c r="H694" i="78"/>
  <c r="L698" i="78"/>
  <c r="J699" i="78"/>
  <c r="H700" i="78"/>
  <c r="L704" i="78"/>
  <c r="J705" i="78"/>
  <c r="H706" i="78"/>
  <c r="L710" i="78"/>
  <c r="J711" i="78"/>
  <c r="H712" i="78"/>
  <c r="L716" i="78"/>
  <c r="L717" i="78"/>
  <c r="M718" i="78"/>
  <c r="M719" i="78"/>
  <c r="G733" i="78"/>
  <c r="J734" i="78"/>
  <c r="K735" i="78"/>
  <c r="M736" i="78"/>
  <c r="H741" i="78"/>
  <c r="I742" i="78"/>
  <c r="L743" i="78"/>
  <c r="G746" i="78"/>
  <c r="L747" i="78"/>
  <c r="J750" i="78"/>
  <c r="L753" i="78"/>
  <c r="I755" i="78"/>
  <c r="H757" i="78"/>
  <c r="J759" i="78"/>
  <c r="J761" i="78"/>
  <c r="K763" i="78"/>
  <c r="L765" i="78"/>
  <c r="M767" i="78"/>
  <c r="H769" i="78"/>
  <c r="M771" i="78"/>
  <c r="K776" i="78"/>
  <c r="I785" i="78"/>
  <c r="G790" i="78"/>
  <c r="H792" i="78"/>
  <c r="K796" i="78"/>
  <c r="K804" i="78"/>
  <c r="M806" i="78"/>
  <c r="H809" i="78"/>
  <c r="K814" i="78"/>
  <c r="J819" i="78"/>
  <c r="L824" i="78"/>
  <c r="G827" i="78"/>
  <c r="K834" i="78"/>
  <c r="J837" i="78"/>
  <c r="K844" i="78"/>
  <c r="K852" i="78"/>
  <c r="M854" i="78"/>
  <c r="H857" i="78"/>
  <c r="L860" i="78"/>
  <c r="J863" i="78"/>
  <c r="L901" i="78"/>
  <c r="J932" i="78"/>
  <c r="K993" i="78"/>
  <c r="H1020" i="78"/>
  <c r="G635" i="78"/>
  <c r="M638" i="78"/>
  <c r="K639" i="78"/>
  <c r="I640" i="78"/>
  <c r="G641" i="78"/>
  <c r="M644" i="78"/>
  <c r="K645" i="78"/>
  <c r="I646" i="78"/>
  <c r="G647" i="78"/>
  <c r="M650" i="78"/>
  <c r="K651" i="78"/>
  <c r="I652" i="78"/>
  <c r="G653" i="78"/>
  <c r="M656" i="78"/>
  <c r="K657" i="78"/>
  <c r="I658" i="78"/>
  <c r="G659" i="78"/>
  <c r="M662" i="78"/>
  <c r="K663" i="78"/>
  <c r="I664" i="78"/>
  <c r="G665" i="78"/>
  <c r="M668" i="78"/>
  <c r="K669" i="78"/>
  <c r="I670" i="78"/>
  <c r="G671" i="78"/>
  <c r="M674" i="78"/>
  <c r="K675" i="78"/>
  <c r="I676" i="78"/>
  <c r="G677" i="78"/>
  <c r="M680" i="78"/>
  <c r="K681" i="78"/>
  <c r="I682" i="78"/>
  <c r="G683" i="78"/>
  <c r="M686" i="78"/>
  <c r="K687" i="78"/>
  <c r="I688" i="78"/>
  <c r="G689" i="78"/>
  <c r="M692" i="78"/>
  <c r="K693" i="78"/>
  <c r="I694" i="78"/>
  <c r="G695" i="78"/>
  <c r="M698" i="78"/>
  <c r="K699" i="78"/>
  <c r="I700" i="78"/>
  <c r="G701" i="78"/>
  <c r="M704" i="78"/>
  <c r="K705" i="78"/>
  <c r="I706" i="78"/>
  <c r="G707" i="78"/>
  <c r="M710" i="78"/>
  <c r="K711" i="78"/>
  <c r="I712" i="78"/>
  <c r="G713" i="78"/>
  <c r="M716" i="78"/>
  <c r="M717" i="78"/>
  <c r="I733" i="78"/>
  <c r="K734" i="78"/>
  <c r="L735" i="78"/>
  <c r="G740" i="78"/>
  <c r="I741" i="78"/>
  <c r="J742" i="78"/>
  <c r="I746" i="78"/>
  <c r="G749" i="78"/>
  <c r="K750" i="78"/>
  <c r="G752" i="78"/>
  <c r="M753" i="78"/>
  <c r="J755" i="78"/>
  <c r="I757" i="78"/>
  <c r="K759" i="78"/>
  <c r="K761" i="78"/>
  <c r="M763" i="78"/>
  <c r="M765" i="78"/>
  <c r="L776" i="78"/>
  <c r="J785" i="78"/>
  <c r="H790" i="78"/>
  <c r="J792" i="78"/>
  <c r="L796" i="78"/>
  <c r="I809" i="78"/>
  <c r="L814" i="78"/>
  <c r="M824" i="78"/>
  <c r="H827" i="78"/>
  <c r="K837" i="78"/>
  <c r="L844" i="78"/>
  <c r="I874" i="78"/>
  <c r="M877" i="78"/>
  <c r="L880" i="78"/>
  <c r="J968" i="78"/>
  <c r="L993" i="78"/>
  <c r="J1012" i="78"/>
  <c r="I1020" i="78"/>
  <c r="I1061" i="78"/>
  <c r="L645" i="78"/>
  <c r="J646" i="78"/>
  <c r="H647" i="78"/>
  <c r="L651" i="78"/>
  <c r="J652" i="78"/>
  <c r="H653" i="78"/>
  <c r="L657" i="78"/>
  <c r="J658" i="78"/>
  <c r="H659" i="78"/>
  <c r="L663" i="78"/>
  <c r="J664" i="78"/>
  <c r="H665" i="78"/>
  <c r="L669" i="78"/>
  <c r="J670" i="78"/>
  <c r="H671" i="78"/>
  <c r="L675" i="78"/>
  <c r="J676" i="78"/>
  <c r="H677" i="78"/>
  <c r="L681" i="78"/>
  <c r="J682" i="78"/>
  <c r="H683" i="78"/>
  <c r="L687" i="78"/>
  <c r="J688" i="78"/>
  <c r="H689" i="78"/>
  <c r="L693" i="78"/>
  <c r="J694" i="78"/>
  <c r="H695" i="78"/>
  <c r="L699" i="78"/>
  <c r="J700" i="78"/>
  <c r="H701" i="78"/>
  <c r="L705" i="78"/>
  <c r="J706" i="78"/>
  <c r="H707" i="78"/>
  <c r="L711" i="78"/>
  <c r="J712" i="78"/>
  <c r="H713" i="78"/>
  <c r="G732" i="78"/>
  <c r="K733" i="78"/>
  <c r="L734" i="78"/>
  <c r="M735" i="78"/>
  <c r="I740" i="78"/>
  <c r="J741" i="78"/>
  <c r="K742" i="78"/>
  <c r="K746" i="78"/>
  <c r="H749" i="78"/>
  <c r="M750" i="78"/>
  <c r="I752" i="78"/>
  <c r="K755" i="78"/>
  <c r="K757" i="78"/>
  <c r="L759" i="78"/>
  <c r="L761" i="78"/>
  <c r="G774" i="78"/>
  <c r="M776" i="78"/>
  <c r="H781" i="78"/>
  <c r="I790" i="78"/>
  <c r="K792" i="78"/>
  <c r="I799" i="78"/>
  <c r="G802" i="78"/>
  <c r="K807" i="78"/>
  <c r="G812" i="78"/>
  <c r="I817" i="78"/>
  <c r="G820" i="78"/>
  <c r="I827" i="78"/>
  <c r="L837" i="78"/>
  <c r="I847" i="78"/>
  <c r="G850" i="78"/>
  <c r="K855" i="78"/>
  <c r="L861" i="78"/>
  <c r="G868" i="78"/>
  <c r="J874" i="78"/>
  <c r="K888" i="78"/>
  <c r="G907" i="78"/>
  <c r="I940" i="78"/>
  <c r="K968" i="78"/>
  <c r="M669" i="78"/>
  <c r="K670" i="78"/>
  <c r="I671" i="78"/>
  <c r="G672" i="78"/>
  <c r="M675" i="78"/>
  <c r="K676" i="78"/>
  <c r="I677" i="78"/>
  <c r="G678" i="78"/>
  <c r="M681" i="78"/>
  <c r="K682" i="78"/>
  <c r="I683" i="78"/>
  <c r="G684" i="78"/>
  <c r="M687" i="78"/>
  <c r="K688" i="78"/>
  <c r="I689" i="78"/>
  <c r="G690" i="78"/>
  <c r="M693" i="78"/>
  <c r="K694" i="78"/>
  <c r="I695" i="78"/>
  <c r="G696" i="78"/>
  <c r="M699" i="78"/>
  <c r="K700" i="78"/>
  <c r="I701" i="78"/>
  <c r="G702" i="78"/>
  <c r="M705" i="78"/>
  <c r="K706" i="78"/>
  <c r="I707" i="78"/>
  <c r="G708" i="78"/>
  <c r="M711" i="78"/>
  <c r="K712" i="78"/>
  <c r="I713" i="78"/>
  <c r="G714" i="78"/>
  <c r="G729" i="78"/>
  <c r="G730" i="78"/>
  <c r="G731" i="78"/>
  <c r="I732" i="78"/>
  <c r="L733" i="78"/>
  <c r="M734" i="78"/>
  <c r="G739" i="78"/>
  <c r="J740" i="78"/>
  <c r="K741" i="78"/>
  <c r="M742" i="78"/>
  <c r="G745" i="78"/>
  <c r="L746" i="78"/>
  <c r="I749" i="78"/>
  <c r="K752" i="78"/>
  <c r="L755" i="78"/>
  <c r="M757" i="78"/>
  <c r="M759" i="78"/>
  <c r="M761" i="78"/>
  <c r="K772" i="78"/>
  <c r="G779" i="78"/>
  <c r="I781" i="78"/>
  <c r="J790" i="78"/>
  <c r="J797" i="78"/>
  <c r="M799" i="78"/>
  <c r="H802" i="78"/>
  <c r="L807" i="78"/>
  <c r="M817" i="78"/>
  <c r="H820" i="78"/>
  <c r="J827" i="78"/>
  <c r="G830" i="78"/>
  <c r="M837" i="78"/>
  <c r="J845" i="78"/>
  <c r="M847" i="78"/>
  <c r="H850" i="78"/>
  <c r="L855" i="78"/>
  <c r="G858" i="78"/>
  <c r="M861" i="78"/>
  <c r="H868" i="78"/>
  <c r="K874" i="78"/>
  <c r="L888" i="78"/>
  <c r="L893" i="78"/>
  <c r="H907" i="78"/>
  <c r="M912" i="78"/>
  <c r="K922" i="78"/>
  <c r="J940" i="78"/>
  <c r="L968" i="78"/>
  <c r="L610" i="78"/>
  <c r="J611" i="78"/>
  <c r="H612" i="78"/>
  <c r="L616" i="78"/>
  <c r="J617" i="78"/>
  <c r="H618" i="78"/>
  <c r="L622" i="78"/>
  <c r="J623" i="78"/>
  <c r="H624" i="78"/>
  <c r="L628" i="78"/>
  <c r="J629" i="78"/>
  <c r="H630" i="78"/>
  <c r="L634" i="78"/>
  <c r="J635" i="78"/>
  <c r="H636" i="78"/>
  <c r="L640" i="78"/>
  <c r="J641" i="78"/>
  <c r="H642" i="78"/>
  <c r="L646" i="78"/>
  <c r="J647" i="78"/>
  <c r="H648" i="78"/>
  <c r="L652" i="78"/>
  <c r="J653" i="78"/>
  <c r="H654" i="78"/>
  <c r="L658" i="78"/>
  <c r="J659" i="78"/>
  <c r="H660" i="78"/>
  <c r="L664" i="78"/>
  <c r="J665" i="78"/>
  <c r="H666" i="78"/>
  <c r="L670" i="78"/>
  <c r="J671" i="78"/>
  <c r="H672" i="78"/>
  <c r="L676" i="78"/>
  <c r="J677" i="78"/>
  <c r="H678" i="78"/>
  <c r="L682" i="78"/>
  <c r="J683" i="78"/>
  <c r="H684" i="78"/>
  <c r="L688" i="78"/>
  <c r="J689" i="78"/>
  <c r="H690" i="78"/>
  <c r="L694" i="78"/>
  <c r="J695" i="78"/>
  <c r="H696" i="78"/>
  <c r="L700" i="78"/>
  <c r="J701" i="78"/>
  <c r="H702" i="78"/>
  <c r="L706" i="78"/>
  <c r="J707" i="78"/>
  <c r="H708" i="78"/>
  <c r="L712" i="78"/>
  <c r="J713" i="78"/>
  <c r="H714" i="78"/>
  <c r="G727" i="78"/>
  <c r="G728" i="78"/>
  <c r="H729" i="78"/>
  <c r="H730" i="78"/>
  <c r="H731" i="78"/>
  <c r="K732" i="78"/>
  <c r="M733" i="78"/>
  <c r="I739" i="78"/>
  <c r="K740" i="78"/>
  <c r="L741" i="78"/>
  <c r="H745" i="78"/>
  <c r="G748" i="78"/>
  <c r="J749" i="78"/>
  <c r="L752" i="78"/>
  <c r="H754" i="78"/>
  <c r="M755" i="78"/>
  <c r="G770" i="78"/>
  <c r="L772" i="78"/>
  <c r="H779" i="78"/>
  <c r="M781" i="78"/>
  <c r="G786" i="78"/>
  <c r="I795" i="78"/>
  <c r="M797" i="78"/>
  <c r="I802" i="78"/>
  <c r="M807" i="78"/>
  <c r="G810" i="78"/>
  <c r="I820" i="78"/>
  <c r="M827" i="78"/>
  <c r="K830" i="78"/>
  <c r="G840" i="78"/>
  <c r="M845" i="78"/>
  <c r="I850" i="78"/>
  <c r="M855" i="78"/>
  <c r="H858" i="78"/>
  <c r="I868" i="78"/>
  <c r="M871" i="78"/>
  <c r="L874" i="78"/>
  <c r="K884" i="78"/>
  <c r="K898" i="78"/>
  <c r="J907" i="78"/>
  <c r="M940" i="78"/>
  <c r="M962" i="78"/>
  <c r="H1119" i="78"/>
  <c r="I636" i="78"/>
  <c r="G637" i="78"/>
  <c r="M640" i="78"/>
  <c r="K641" i="78"/>
  <c r="I642" i="78"/>
  <c r="G643" i="78"/>
  <c r="M646" i="78"/>
  <c r="K647" i="78"/>
  <c r="I648" i="78"/>
  <c r="G649" i="78"/>
  <c r="M652" i="78"/>
  <c r="K653" i="78"/>
  <c r="I654" i="78"/>
  <c r="G655" i="78"/>
  <c r="M658" i="78"/>
  <c r="K659" i="78"/>
  <c r="I660" i="78"/>
  <c r="G661" i="78"/>
  <c r="M664" i="78"/>
  <c r="K665" i="78"/>
  <c r="I666" i="78"/>
  <c r="G667" i="78"/>
  <c r="M670" i="78"/>
  <c r="K671" i="78"/>
  <c r="I672" i="78"/>
  <c r="G673" i="78"/>
  <c r="M676" i="78"/>
  <c r="K677" i="78"/>
  <c r="I678" i="78"/>
  <c r="G679" i="78"/>
  <c r="M682" i="78"/>
  <c r="K683" i="78"/>
  <c r="I684" i="78"/>
  <c r="G685" i="78"/>
  <c r="M688" i="78"/>
  <c r="K689" i="78"/>
  <c r="I690" i="78"/>
  <c r="G691" i="78"/>
  <c r="M694" i="78"/>
  <c r="K695" i="78"/>
  <c r="I696" i="78"/>
  <c r="G697" i="78"/>
  <c r="M700" i="78"/>
  <c r="K701" i="78"/>
  <c r="I702" i="78"/>
  <c r="G703" i="78"/>
  <c r="M706" i="78"/>
  <c r="K707" i="78"/>
  <c r="I708" i="78"/>
  <c r="G709" i="78"/>
  <c r="M712" i="78"/>
  <c r="K713" i="78"/>
  <c r="I714" i="78"/>
  <c r="G715" i="78"/>
  <c r="G723" i="78"/>
  <c r="G724" i="78"/>
  <c r="G725" i="78"/>
  <c r="G726" i="78"/>
  <c r="H727" i="78"/>
  <c r="I728" i="78"/>
  <c r="I729" i="78"/>
  <c r="I730" i="78"/>
  <c r="I731" i="78"/>
  <c r="M732" i="78"/>
  <c r="G738" i="78"/>
  <c r="K739" i="78"/>
  <c r="L740" i="78"/>
  <c r="M741" i="78"/>
  <c r="G744" i="78"/>
  <c r="I745" i="78"/>
  <c r="H748" i="78"/>
  <c r="K749" i="78"/>
  <c r="G751" i="78"/>
  <c r="M752" i="78"/>
  <c r="I754" i="78"/>
  <c r="K770" i="78"/>
  <c r="L777" i="78"/>
  <c r="G784" i="78"/>
  <c r="H786" i="78"/>
  <c r="G791" i="78"/>
  <c r="J795" i="78"/>
  <c r="K800" i="78"/>
  <c r="H810" i="78"/>
  <c r="I813" i="78"/>
  <c r="J820" i="78"/>
  <c r="L830" i="78"/>
  <c r="G833" i="78"/>
  <c r="J838" i="78"/>
  <c r="H840" i="78"/>
  <c r="I843" i="78"/>
  <c r="K848" i="78"/>
  <c r="J868" i="78"/>
  <c r="G881" i="78"/>
  <c r="L884" i="78"/>
  <c r="H889" i="78"/>
  <c r="I894" i="78"/>
  <c r="K907" i="78"/>
  <c r="I1015" i="78"/>
  <c r="J1119" i="78"/>
  <c r="L611" i="78"/>
  <c r="J612" i="78"/>
  <c r="H613" i="78"/>
  <c r="L617" i="78"/>
  <c r="J618" i="78"/>
  <c r="H619" i="78"/>
  <c r="L623" i="78"/>
  <c r="J624" i="78"/>
  <c r="H625" i="78"/>
  <c r="L629" i="78"/>
  <c r="J630" i="78"/>
  <c r="H631" i="78"/>
  <c r="L635" i="78"/>
  <c r="J636" i="78"/>
  <c r="H637" i="78"/>
  <c r="L641" i="78"/>
  <c r="J642" i="78"/>
  <c r="H643" i="78"/>
  <c r="L647" i="78"/>
  <c r="J648" i="78"/>
  <c r="H649" i="78"/>
  <c r="L653" i="78"/>
  <c r="J654" i="78"/>
  <c r="H655" i="78"/>
  <c r="L659" i="78"/>
  <c r="J660" i="78"/>
  <c r="H661" i="78"/>
  <c r="L665" i="78"/>
  <c r="J666" i="78"/>
  <c r="H667" i="78"/>
  <c r="L671" i="78"/>
  <c r="J672" i="78"/>
  <c r="H673" i="78"/>
  <c r="L677" i="78"/>
  <c r="J678" i="78"/>
  <c r="H679" i="78"/>
  <c r="L683" i="78"/>
  <c r="J684" i="78"/>
  <c r="H685" i="78"/>
  <c r="L689" i="78"/>
  <c r="J690" i="78"/>
  <c r="H691" i="78"/>
  <c r="L695" i="78"/>
  <c r="J696" i="78"/>
  <c r="H697" i="78"/>
  <c r="L701" i="78"/>
  <c r="J702" i="78"/>
  <c r="H703" i="78"/>
  <c r="L707" i="78"/>
  <c r="J708" i="78"/>
  <c r="H709" i="78"/>
  <c r="L713" i="78"/>
  <c r="J714" i="78"/>
  <c r="H715" i="78"/>
  <c r="G721" i="78"/>
  <c r="G722" i="78"/>
  <c r="H723" i="78"/>
  <c r="H724" i="78"/>
  <c r="H725" i="78"/>
  <c r="I726" i="78"/>
  <c r="I727" i="78"/>
  <c r="J728" i="78"/>
  <c r="J729" i="78"/>
  <c r="J730" i="78"/>
  <c r="K731" i="78"/>
  <c r="G737" i="78"/>
  <c r="I738" i="78"/>
  <c r="L739" i="78"/>
  <c r="M740" i="78"/>
  <c r="H744" i="78"/>
  <c r="K745" i="78"/>
  <c r="I748" i="78"/>
  <c r="L749" i="78"/>
  <c r="H751" i="78"/>
  <c r="J754" i="78"/>
  <c r="H756" i="78"/>
  <c r="I758" i="78"/>
  <c r="J760" i="78"/>
  <c r="J762" i="78"/>
  <c r="L764" i="78"/>
  <c r="L766" i="78"/>
  <c r="L770" i="78"/>
  <c r="M777" i="78"/>
  <c r="H784" i="78"/>
  <c r="J786" i="78"/>
  <c r="H791" i="78"/>
  <c r="K795" i="78"/>
  <c r="L800" i="78"/>
  <c r="G803" i="78"/>
  <c r="K810" i="78"/>
  <c r="J813" i="78"/>
  <c r="K820" i="78"/>
  <c r="K828" i="78"/>
  <c r="M830" i="78"/>
  <c r="H833" i="78"/>
  <c r="K838" i="78"/>
  <c r="J843" i="78"/>
  <c r="L848" i="78"/>
  <c r="G851" i="78"/>
  <c r="G862" i="78"/>
  <c r="I889" i="78"/>
  <c r="J894" i="78"/>
  <c r="H899" i="78"/>
  <c r="G913" i="78"/>
  <c r="L929" i="78"/>
  <c r="I857" i="78"/>
  <c r="M860" i="78"/>
  <c r="H862" i="78"/>
  <c r="K868" i="78"/>
  <c r="K873" i="78"/>
  <c r="H876" i="78"/>
  <c r="H881" i="78"/>
  <c r="M884" i="78"/>
  <c r="J889" i="78"/>
  <c r="M894" i="78"/>
  <c r="M899" i="78"/>
  <c r="K910" i="78"/>
  <c r="H920" i="78"/>
  <c r="L930" i="78"/>
  <c r="L945" i="78"/>
  <c r="J1015" i="78"/>
  <c r="L1056" i="78"/>
  <c r="G767" i="78"/>
  <c r="G768" i="78"/>
  <c r="I769" i="78"/>
  <c r="G773" i="78"/>
  <c r="H774" i="78"/>
  <c r="G778" i="78"/>
  <c r="I779" i="78"/>
  <c r="K780" i="78"/>
  <c r="I784" i="78"/>
  <c r="L785" i="78"/>
  <c r="J789" i="78"/>
  <c r="K790" i="78"/>
  <c r="G794" i="78"/>
  <c r="L795" i="78"/>
  <c r="J802" i="78"/>
  <c r="G808" i="78"/>
  <c r="J809" i="78"/>
  <c r="K812" i="78"/>
  <c r="G815" i="78"/>
  <c r="K816" i="78"/>
  <c r="K819" i="78"/>
  <c r="J826" i="78"/>
  <c r="G832" i="78"/>
  <c r="J833" i="78"/>
  <c r="K836" i="78"/>
  <c r="G839" i="78"/>
  <c r="K840" i="78"/>
  <c r="K843" i="78"/>
  <c r="J850" i="78"/>
  <c r="G856" i="78"/>
  <c r="J857" i="78"/>
  <c r="I862" i="78"/>
  <c r="M865" i="78"/>
  <c r="I867" i="78"/>
  <c r="L868" i="78"/>
  <c r="L873" i="78"/>
  <c r="K878" i="78"/>
  <c r="I881" i="78"/>
  <c r="H887" i="78"/>
  <c r="L889" i="78"/>
  <c r="M905" i="78"/>
  <c r="H908" i="78"/>
  <c r="I920" i="78"/>
  <c r="M923" i="78"/>
  <c r="M930" i="78"/>
  <c r="M945" i="78"/>
  <c r="I954" i="78"/>
  <c r="L969" i="78"/>
  <c r="J995" i="78"/>
  <c r="G1075" i="78"/>
  <c r="L1093" i="78"/>
  <c r="L718" i="78"/>
  <c r="J719" i="78"/>
  <c r="H720" i="78"/>
  <c r="L724" i="78"/>
  <c r="J725" i="78"/>
  <c r="H726" i="78"/>
  <c r="L730" i="78"/>
  <c r="J731" i="78"/>
  <c r="H732" i="78"/>
  <c r="L736" i="78"/>
  <c r="J737" i="78"/>
  <c r="H738" i="78"/>
  <c r="L742" i="78"/>
  <c r="K743" i="78"/>
  <c r="K744" i="78"/>
  <c r="M745" i="78"/>
  <c r="M746" i="78"/>
  <c r="M747" i="78"/>
  <c r="M748" i="78"/>
  <c r="M749" i="78"/>
  <c r="G766" i="78"/>
  <c r="H767" i="78"/>
  <c r="H768" i="78"/>
  <c r="M769" i="78"/>
  <c r="H773" i="78"/>
  <c r="J774" i="78"/>
  <c r="H778" i="78"/>
  <c r="J779" i="78"/>
  <c r="I783" i="78"/>
  <c r="J784" i="78"/>
  <c r="M785" i="78"/>
  <c r="K789" i="78"/>
  <c r="L790" i="78"/>
  <c r="K794" i="78"/>
  <c r="M795" i="78"/>
  <c r="G798" i="78"/>
  <c r="I801" i="78"/>
  <c r="K802" i="78"/>
  <c r="I805" i="78"/>
  <c r="H808" i="78"/>
  <c r="M809" i="78"/>
  <c r="L812" i="78"/>
  <c r="H815" i="78"/>
  <c r="L819" i="78"/>
  <c r="G822" i="78"/>
  <c r="I825" i="78"/>
  <c r="K826" i="78"/>
  <c r="I829" i="78"/>
  <c r="H832" i="78"/>
  <c r="M833" i="78"/>
  <c r="L836" i="78"/>
  <c r="H839" i="78"/>
  <c r="L843" i="78"/>
  <c r="G846" i="78"/>
  <c r="I849" i="78"/>
  <c r="K850" i="78"/>
  <c r="I853" i="78"/>
  <c r="H856" i="78"/>
  <c r="M857" i="78"/>
  <c r="J862" i="78"/>
  <c r="J867" i="78"/>
  <c r="G870" i="78"/>
  <c r="M873" i="78"/>
  <c r="G875" i="78"/>
  <c r="L878" i="78"/>
  <c r="G880" i="78"/>
  <c r="J881" i="78"/>
  <c r="I887" i="78"/>
  <c r="I908" i="78"/>
  <c r="I911" i="78"/>
  <c r="I917" i="78"/>
  <c r="J920" i="78"/>
  <c r="M950" i="78"/>
  <c r="H1075" i="78"/>
  <c r="M1103" i="78"/>
  <c r="M1144" i="78"/>
  <c r="M1176" i="78"/>
  <c r="G765" i="78"/>
  <c r="H766" i="78"/>
  <c r="I767" i="78"/>
  <c r="I768" i="78"/>
  <c r="G772" i="78"/>
  <c r="I773" i="78"/>
  <c r="K774" i="78"/>
  <c r="I778" i="78"/>
  <c r="L779" i="78"/>
  <c r="J783" i="78"/>
  <c r="K784" i="78"/>
  <c r="G788" i="78"/>
  <c r="L789" i="78"/>
  <c r="L794" i="78"/>
  <c r="H798" i="78"/>
  <c r="J801" i="78"/>
  <c r="L802" i="78"/>
  <c r="M805" i="78"/>
  <c r="I808" i="78"/>
  <c r="M812" i="78"/>
  <c r="I815" i="78"/>
  <c r="G818" i="78"/>
  <c r="M819" i="78"/>
  <c r="H822" i="78"/>
  <c r="J825" i="78"/>
  <c r="L826" i="78"/>
  <c r="M829" i="78"/>
  <c r="I832" i="78"/>
  <c r="M836" i="78"/>
  <c r="I839" i="78"/>
  <c r="G842" i="78"/>
  <c r="M843" i="78"/>
  <c r="H846" i="78"/>
  <c r="J849" i="78"/>
  <c r="L850" i="78"/>
  <c r="M853" i="78"/>
  <c r="I856" i="78"/>
  <c r="K862" i="78"/>
  <c r="K867" i="78"/>
  <c r="H870" i="78"/>
  <c r="H875" i="78"/>
  <c r="M878" i="78"/>
  <c r="H880" i="78"/>
  <c r="I890" i="78"/>
  <c r="J895" i="78"/>
  <c r="K900" i="78"/>
  <c r="J908" i="78"/>
  <c r="K911" i="78"/>
  <c r="G914" i="78"/>
  <c r="L917" i="78"/>
  <c r="G927" i="78"/>
  <c r="I938" i="78"/>
  <c r="J942" i="78"/>
  <c r="G955" i="78"/>
  <c r="G965" i="78"/>
  <c r="G1010" i="78"/>
  <c r="M1114" i="78"/>
  <c r="L731" i="78"/>
  <c r="J732" i="78"/>
  <c r="H733" i="78"/>
  <c r="L737" i="78"/>
  <c r="J738" i="78"/>
  <c r="H739" i="78"/>
  <c r="M743" i="78"/>
  <c r="G760" i="78"/>
  <c r="G761" i="78"/>
  <c r="G762" i="78"/>
  <c r="G763" i="78"/>
  <c r="G764" i="78"/>
  <c r="I765" i="78"/>
  <c r="I766" i="78"/>
  <c r="J767" i="78"/>
  <c r="J768" i="78"/>
  <c r="H772" i="78"/>
  <c r="J773" i="78"/>
  <c r="I777" i="78"/>
  <c r="J778" i="78"/>
  <c r="M779" i="78"/>
  <c r="K783" i="78"/>
  <c r="L784" i="78"/>
  <c r="K788" i="78"/>
  <c r="M789" i="78"/>
  <c r="H793" i="78"/>
  <c r="M794" i="78"/>
  <c r="G797" i="78"/>
  <c r="K798" i="78"/>
  <c r="K801" i="78"/>
  <c r="J808" i="78"/>
  <c r="G814" i="78"/>
  <c r="J815" i="78"/>
  <c r="K818" i="78"/>
  <c r="G821" i="78"/>
  <c r="K822" i="78"/>
  <c r="K825" i="78"/>
  <c r="J832" i="78"/>
  <c r="G838" i="78"/>
  <c r="J839" i="78"/>
  <c r="K842" i="78"/>
  <c r="G845" i="78"/>
  <c r="K846" i="78"/>
  <c r="K849" i="78"/>
  <c r="J856" i="78"/>
  <c r="M859" i="78"/>
  <c r="I861" i="78"/>
  <c r="L862" i="78"/>
  <c r="L867" i="78"/>
  <c r="K872" i="78"/>
  <c r="I875" i="78"/>
  <c r="I880" i="78"/>
  <c r="M883" i="78"/>
  <c r="L885" i="78"/>
  <c r="J890" i="78"/>
  <c r="K895" i="78"/>
  <c r="L900" i="78"/>
  <c r="G906" i="78"/>
  <c r="L911" i="78"/>
  <c r="I914" i="78"/>
  <c r="G924" i="78"/>
  <c r="H927" i="78"/>
  <c r="H931" i="78"/>
  <c r="J938" i="78"/>
  <c r="K942" i="78"/>
  <c r="K955" i="78"/>
  <c r="J960" i="78"/>
  <c r="H965" i="78"/>
  <c r="G971" i="78"/>
  <c r="K1025" i="78"/>
  <c r="G759" i="78"/>
  <c r="H760" i="78"/>
  <c r="H761" i="78"/>
  <c r="H762" i="78"/>
  <c r="H763" i="78"/>
  <c r="I764" i="78"/>
  <c r="J765" i="78"/>
  <c r="J766" i="78"/>
  <c r="K767" i="78"/>
  <c r="K768" i="78"/>
  <c r="I772" i="78"/>
  <c r="L773" i="78"/>
  <c r="J777" i="78"/>
  <c r="K778" i="78"/>
  <c r="G782" i="78"/>
  <c r="L783" i="78"/>
  <c r="L788" i="78"/>
  <c r="I793" i="78"/>
  <c r="H797" i="78"/>
  <c r="L801" i="78"/>
  <c r="G804" i="78"/>
  <c r="I807" i="78"/>
  <c r="K808" i="78"/>
  <c r="I811" i="78"/>
  <c r="H814" i="78"/>
  <c r="M815" i="78"/>
  <c r="L818" i="78"/>
  <c r="H821" i="78"/>
  <c r="L825" i="78"/>
  <c r="G828" i="78"/>
  <c r="I831" i="78"/>
  <c r="K832" i="78"/>
  <c r="I835" i="78"/>
  <c r="H838" i="78"/>
  <c r="M839" i="78"/>
  <c r="L842" i="78"/>
  <c r="H845" i="78"/>
  <c r="L849" i="78"/>
  <c r="G852" i="78"/>
  <c r="I855" i="78"/>
  <c r="K856" i="78"/>
  <c r="J861" i="78"/>
  <c r="G864" i="78"/>
  <c r="M867" i="78"/>
  <c r="G869" i="78"/>
  <c r="L872" i="78"/>
  <c r="G874" i="78"/>
  <c r="J875" i="78"/>
  <c r="J880" i="78"/>
  <c r="M885" i="78"/>
  <c r="G888" i="78"/>
  <c r="H893" i="78"/>
  <c r="L895" i="78"/>
  <c r="M900" i="78"/>
  <c r="G903" i="78"/>
  <c r="I906" i="78"/>
  <c r="J914" i="78"/>
  <c r="J924" i="78"/>
  <c r="I931" i="78"/>
  <c r="L938" i="78"/>
  <c r="M942" i="78"/>
  <c r="L947" i="78"/>
  <c r="L955" i="78"/>
  <c r="M960" i="78"/>
  <c r="H971" i="78"/>
  <c r="M1087" i="78"/>
  <c r="M1146" i="78"/>
  <c r="J1178" i="78"/>
  <c r="L720" i="78"/>
  <c r="J721" i="78"/>
  <c r="H722" i="78"/>
  <c r="L726" i="78"/>
  <c r="J727" i="78"/>
  <c r="H728" i="78"/>
  <c r="L732" i="78"/>
  <c r="J733" i="78"/>
  <c r="H734" i="78"/>
  <c r="L738" i="78"/>
  <c r="J739" i="78"/>
  <c r="H740" i="78"/>
  <c r="G754" i="78"/>
  <c r="G755" i="78"/>
  <c r="G756" i="78"/>
  <c r="G757" i="78"/>
  <c r="G758" i="78"/>
  <c r="I759" i="78"/>
  <c r="I760" i="78"/>
  <c r="I761" i="78"/>
  <c r="I762" i="78"/>
  <c r="I763" i="78"/>
  <c r="K764" i="78"/>
  <c r="K765" i="78"/>
  <c r="K766" i="78"/>
  <c r="L767" i="78"/>
  <c r="I771" i="78"/>
  <c r="J772" i="78"/>
  <c r="M773" i="78"/>
  <c r="K777" i="78"/>
  <c r="L778" i="78"/>
  <c r="K782" i="78"/>
  <c r="M783" i="78"/>
  <c r="H787" i="78"/>
  <c r="M788" i="78"/>
  <c r="G792" i="78"/>
  <c r="M793" i="78"/>
  <c r="I797" i="78"/>
  <c r="G800" i="78"/>
  <c r="M801" i="78"/>
  <c r="H804" i="78"/>
  <c r="J807" i="78"/>
  <c r="L808" i="78"/>
  <c r="M811" i="78"/>
  <c r="I814" i="78"/>
  <c r="M818" i="78"/>
  <c r="I821" i="78"/>
  <c r="G824" i="78"/>
  <c r="M825" i="78"/>
  <c r="H828" i="78"/>
  <c r="J831" i="78"/>
  <c r="L832" i="78"/>
  <c r="M835" i="78"/>
  <c r="I838" i="78"/>
  <c r="M842" i="78"/>
  <c r="I845" i="78"/>
  <c r="G848" i="78"/>
  <c r="M849" i="78"/>
  <c r="H852" i="78"/>
  <c r="J855" i="78"/>
  <c r="L856" i="78"/>
  <c r="K861" i="78"/>
  <c r="H864" i="78"/>
  <c r="H869" i="78"/>
  <c r="M872" i="78"/>
  <c r="H874" i="78"/>
  <c r="K880" i="78"/>
  <c r="I888" i="78"/>
  <c r="K893" i="78"/>
  <c r="J898" i="78"/>
  <c r="H903" i="78"/>
  <c r="M938" i="78"/>
  <c r="M947" i="78"/>
  <c r="J991" i="78"/>
  <c r="G1012" i="78"/>
  <c r="L1026" i="78"/>
  <c r="H1061" i="78"/>
  <c r="I1126" i="78"/>
  <c r="J888" i="78"/>
  <c r="K889" i="78"/>
  <c r="I893" i="78"/>
  <c r="L894" i="78"/>
  <c r="L899" i="78"/>
  <c r="M904" i="78"/>
  <c r="I907" i="78"/>
  <c r="M911" i="78"/>
  <c r="H914" i="78"/>
  <c r="M917" i="78"/>
  <c r="H919" i="78"/>
  <c r="K925" i="78"/>
  <c r="L936" i="78"/>
  <c r="K938" i="78"/>
  <c r="K940" i="78"/>
  <c r="K945" i="78"/>
  <c r="H955" i="78"/>
  <c r="I960" i="78"/>
  <c r="K965" i="78"/>
  <c r="M968" i="78"/>
  <c r="G975" i="78"/>
  <c r="G986" i="78"/>
  <c r="H998" i="78"/>
  <c r="M1026" i="78"/>
  <c r="G1043" i="78"/>
  <c r="L1049" i="78"/>
  <c r="K1061" i="78"/>
  <c r="K1119" i="78"/>
  <c r="G1137" i="78"/>
  <c r="K1146" i="78"/>
  <c r="G769" i="78"/>
  <c r="M772" i="78"/>
  <c r="K773" i="78"/>
  <c r="I774" i="78"/>
  <c r="G775" i="78"/>
  <c r="M778" i="78"/>
  <c r="K779" i="78"/>
  <c r="I780" i="78"/>
  <c r="G781" i="78"/>
  <c r="M784" i="78"/>
  <c r="K785" i="78"/>
  <c r="I786" i="78"/>
  <c r="G787" i="78"/>
  <c r="M790" i="78"/>
  <c r="K791" i="78"/>
  <c r="I792" i="78"/>
  <c r="G793" i="78"/>
  <c r="M796" i="78"/>
  <c r="K797" i="78"/>
  <c r="I798" i="78"/>
  <c r="G799" i="78"/>
  <c r="M802" i="78"/>
  <c r="K803" i="78"/>
  <c r="I804" i="78"/>
  <c r="G805" i="78"/>
  <c r="M808" i="78"/>
  <c r="K809" i="78"/>
  <c r="I810" i="78"/>
  <c r="G811" i="78"/>
  <c r="M814" i="78"/>
  <c r="K815" i="78"/>
  <c r="I816" i="78"/>
  <c r="G817" i="78"/>
  <c r="M820" i="78"/>
  <c r="K821" i="78"/>
  <c r="I822" i="78"/>
  <c r="G823" i="78"/>
  <c r="M826" i="78"/>
  <c r="K827" i="78"/>
  <c r="I828" i="78"/>
  <c r="G829" i="78"/>
  <c r="M832" i="78"/>
  <c r="K833" i="78"/>
  <c r="I834" i="78"/>
  <c r="G835" i="78"/>
  <c r="M838" i="78"/>
  <c r="K839" i="78"/>
  <c r="I840" i="78"/>
  <c r="G841" i="78"/>
  <c r="M844" i="78"/>
  <c r="K845" i="78"/>
  <c r="I846" i="78"/>
  <c r="G847" i="78"/>
  <c r="M850" i="78"/>
  <c r="K851" i="78"/>
  <c r="I852" i="78"/>
  <c r="G853" i="78"/>
  <c r="M856" i="78"/>
  <c r="K857" i="78"/>
  <c r="I858" i="78"/>
  <c r="G859" i="78"/>
  <c r="M862" i="78"/>
  <c r="K863" i="78"/>
  <c r="I864" i="78"/>
  <c r="G865" i="78"/>
  <c r="M868" i="78"/>
  <c r="K869" i="78"/>
  <c r="I870" i="78"/>
  <c r="G871" i="78"/>
  <c r="M874" i="78"/>
  <c r="K875" i="78"/>
  <c r="I876" i="78"/>
  <c r="G877" i="78"/>
  <c r="M880" i="78"/>
  <c r="K881" i="78"/>
  <c r="I882" i="78"/>
  <c r="G883" i="78"/>
  <c r="K887" i="78"/>
  <c r="M888" i="78"/>
  <c r="J892" i="78"/>
  <c r="M893" i="78"/>
  <c r="G897" i="78"/>
  <c r="M898" i="78"/>
  <c r="G902" i="78"/>
  <c r="L903" i="78"/>
  <c r="J906" i="78"/>
  <c r="L907" i="78"/>
  <c r="M910" i="78"/>
  <c r="I913" i="78"/>
  <c r="K919" i="78"/>
  <c r="K924" i="78"/>
  <c r="M929" i="78"/>
  <c r="J931" i="78"/>
  <c r="L943" i="78"/>
  <c r="M948" i="78"/>
  <c r="M955" i="78"/>
  <c r="G976" i="78"/>
  <c r="L995" i="78"/>
  <c r="G1017" i="78"/>
  <c r="M1033" i="78"/>
  <c r="I1050" i="78"/>
  <c r="M1056" i="78"/>
  <c r="J1075" i="78"/>
  <c r="K1097" i="78"/>
  <c r="L797" i="78"/>
  <c r="J798" i="78"/>
  <c r="H799" i="78"/>
  <c r="L803" i="78"/>
  <c r="J804" i="78"/>
  <c r="H805" i="78"/>
  <c r="L809" i="78"/>
  <c r="J810" i="78"/>
  <c r="H811" i="78"/>
  <c r="L815" i="78"/>
  <c r="J816" i="78"/>
  <c r="H817" i="78"/>
  <c r="L821" i="78"/>
  <c r="J822" i="78"/>
  <c r="H823" i="78"/>
  <c r="L827" i="78"/>
  <c r="J828" i="78"/>
  <c r="H829" i="78"/>
  <c r="L833" i="78"/>
  <c r="J834" i="78"/>
  <c r="H835" i="78"/>
  <c r="L839" i="78"/>
  <c r="J840" i="78"/>
  <c r="H841" i="78"/>
  <c r="L845" i="78"/>
  <c r="J846" i="78"/>
  <c r="H847" i="78"/>
  <c r="L851" i="78"/>
  <c r="J852" i="78"/>
  <c r="H853" i="78"/>
  <c r="L857" i="78"/>
  <c r="J858" i="78"/>
  <c r="H859" i="78"/>
  <c r="L863" i="78"/>
  <c r="J864" i="78"/>
  <c r="H865" i="78"/>
  <c r="L869" i="78"/>
  <c r="J870" i="78"/>
  <c r="H871" i="78"/>
  <c r="L875" i="78"/>
  <c r="J876" i="78"/>
  <c r="H877" i="78"/>
  <c r="L881" i="78"/>
  <c r="J882" i="78"/>
  <c r="H883" i="78"/>
  <c r="L887" i="78"/>
  <c r="K892" i="78"/>
  <c r="H897" i="78"/>
  <c r="G901" i="78"/>
  <c r="H902" i="78"/>
  <c r="M903" i="78"/>
  <c r="K906" i="78"/>
  <c r="G912" i="78"/>
  <c r="J913" i="78"/>
  <c r="K916" i="78"/>
  <c r="G918" i="78"/>
  <c r="L919" i="78"/>
  <c r="G921" i="78"/>
  <c r="L924" i="78"/>
  <c r="K931" i="78"/>
  <c r="G933" i="78"/>
  <c r="H937" i="78"/>
  <c r="I939" i="78"/>
  <c r="I941" i="78"/>
  <c r="M943" i="78"/>
  <c r="K961" i="78"/>
  <c r="H976" i="78"/>
  <c r="M995" i="78"/>
  <c r="J1004" i="78"/>
  <c r="I1023" i="78"/>
  <c r="M1131" i="78"/>
  <c r="H1140" i="78"/>
  <c r="K858" i="78"/>
  <c r="I859" i="78"/>
  <c r="G860" i="78"/>
  <c r="M863" i="78"/>
  <c r="K864" i="78"/>
  <c r="I865" i="78"/>
  <c r="G866" i="78"/>
  <c r="M869" i="78"/>
  <c r="K870" i="78"/>
  <c r="I871" i="78"/>
  <c r="G872" i="78"/>
  <c r="M875" i="78"/>
  <c r="K876" i="78"/>
  <c r="I877" i="78"/>
  <c r="G878" i="78"/>
  <c r="M881" i="78"/>
  <c r="K882" i="78"/>
  <c r="I883" i="78"/>
  <c r="G884" i="78"/>
  <c r="J886" i="78"/>
  <c r="M887" i="78"/>
  <c r="G891" i="78"/>
  <c r="M892" i="78"/>
  <c r="G896" i="78"/>
  <c r="L897" i="78"/>
  <c r="H901" i="78"/>
  <c r="I902" i="78"/>
  <c r="L906" i="78"/>
  <c r="G909" i="78"/>
  <c r="I912" i="78"/>
  <c r="K913" i="78"/>
  <c r="J918" i="78"/>
  <c r="H921" i="78"/>
  <c r="M924" i="78"/>
  <c r="G926" i="78"/>
  <c r="L931" i="78"/>
  <c r="H933" i="78"/>
  <c r="L935" i="78"/>
  <c r="I937" i="78"/>
  <c r="J939" i="78"/>
  <c r="K941" i="78"/>
  <c r="K946" i="78"/>
  <c r="K956" i="78"/>
  <c r="L961" i="78"/>
  <c r="K973" i="78"/>
  <c r="I976" i="78"/>
  <c r="G992" i="78"/>
  <c r="G1000" i="78"/>
  <c r="K1004" i="78"/>
  <c r="M1009" i="78"/>
  <c r="G1018" i="78"/>
  <c r="K1023" i="78"/>
  <c r="L1029" i="78"/>
  <c r="K1057" i="78"/>
  <c r="H1084" i="78"/>
  <c r="J1107" i="78"/>
  <c r="L744" i="78"/>
  <c r="J745" i="78"/>
  <c r="H746" i="78"/>
  <c r="L750" i="78"/>
  <c r="J751" i="78"/>
  <c r="H752" i="78"/>
  <c r="L756" i="78"/>
  <c r="J757" i="78"/>
  <c r="H758" i="78"/>
  <c r="L762" i="78"/>
  <c r="J763" i="78"/>
  <c r="H764" i="78"/>
  <c r="L768" i="78"/>
  <c r="J769" i="78"/>
  <c r="H770" i="78"/>
  <c r="L774" i="78"/>
  <c r="J775" i="78"/>
  <c r="H776" i="78"/>
  <c r="L780" i="78"/>
  <c r="J781" i="78"/>
  <c r="H782" i="78"/>
  <c r="L786" i="78"/>
  <c r="J787" i="78"/>
  <c r="H788" i="78"/>
  <c r="L792" i="78"/>
  <c r="J793" i="78"/>
  <c r="H794" i="78"/>
  <c r="L798" i="78"/>
  <c r="J799" i="78"/>
  <c r="H800" i="78"/>
  <c r="L804" i="78"/>
  <c r="J805" i="78"/>
  <c r="H806" i="78"/>
  <c r="L810" i="78"/>
  <c r="J811" i="78"/>
  <c r="H812" i="78"/>
  <c r="L816" i="78"/>
  <c r="J817" i="78"/>
  <c r="H818" i="78"/>
  <c r="L822" i="78"/>
  <c r="J823" i="78"/>
  <c r="H824" i="78"/>
  <c r="L828" i="78"/>
  <c r="J829" i="78"/>
  <c r="H830" i="78"/>
  <c r="L834" i="78"/>
  <c r="J835" i="78"/>
  <c r="H836" i="78"/>
  <c r="L840" i="78"/>
  <c r="J841" i="78"/>
  <c r="H842" i="78"/>
  <c r="L846" i="78"/>
  <c r="J847" i="78"/>
  <c r="H848" i="78"/>
  <c r="L852" i="78"/>
  <c r="J853" i="78"/>
  <c r="H854" i="78"/>
  <c r="L858" i="78"/>
  <c r="J859" i="78"/>
  <c r="H860" i="78"/>
  <c r="L864" i="78"/>
  <c r="J865" i="78"/>
  <c r="H866" i="78"/>
  <c r="L870" i="78"/>
  <c r="J871" i="78"/>
  <c r="H872" i="78"/>
  <c r="L876" i="78"/>
  <c r="J877" i="78"/>
  <c r="H878" i="78"/>
  <c r="L882" i="78"/>
  <c r="J883" i="78"/>
  <c r="H884" i="78"/>
  <c r="G885" i="78"/>
  <c r="K886" i="78"/>
  <c r="H891" i="78"/>
  <c r="G895" i="78"/>
  <c r="H896" i="78"/>
  <c r="M897" i="78"/>
  <c r="G900" i="78"/>
  <c r="I901" i="78"/>
  <c r="J902" i="78"/>
  <c r="I905" i="78"/>
  <c r="M906" i="78"/>
  <c r="H909" i="78"/>
  <c r="J912" i="78"/>
  <c r="L913" i="78"/>
  <c r="K918" i="78"/>
  <c r="M921" i="78"/>
  <c r="H926" i="78"/>
  <c r="M935" i="78"/>
  <c r="K937" i="78"/>
  <c r="K939" i="78"/>
  <c r="L941" i="78"/>
  <c r="M946" i="78"/>
  <c r="M951" i="78"/>
  <c r="L956" i="78"/>
  <c r="M961" i="78"/>
  <c r="G964" i="78"/>
  <c r="G970" i="78"/>
  <c r="L973" i="78"/>
  <c r="J976" i="78"/>
  <c r="G980" i="78"/>
  <c r="H992" i="78"/>
  <c r="I1000" i="78"/>
  <c r="J1014" i="78"/>
  <c r="L1023" i="78"/>
  <c r="M1029" i="78"/>
  <c r="G1046" i="78"/>
  <c r="L1084" i="78"/>
  <c r="I1092" i="78"/>
  <c r="K1107" i="78"/>
  <c r="M768" i="78"/>
  <c r="K769" i="78"/>
  <c r="I770" i="78"/>
  <c r="G771" i="78"/>
  <c r="M774" i="78"/>
  <c r="K775" i="78"/>
  <c r="I776" i="78"/>
  <c r="G777" i="78"/>
  <c r="M780" i="78"/>
  <c r="K781" i="78"/>
  <c r="I782" i="78"/>
  <c r="G783" i="78"/>
  <c r="M786" i="78"/>
  <c r="K787" i="78"/>
  <c r="I788" i="78"/>
  <c r="G789" i="78"/>
  <c r="M792" i="78"/>
  <c r="K793" i="78"/>
  <c r="I794" i="78"/>
  <c r="G795" i="78"/>
  <c r="M798" i="78"/>
  <c r="K799" i="78"/>
  <c r="I800" i="78"/>
  <c r="G801" i="78"/>
  <c r="M804" i="78"/>
  <c r="K805" i="78"/>
  <c r="I806" i="78"/>
  <c r="G807" i="78"/>
  <c r="M810" i="78"/>
  <c r="K811" i="78"/>
  <c r="I812" i="78"/>
  <c r="G813" i="78"/>
  <c r="M816" i="78"/>
  <c r="K817" i="78"/>
  <c r="I818" i="78"/>
  <c r="G819" i="78"/>
  <c r="M822" i="78"/>
  <c r="K823" i="78"/>
  <c r="I824" i="78"/>
  <c r="G825" i="78"/>
  <c r="M828" i="78"/>
  <c r="K829" i="78"/>
  <c r="I830" i="78"/>
  <c r="G831" i="78"/>
  <c r="M834" i="78"/>
  <c r="K835" i="78"/>
  <c r="I836" i="78"/>
  <c r="G837" i="78"/>
  <c r="M840" i="78"/>
  <c r="K841" i="78"/>
  <c r="I842" i="78"/>
  <c r="G843" i="78"/>
  <c r="M846" i="78"/>
  <c r="K847" i="78"/>
  <c r="I848" i="78"/>
  <c r="G849" i="78"/>
  <c r="M852" i="78"/>
  <c r="K853" i="78"/>
  <c r="I854" i="78"/>
  <c r="G855" i="78"/>
  <c r="M858" i="78"/>
  <c r="K859" i="78"/>
  <c r="I860" i="78"/>
  <c r="G861" i="78"/>
  <c r="M864" i="78"/>
  <c r="K865" i="78"/>
  <c r="I866" i="78"/>
  <c r="G867" i="78"/>
  <c r="M870" i="78"/>
  <c r="K871" i="78"/>
  <c r="I872" i="78"/>
  <c r="G873" i="78"/>
  <c r="M876" i="78"/>
  <c r="K877" i="78"/>
  <c r="I878" i="78"/>
  <c r="G879" i="78"/>
  <c r="M882" i="78"/>
  <c r="K883" i="78"/>
  <c r="I884" i="78"/>
  <c r="H885" i="78"/>
  <c r="M886" i="78"/>
  <c r="G890" i="78"/>
  <c r="L891" i="78"/>
  <c r="H895" i="78"/>
  <c r="I896" i="78"/>
  <c r="I900" i="78"/>
  <c r="J901" i="78"/>
  <c r="K905" i="78"/>
  <c r="M909" i="78"/>
  <c r="K912" i="78"/>
  <c r="G915" i="78"/>
  <c r="L918" i="78"/>
  <c r="I923" i="78"/>
  <c r="I926" i="78"/>
  <c r="J930" i="78"/>
  <c r="L937" i="78"/>
  <c r="L939" i="78"/>
  <c r="M941" i="78"/>
  <c r="K944" i="78"/>
  <c r="M956" i="78"/>
  <c r="H964" i="78"/>
  <c r="J1000" i="78"/>
  <c r="H1005" i="78"/>
  <c r="M1019" i="78"/>
  <c r="H1046" i="78"/>
  <c r="L745" i="78"/>
  <c r="J746" i="78"/>
  <c r="H747" i="78"/>
  <c r="L751" i="78"/>
  <c r="J752" i="78"/>
  <c r="H753" i="78"/>
  <c r="L757" i="78"/>
  <c r="J758" i="78"/>
  <c r="H759" i="78"/>
  <c r="L763" i="78"/>
  <c r="J764" i="78"/>
  <c r="H765" i="78"/>
  <c r="L769" i="78"/>
  <c r="J770" i="78"/>
  <c r="H771" i="78"/>
  <c r="L775" i="78"/>
  <c r="J776" i="78"/>
  <c r="H777" i="78"/>
  <c r="L781" i="78"/>
  <c r="J782" i="78"/>
  <c r="H783" i="78"/>
  <c r="L787" i="78"/>
  <c r="J788" i="78"/>
  <c r="H789" i="78"/>
  <c r="L793" i="78"/>
  <c r="J794" i="78"/>
  <c r="H795" i="78"/>
  <c r="L799" i="78"/>
  <c r="J800" i="78"/>
  <c r="H801" i="78"/>
  <c r="L805" i="78"/>
  <c r="J806" i="78"/>
  <c r="H807" i="78"/>
  <c r="L811" i="78"/>
  <c r="J812" i="78"/>
  <c r="H813" i="78"/>
  <c r="L817" i="78"/>
  <c r="J818" i="78"/>
  <c r="H819" i="78"/>
  <c r="L823" i="78"/>
  <c r="J824" i="78"/>
  <c r="H825" i="78"/>
  <c r="L829" i="78"/>
  <c r="J830" i="78"/>
  <c r="H831" i="78"/>
  <c r="L835" i="78"/>
  <c r="J836" i="78"/>
  <c r="H837" i="78"/>
  <c r="L841" i="78"/>
  <c r="J842" i="78"/>
  <c r="H843" i="78"/>
  <c r="L847" i="78"/>
  <c r="J848" i="78"/>
  <c r="H849" i="78"/>
  <c r="L853" i="78"/>
  <c r="J854" i="78"/>
  <c r="H855" i="78"/>
  <c r="L859" i="78"/>
  <c r="J860" i="78"/>
  <c r="H861" i="78"/>
  <c r="L865" i="78"/>
  <c r="J866" i="78"/>
  <c r="H867" i="78"/>
  <c r="L871" i="78"/>
  <c r="J872" i="78"/>
  <c r="H873" i="78"/>
  <c r="L877" i="78"/>
  <c r="J878" i="78"/>
  <c r="H879" i="78"/>
  <c r="L883" i="78"/>
  <c r="J884" i="78"/>
  <c r="I885" i="78"/>
  <c r="G889" i="78"/>
  <c r="H890" i="78"/>
  <c r="M891" i="78"/>
  <c r="G894" i="78"/>
  <c r="I895" i="78"/>
  <c r="J896" i="78"/>
  <c r="J900" i="78"/>
  <c r="K901" i="78"/>
  <c r="L905" i="78"/>
  <c r="G908" i="78"/>
  <c r="L912" i="78"/>
  <c r="H915" i="78"/>
  <c r="M918" i="78"/>
  <c r="G920" i="78"/>
  <c r="L923" i="78"/>
  <c r="J926" i="78"/>
  <c r="K930" i="78"/>
  <c r="G932" i="78"/>
  <c r="M937" i="78"/>
  <c r="M939" i="78"/>
  <c r="L944" i="78"/>
  <c r="M949" i="78"/>
  <c r="G959" i="78"/>
  <c r="I968" i="78"/>
  <c r="L974" i="78"/>
  <c r="I993" i="78"/>
  <c r="I1005" i="78"/>
  <c r="H1015" i="78"/>
  <c r="I1046" i="78"/>
  <c r="K1065" i="78"/>
  <c r="L1079" i="78"/>
  <c r="G1085" i="78"/>
  <c r="I1093" i="78"/>
  <c r="I1218" i="78"/>
  <c r="I1228" i="78"/>
  <c r="G886" i="78"/>
  <c r="M889" i="78"/>
  <c r="K890" i="78"/>
  <c r="I891" i="78"/>
  <c r="G892" i="78"/>
  <c r="M895" i="78"/>
  <c r="K896" i="78"/>
  <c r="I897" i="78"/>
  <c r="G898" i="78"/>
  <c r="M901" i="78"/>
  <c r="K902" i="78"/>
  <c r="I903" i="78"/>
  <c r="G904" i="78"/>
  <c r="M907" i="78"/>
  <c r="K908" i="78"/>
  <c r="I909" i="78"/>
  <c r="G910" i="78"/>
  <c r="M913" i="78"/>
  <c r="K914" i="78"/>
  <c r="I915" i="78"/>
  <c r="G916" i="78"/>
  <c r="M919" i="78"/>
  <c r="K920" i="78"/>
  <c r="I921" i="78"/>
  <c r="G922" i="78"/>
  <c r="M925" i="78"/>
  <c r="K926" i="78"/>
  <c r="I927" i="78"/>
  <c r="G928" i="78"/>
  <c r="M931" i="78"/>
  <c r="K932" i="78"/>
  <c r="I933" i="78"/>
  <c r="G934" i="78"/>
  <c r="J954" i="78"/>
  <c r="G958" i="78"/>
  <c r="H959" i="78"/>
  <c r="G963" i="78"/>
  <c r="I964" i="78"/>
  <c r="G967" i="78"/>
  <c r="H970" i="78"/>
  <c r="M973" i="78"/>
  <c r="H975" i="78"/>
  <c r="H980" i="78"/>
  <c r="H986" i="78"/>
  <c r="H990" i="78"/>
  <c r="I992" i="78"/>
  <c r="G994" i="78"/>
  <c r="L996" i="78"/>
  <c r="H1003" i="78"/>
  <c r="L1005" i="78"/>
  <c r="J1008" i="78"/>
  <c r="K1015" i="78"/>
  <c r="I1018" i="78"/>
  <c r="M1023" i="78"/>
  <c r="G1044" i="78"/>
  <c r="J1050" i="78"/>
  <c r="G1054" i="78"/>
  <c r="L1061" i="78"/>
  <c r="L1065" i="78"/>
  <c r="K1085" i="78"/>
  <c r="M1093" i="78"/>
  <c r="J1099" i="78"/>
  <c r="I1140" i="78"/>
  <c r="M1171" i="78"/>
  <c r="G1260" i="78"/>
  <c r="J885" i="78"/>
  <c r="H886" i="78"/>
  <c r="L890" i="78"/>
  <c r="J891" i="78"/>
  <c r="H892" i="78"/>
  <c r="L896" i="78"/>
  <c r="J897" i="78"/>
  <c r="H898" i="78"/>
  <c r="L902" i="78"/>
  <c r="J903" i="78"/>
  <c r="H904" i="78"/>
  <c r="L908" i="78"/>
  <c r="J909" i="78"/>
  <c r="H910" i="78"/>
  <c r="L914" i="78"/>
  <c r="J915" i="78"/>
  <c r="H916" i="78"/>
  <c r="L920" i="78"/>
  <c r="J921" i="78"/>
  <c r="H922" i="78"/>
  <c r="L926" i="78"/>
  <c r="J927" i="78"/>
  <c r="H928" i="78"/>
  <c r="L932" i="78"/>
  <c r="J933" i="78"/>
  <c r="H934" i="78"/>
  <c r="G951" i="78"/>
  <c r="G952" i="78"/>
  <c r="G953" i="78"/>
  <c r="M954" i="78"/>
  <c r="H958" i="78"/>
  <c r="K959" i="78"/>
  <c r="H963" i="78"/>
  <c r="J964" i="78"/>
  <c r="K967" i="78"/>
  <c r="I970" i="78"/>
  <c r="I975" i="78"/>
  <c r="J992" i="78"/>
  <c r="I994" i="78"/>
  <c r="M996" i="78"/>
  <c r="I1003" i="78"/>
  <c r="K1008" i="78"/>
  <c r="L1015" i="78"/>
  <c r="J1018" i="78"/>
  <c r="H1021" i="78"/>
  <c r="J1027" i="78"/>
  <c r="H1044" i="78"/>
  <c r="L1050" i="78"/>
  <c r="I1054" i="78"/>
  <c r="M1065" i="78"/>
  <c r="M1085" i="78"/>
  <c r="G1090" i="78"/>
  <c r="M1099" i="78"/>
  <c r="M1115" i="78"/>
  <c r="K1140" i="78"/>
  <c r="I1260" i="78"/>
  <c r="H1282" i="78"/>
  <c r="K885" i="78"/>
  <c r="I886" i="78"/>
  <c r="G887" i="78"/>
  <c r="M890" i="78"/>
  <c r="K891" i="78"/>
  <c r="I892" i="78"/>
  <c r="G893" i="78"/>
  <c r="M896" i="78"/>
  <c r="K897" i="78"/>
  <c r="I898" i="78"/>
  <c r="G899" i="78"/>
  <c r="M902" i="78"/>
  <c r="K903" i="78"/>
  <c r="I904" i="78"/>
  <c r="G905" i="78"/>
  <c r="M908" i="78"/>
  <c r="K909" i="78"/>
  <c r="I910" i="78"/>
  <c r="G911" i="78"/>
  <c r="M914" i="78"/>
  <c r="K915" i="78"/>
  <c r="I916" i="78"/>
  <c r="G917" i="78"/>
  <c r="M920" i="78"/>
  <c r="K921" i="78"/>
  <c r="I922" i="78"/>
  <c r="G923" i="78"/>
  <c r="M926" i="78"/>
  <c r="K927" i="78"/>
  <c r="I928" i="78"/>
  <c r="G929" i="78"/>
  <c r="M932" i="78"/>
  <c r="K933" i="78"/>
  <c r="I934" i="78"/>
  <c r="G935" i="78"/>
  <c r="G949" i="78"/>
  <c r="G950" i="78"/>
  <c r="H951" i="78"/>
  <c r="H952" i="78"/>
  <c r="H953" i="78"/>
  <c r="G957" i="78"/>
  <c r="I958" i="78"/>
  <c r="L959" i="78"/>
  <c r="I963" i="78"/>
  <c r="M964" i="78"/>
  <c r="L967" i="78"/>
  <c r="G969" i="78"/>
  <c r="J970" i="78"/>
  <c r="J975" i="78"/>
  <c r="K992" i="78"/>
  <c r="J994" i="78"/>
  <c r="L1001" i="78"/>
  <c r="L1008" i="78"/>
  <c r="M1015" i="78"/>
  <c r="K1018" i="78"/>
  <c r="I1021" i="78"/>
  <c r="M1024" i="78"/>
  <c r="K1027" i="78"/>
  <c r="I1044" i="78"/>
  <c r="G1048" i="78"/>
  <c r="H1070" i="78"/>
  <c r="G1077" i="78"/>
  <c r="I1082" i="78"/>
  <c r="I1090" i="78"/>
  <c r="L1110" i="78"/>
  <c r="G1127" i="78"/>
  <c r="J904" i="78"/>
  <c r="H905" i="78"/>
  <c r="L909" i="78"/>
  <c r="J910" i="78"/>
  <c r="H911" i="78"/>
  <c r="L915" i="78"/>
  <c r="J916" i="78"/>
  <c r="H917" i="78"/>
  <c r="L921" i="78"/>
  <c r="J922" i="78"/>
  <c r="H923" i="78"/>
  <c r="L927" i="78"/>
  <c r="J928" i="78"/>
  <c r="H929" i="78"/>
  <c r="L933" i="78"/>
  <c r="J934" i="78"/>
  <c r="H935" i="78"/>
  <c r="G945" i="78"/>
  <c r="G946" i="78"/>
  <c r="G947" i="78"/>
  <c r="G948" i="78"/>
  <c r="H949" i="78"/>
  <c r="I950" i="78"/>
  <c r="I951" i="78"/>
  <c r="I952" i="78"/>
  <c r="K953" i="78"/>
  <c r="H957" i="78"/>
  <c r="J958" i="78"/>
  <c r="I962" i="78"/>
  <c r="J963" i="78"/>
  <c r="M967" i="78"/>
  <c r="H969" i="78"/>
  <c r="K975" i="78"/>
  <c r="L994" i="78"/>
  <c r="G999" i="78"/>
  <c r="M1001" i="78"/>
  <c r="M1008" i="78"/>
  <c r="L1018" i="78"/>
  <c r="J1021" i="78"/>
  <c r="L1031" i="78"/>
  <c r="G1041" i="78"/>
  <c r="I1048" i="78"/>
  <c r="J1066" i="78"/>
  <c r="I1070" i="78"/>
  <c r="J1082" i="78"/>
  <c r="L1090" i="78"/>
  <c r="J1122" i="78"/>
  <c r="K1135" i="78"/>
  <c r="K1141" i="78"/>
  <c r="H1253" i="78"/>
  <c r="M927" i="78"/>
  <c r="K928" i="78"/>
  <c r="I929" i="78"/>
  <c r="G930" i="78"/>
  <c r="M933" i="78"/>
  <c r="K934" i="78"/>
  <c r="I935" i="78"/>
  <c r="G936" i="78"/>
  <c r="G943" i="78"/>
  <c r="G944" i="78"/>
  <c r="H945" i="78"/>
  <c r="H946" i="78"/>
  <c r="H947" i="78"/>
  <c r="I948" i="78"/>
  <c r="I949" i="78"/>
  <c r="J950" i="78"/>
  <c r="J951" i="78"/>
  <c r="J952" i="78"/>
  <c r="L953" i="78"/>
  <c r="I957" i="78"/>
  <c r="M958" i="78"/>
  <c r="J962" i="78"/>
  <c r="K963" i="78"/>
  <c r="I969" i="78"/>
  <c r="M972" i="78"/>
  <c r="I974" i="78"/>
  <c r="L975" i="78"/>
  <c r="H999" i="78"/>
  <c r="G1004" i="78"/>
  <c r="G1011" i="78"/>
  <c r="K1016" i="78"/>
  <c r="M1018" i="78"/>
  <c r="K1021" i="78"/>
  <c r="M1031" i="78"/>
  <c r="J1048" i="78"/>
  <c r="K1066" i="78"/>
  <c r="K1070" i="78"/>
  <c r="I1074" i="78"/>
  <c r="M1082" i="78"/>
  <c r="M1090" i="78"/>
  <c r="G1106" i="78"/>
  <c r="L1117" i="78"/>
  <c r="K1122" i="78"/>
  <c r="M1135" i="78"/>
  <c r="J1157" i="78"/>
  <c r="L886" i="78"/>
  <c r="J887" i="78"/>
  <c r="H888" i="78"/>
  <c r="L892" i="78"/>
  <c r="J893" i="78"/>
  <c r="H894" i="78"/>
  <c r="L898" i="78"/>
  <c r="J899" i="78"/>
  <c r="H900" i="78"/>
  <c r="L904" i="78"/>
  <c r="J905" i="78"/>
  <c r="H906" i="78"/>
  <c r="L910" i="78"/>
  <c r="J911" i="78"/>
  <c r="H912" i="78"/>
  <c r="L916" i="78"/>
  <c r="J917" i="78"/>
  <c r="H918" i="78"/>
  <c r="L922" i="78"/>
  <c r="J923" i="78"/>
  <c r="H924" i="78"/>
  <c r="L928" i="78"/>
  <c r="J929" i="78"/>
  <c r="H930" i="78"/>
  <c r="L934" i="78"/>
  <c r="J935" i="78"/>
  <c r="H936" i="78"/>
  <c r="G939" i="78"/>
  <c r="G940" i="78"/>
  <c r="G941" i="78"/>
  <c r="G942" i="78"/>
  <c r="H943" i="78"/>
  <c r="I944" i="78"/>
  <c r="I945" i="78"/>
  <c r="I946" i="78"/>
  <c r="I947" i="78"/>
  <c r="J948" i="78"/>
  <c r="K949" i="78"/>
  <c r="K950" i="78"/>
  <c r="K951" i="78"/>
  <c r="K952" i="78"/>
  <c r="I956" i="78"/>
  <c r="J957" i="78"/>
  <c r="G961" i="78"/>
  <c r="K962" i="78"/>
  <c r="L963" i="78"/>
  <c r="I966" i="78"/>
  <c r="J969" i="78"/>
  <c r="J974" i="78"/>
  <c r="G977" i="78"/>
  <c r="H991" i="78"/>
  <c r="G993" i="78"/>
  <c r="I999" i="78"/>
  <c r="H1004" i="78"/>
  <c r="H1011" i="78"/>
  <c r="M1016" i="78"/>
  <c r="M1021" i="78"/>
  <c r="I1042" i="78"/>
  <c r="K1048" i="78"/>
  <c r="G1059" i="78"/>
  <c r="M1070" i="78"/>
  <c r="J1074" i="78"/>
  <c r="G1078" i="78"/>
  <c r="I1087" i="78"/>
  <c r="G1112" i="78"/>
  <c r="K1157" i="78"/>
  <c r="J1234" i="78"/>
  <c r="K1254" i="78"/>
  <c r="M916" i="78"/>
  <c r="K917" i="78"/>
  <c r="I918" i="78"/>
  <c r="G919" i="78"/>
  <c r="M922" i="78"/>
  <c r="K923" i="78"/>
  <c r="I924" i="78"/>
  <c r="G925" i="78"/>
  <c r="M928" i="78"/>
  <c r="K929" i="78"/>
  <c r="I930" i="78"/>
  <c r="G931" i="78"/>
  <c r="M934" i="78"/>
  <c r="K935" i="78"/>
  <c r="I936" i="78"/>
  <c r="G937" i="78"/>
  <c r="G938" i="78"/>
  <c r="H939" i="78"/>
  <c r="H940" i="78"/>
  <c r="H941" i="78"/>
  <c r="I942" i="78"/>
  <c r="I943" i="78"/>
  <c r="J944" i="78"/>
  <c r="J945" i="78"/>
  <c r="J946" i="78"/>
  <c r="K947" i="78"/>
  <c r="K948" i="78"/>
  <c r="L949" i="78"/>
  <c r="L950" i="78"/>
  <c r="L951" i="78"/>
  <c r="M952" i="78"/>
  <c r="J956" i="78"/>
  <c r="K957" i="78"/>
  <c r="H961" i="78"/>
  <c r="L962" i="78"/>
  <c r="M966" i="78"/>
  <c r="K969" i="78"/>
  <c r="K974" i="78"/>
  <c r="H977" i="78"/>
  <c r="H979" i="78"/>
  <c r="G981" i="78"/>
  <c r="H985" i="78"/>
  <c r="G987" i="78"/>
  <c r="I991" i="78"/>
  <c r="H993" i="78"/>
  <c r="H995" i="78"/>
  <c r="K999" i="78"/>
  <c r="I1004" i="78"/>
  <c r="L1009" i="78"/>
  <c r="I1011" i="78"/>
  <c r="L1019" i="78"/>
  <c r="J1025" i="78"/>
  <c r="G1039" i="78"/>
  <c r="L1048" i="78"/>
  <c r="I1056" i="78"/>
  <c r="I1059" i="78"/>
  <c r="K1087" i="78"/>
  <c r="H1107" i="78"/>
  <c r="G1151" i="78"/>
  <c r="L1176" i="78"/>
  <c r="L1234" i="78"/>
  <c r="M1245" i="78"/>
  <c r="I953" i="78"/>
  <c r="G954" i="78"/>
  <c r="M957" i="78"/>
  <c r="K958" i="78"/>
  <c r="I959" i="78"/>
  <c r="G960" i="78"/>
  <c r="M963" i="78"/>
  <c r="K964" i="78"/>
  <c r="I965" i="78"/>
  <c r="G966" i="78"/>
  <c r="M969" i="78"/>
  <c r="K970" i="78"/>
  <c r="I971" i="78"/>
  <c r="G972" i="78"/>
  <c r="M975" i="78"/>
  <c r="K976" i="78"/>
  <c r="I977" i="78"/>
  <c r="H978" i="78"/>
  <c r="I979" i="78"/>
  <c r="I980" i="78"/>
  <c r="H981" i="78"/>
  <c r="G982" i="78"/>
  <c r="G983" i="78"/>
  <c r="H984" i="78"/>
  <c r="I985" i="78"/>
  <c r="I986" i="78"/>
  <c r="H987" i="78"/>
  <c r="G988" i="78"/>
  <c r="G989" i="78"/>
  <c r="J990" i="78"/>
  <c r="K991" i="78"/>
  <c r="M992" i="78"/>
  <c r="H997" i="78"/>
  <c r="J998" i="78"/>
  <c r="L999" i="78"/>
  <c r="J1003" i="78"/>
  <c r="L1007" i="78"/>
  <c r="H1010" i="78"/>
  <c r="L1011" i="78"/>
  <c r="K1014" i="78"/>
  <c r="I1017" i="78"/>
  <c r="J1020" i="78"/>
  <c r="L1025" i="78"/>
  <c r="M1027" i="78"/>
  <c r="H1043" i="78"/>
  <c r="M1048" i="78"/>
  <c r="M1050" i="78"/>
  <c r="G1055" i="78"/>
  <c r="M1057" i="78"/>
  <c r="H1064" i="78"/>
  <c r="M1066" i="78"/>
  <c r="G1073" i="78"/>
  <c r="K1075" i="78"/>
  <c r="I1078" i="78"/>
  <c r="M1088" i="78"/>
  <c r="M1097" i="78"/>
  <c r="H1112" i="78"/>
  <c r="I1127" i="78"/>
  <c r="M1132" i="78"/>
  <c r="K1137" i="78"/>
  <c r="H1187" i="78"/>
  <c r="H1205" i="78"/>
  <c r="J1228" i="78"/>
  <c r="I1282" i="78"/>
  <c r="L940" i="78"/>
  <c r="J941" i="78"/>
  <c r="H942" i="78"/>
  <c r="L946" i="78"/>
  <c r="J947" i="78"/>
  <c r="H948" i="78"/>
  <c r="L952" i="78"/>
  <c r="J953" i="78"/>
  <c r="H954" i="78"/>
  <c r="L958" i="78"/>
  <c r="J959" i="78"/>
  <c r="H960" i="78"/>
  <c r="L964" i="78"/>
  <c r="J965" i="78"/>
  <c r="H966" i="78"/>
  <c r="L970" i="78"/>
  <c r="J971" i="78"/>
  <c r="H972" i="78"/>
  <c r="L976" i="78"/>
  <c r="J977" i="78"/>
  <c r="J978" i="78"/>
  <c r="J979" i="78"/>
  <c r="J980" i="78"/>
  <c r="I981" i="78"/>
  <c r="H982" i="78"/>
  <c r="H983" i="78"/>
  <c r="J984" i="78"/>
  <c r="J985" i="78"/>
  <c r="J986" i="78"/>
  <c r="I987" i="78"/>
  <c r="H988" i="78"/>
  <c r="H989" i="78"/>
  <c r="K990" i="78"/>
  <c r="L991" i="78"/>
  <c r="I997" i="78"/>
  <c r="K998" i="78"/>
  <c r="K1003" i="78"/>
  <c r="M1007" i="78"/>
  <c r="I1010" i="78"/>
  <c r="L1014" i="78"/>
  <c r="K1017" i="78"/>
  <c r="K1020" i="78"/>
  <c r="H1022" i="78"/>
  <c r="M1025" i="78"/>
  <c r="I1043" i="78"/>
  <c r="G1045" i="78"/>
  <c r="H1055" i="78"/>
  <c r="G1060" i="78"/>
  <c r="L1062" i="78"/>
  <c r="I1064" i="78"/>
  <c r="K1071" i="78"/>
  <c r="M1075" i="78"/>
  <c r="J1078" i="78"/>
  <c r="M1091" i="78"/>
  <c r="K1101" i="78"/>
  <c r="K1112" i="78"/>
  <c r="H1124" i="78"/>
  <c r="M1137" i="78"/>
  <c r="I1215" i="78"/>
  <c r="M1274" i="78"/>
  <c r="M970" i="78"/>
  <c r="K971" i="78"/>
  <c r="I972" i="78"/>
  <c r="G973" i="78"/>
  <c r="M976" i="78"/>
  <c r="K977" i="78"/>
  <c r="K978" i="78"/>
  <c r="K979" i="78"/>
  <c r="K980" i="78"/>
  <c r="J981" i="78"/>
  <c r="I982" i="78"/>
  <c r="J983" i="78"/>
  <c r="K984" i="78"/>
  <c r="K985" i="78"/>
  <c r="K986" i="78"/>
  <c r="J987" i="78"/>
  <c r="I988" i="78"/>
  <c r="J989" i="78"/>
  <c r="L990" i="78"/>
  <c r="M991" i="78"/>
  <c r="J997" i="78"/>
  <c r="M998" i="78"/>
  <c r="J1002" i="78"/>
  <c r="L1003" i="78"/>
  <c r="H1009" i="78"/>
  <c r="J1010" i="78"/>
  <c r="M1014" i="78"/>
  <c r="L1017" i="78"/>
  <c r="H1019" i="78"/>
  <c r="L1020" i="78"/>
  <c r="I1022" i="78"/>
  <c r="H1045" i="78"/>
  <c r="G1047" i="78"/>
  <c r="H1049" i="78"/>
  <c r="I1055" i="78"/>
  <c r="I1060" i="78"/>
  <c r="M1062" i="78"/>
  <c r="G1069" i="78"/>
  <c r="L1071" i="78"/>
  <c r="K1078" i="78"/>
  <c r="G1081" i="78"/>
  <c r="H1105" i="78"/>
  <c r="H1108" i="78"/>
  <c r="L1112" i="78"/>
  <c r="K1124" i="78"/>
  <c r="I1143" i="78"/>
  <c r="L1198" i="78"/>
  <c r="G1238" i="78"/>
  <c r="L965" i="78"/>
  <c r="J966" i="78"/>
  <c r="H967" i="78"/>
  <c r="L971" i="78"/>
  <c r="J972" i="78"/>
  <c r="H973" i="78"/>
  <c r="L977" i="78"/>
  <c r="L978" i="78"/>
  <c r="L979" i="78"/>
  <c r="L980" i="78"/>
  <c r="K981" i="78"/>
  <c r="J982" i="78"/>
  <c r="L983" i="78"/>
  <c r="L984" i="78"/>
  <c r="L985" i="78"/>
  <c r="L986" i="78"/>
  <c r="K987" i="78"/>
  <c r="J988" i="78"/>
  <c r="L989" i="78"/>
  <c r="M990" i="78"/>
  <c r="K997" i="78"/>
  <c r="K1002" i="78"/>
  <c r="M1003" i="78"/>
  <c r="G1006" i="78"/>
  <c r="I1009" i="78"/>
  <c r="K1010" i="78"/>
  <c r="H1013" i="78"/>
  <c r="G1016" i="78"/>
  <c r="M1017" i="78"/>
  <c r="I1019" i="78"/>
  <c r="M1020" i="78"/>
  <c r="K1022" i="78"/>
  <c r="J1024" i="78"/>
  <c r="G1038" i="78"/>
  <c r="I1045" i="78"/>
  <c r="I1047" i="78"/>
  <c r="I1049" i="78"/>
  <c r="K1051" i="78"/>
  <c r="K1055" i="78"/>
  <c r="J1060" i="78"/>
  <c r="H1069" i="78"/>
  <c r="M1071" i="78"/>
  <c r="M1076" i="78"/>
  <c r="M1078" i="78"/>
  <c r="H1081" i="78"/>
  <c r="I1105" i="78"/>
  <c r="G1117" i="78"/>
  <c r="L1124" i="78"/>
  <c r="K1138" i="78"/>
  <c r="K1143" i="78"/>
  <c r="H1154" i="78"/>
  <c r="J1173" i="78"/>
  <c r="M1181" i="78"/>
  <c r="I1216" i="78"/>
  <c r="H1223" i="78"/>
  <c r="M953" i="78"/>
  <c r="K954" i="78"/>
  <c r="I955" i="78"/>
  <c r="G956" i="78"/>
  <c r="M959" i="78"/>
  <c r="K960" i="78"/>
  <c r="I961" i="78"/>
  <c r="G962" i="78"/>
  <c r="M965" i="78"/>
  <c r="K966" i="78"/>
  <c r="I967" i="78"/>
  <c r="G968" i="78"/>
  <c r="M971" i="78"/>
  <c r="K972" i="78"/>
  <c r="I973" i="78"/>
  <c r="G974" i="78"/>
  <c r="M977" i="78"/>
  <c r="M978" i="78"/>
  <c r="M979" i="78"/>
  <c r="M980" i="78"/>
  <c r="L981" i="78"/>
  <c r="L982" i="78"/>
  <c r="M983" i="78"/>
  <c r="M984" i="78"/>
  <c r="M985" i="78"/>
  <c r="M986" i="78"/>
  <c r="L987" i="78"/>
  <c r="L988" i="78"/>
  <c r="M989" i="78"/>
  <c r="J996" i="78"/>
  <c r="L997" i="78"/>
  <c r="G1001" i="78"/>
  <c r="L1002" i="78"/>
  <c r="J1006" i="78"/>
  <c r="J1009" i="78"/>
  <c r="L1013" i="78"/>
  <c r="H1016" i="78"/>
  <c r="J1019" i="78"/>
  <c r="M1022" i="78"/>
  <c r="K1024" i="78"/>
  <c r="J1026" i="78"/>
  <c r="K1028" i="78"/>
  <c r="L1030" i="78"/>
  <c r="L1032" i="78"/>
  <c r="G1040" i="78"/>
  <c r="K1047" i="78"/>
  <c r="J1049" i="78"/>
  <c r="M1051" i="78"/>
  <c r="K1060" i="78"/>
  <c r="G1065" i="78"/>
  <c r="L1067" i="78"/>
  <c r="J1069" i="78"/>
  <c r="J1081" i="78"/>
  <c r="G1089" i="78"/>
  <c r="J1095" i="78"/>
  <c r="H1117" i="78"/>
  <c r="M1124" i="78"/>
  <c r="I1134" i="78"/>
  <c r="M1138" i="78"/>
  <c r="M1143" i="78"/>
  <c r="M1199" i="78"/>
  <c r="H1239" i="78"/>
  <c r="H1258" i="78"/>
  <c r="J937" i="78"/>
  <c r="H938" i="78"/>
  <c r="L942" i="78"/>
  <c r="J943" i="78"/>
  <c r="H944" i="78"/>
  <c r="L948" i="78"/>
  <c r="J949" i="78"/>
  <c r="H950" i="78"/>
  <c r="L954" i="78"/>
  <c r="J955" i="78"/>
  <c r="H956" i="78"/>
  <c r="L960" i="78"/>
  <c r="J961" i="78"/>
  <c r="H962" i="78"/>
  <c r="L966" i="78"/>
  <c r="J967" i="78"/>
  <c r="H968" i="78"/>
  <c r="L972" i="78"/>
  <c r="J973" i="78"/>
  <c r="H974" i="78"/>
  <c r="G995" i="78"/>
  <c r="K996" i="78"/>
  <c r="M997" i="78"/>
  <c r="H1001" i="78"/>
  <c r="M1002" i="78"/>
  <c r="G1005" i="78"/>
  <c r="K1009" i="78"/>
  <c r="M1013" i="78"/>
  <c r="I1016" i="78"/>
  <c r="K1019" i="78"/>
  <c r="L1024" i="78"/>
  <c r="K1026" i="78"/>
  <c r="M1028" i="78"/>
  <c r="M1030" i="78"/>
  <c r="M1032" i="78"/>
  <c r="G1042" i="78"/>
  <c r="L1047" i="78"/>
  <c r="K1049" i="78"/>
  <c r="G1056" i="78"/>
  <c r="M1060" i="78"/>
  <c r="I1065" i="78"/>
  <c r="G1074" i="78"/>
  <c r="J1079" i="78"/>
  <c r="K1081" i="78"/>
  <c r="G1084" i="78"/>
  <c r="M1095" i="78"/>
  <c r="J1117" i="78"/>
  <c r="K1134" i="78"/>
  <c r="K1161" i="78"/>
  <c r="L1182" i="78"/>
  <c r="L1232" i="78"/>
  <c r="I1258" i="78"/>
  <c r="L1132" i="78"/>
  <c r="I1135" i="78"/>
  <c r="M1140" i="78"/>
  <c r="M1147" i="78"/>
  <c r="I1157" i="78"/>
  <c r="G1172" i="78"/>
  <c r="M1182" i="78"/>
  <c r="M1198" i="78"/>
  <c r="L1204" i="78"/>
  <c r="M1246" i="78"/>
  <c r="I1253" i="78"/>
  <c r="L992" i="78"/>
  <c r="J993" i="78"/>
  <c r="H994" i="78"/>
  <c r="L998" i="78"/>
  <c r="J999" i="78"/>
  <c r="H1000" i="78"/>
  <c r="L1004" i="78"/>
  <c r="J1005" i="78"/>
  <c r="H1006" i="78"/>
  <c r="L1010" i="78"/>
  <c r="J1011" i="78"/>
  <c r="H1012" i="78"/>
  <c r="G1036" i="78"/>
  <c r="H1037" i="78"/>
  <c r="H1038" i="78"/>
  <c r="H1039" i="78"/>
  <c r="H1040" i="78"/>
  <c r="I1041" i="78"/>
  <c r="J1042" i="78"/>
  <c r="J1043" i="78"/>
  <c r="J1044" i="78"/>
  <c r="J1045" i="78"/>
  <c r="K1046" i="78"/>
  <c r="M1047" i="78"/>
  <c r="G1053" i="78"/>
  <c r="J1054" i="78"/>
  <c r="L1055" i="78"/>
  <c r="K1059" i="78"/>
  <c r="G1063" i="78"/>
  <c r="K1064" i="78"/>
  <c r="G1068" i="78"/>
  <c r="K1069" i="78"/>
  <c r="H1073" i="78"/>
  <c r="L1074" i="78"/>
  <c r="I1077" i="78"/>
  <c r="G1080" i="78"/>
  <c r="I1089" i="78"/>
  <c r="K1092" i="78"/>
  <c r="H1104" i="78"/>
  <c r="J1106" i="78"/>
  <c r="I1108" i="78"/>
  <c r="H1113" i="78"/>
  <c r="M1120" i="78"/>
  <c r="K1127" i="78"/>
  <c r="G1130" i="78"/>
  <c r="H1151" i="78"/>
  <c r="I1154" i="78"/>
  <c r="K1165" i="78"/>
  <c r="G1169" i="78"/>
  <c r="K1173" i="78"/>
  <c r="I1184" i="78"/>
  <c r="K1205" i="78"/>
  <c r="G1242" i="78"/>
  <c r="L1254" i="78"/>
  <c r="M1004" i="78"/>
  <c r="K1005" i="78"/>
  <c r="I1006" i="78"/>
  <c r="G1007" i="78"/>
  <c r="M1010" i="78"/>
  <c r="K1011" i="78"/>
  <c r="I1012" i="78"/>
  <c r="G1013" i="78"/>
  <c r="G1031" i="78"/>
  <c r="G1032" i="78"/>
  <c r="G1033" i="78"/>
  <c r="G1034" i="78"/>
  <c r="G1035" i="78"/>
  <c r="I1036" i="78"/>
  <c r="I1037" i="78"/>
  <c r="I1038" i="78"/>
  <c r="I1039" i="78"/>
  <c r="I1040" i="78"/>
  <c r="K1041" i="78"/>
  <c r="K1042" i="78"/>
  <c r="K1043" i="78"/>
  <c r="K1044" i="78"/>
  <c r="K1045" i="78"/>
  <c r="M1046" i="78"/>
  <c r="I1053" i="78"/>
  <c r="K1054" i="78"/>
  <c r="H1058" i="78"/>
  <c r="L1059" i="78"/>
  <c r="H1063" i="78"/>
  <c r="M1064" i="78"/>
  <c r="I1068" i="78"/>
  <c r="M1069" i="78"/>
  <c r="G1072" i="78"/>
  <c r="I1073" i="78"/>
  <c r="M1074" i="78"/>
  <c r="K1077" i="78"/>
  <c r="H1080" i="78"/>
  <c r="G1086" i="78"/>
  <c r="K1089" i="78"/>
  <c r="L1092" i="78"/>
  <c r="J1094" i="78"/>
  <c r="K1096" i="78"/>
  <c r="J1098" i="78"/>
  <c r="K1100" i="78"/>
  <c r="L1102" i="78"/>
  <c r="K1106" i="78"/>
  <c r="M1108" i="78"/>
  <c r="I1113" i="78"/>
  <c r="H1118" i="78"/>
  <c r="L1127" i="78"/>
  <c r="I1130" i="78"/>
  <c r="L1165" i="78"/>
  <c r="J1184" i="78"/>
  <c r="K1189" i="78"/>
  <c r="G1195" i="78"/>
  <c r="H1242" i="78"/>
  <c r="G1249" i="78"/>
  <c r="L1261" i="78"/>
  <c r="M1283" i="78"/>
  <c r="G1030" i="78"/>
  <c r="H1031" i="78"/>
  <c r="H1032" i="78"/>
  <c r="H1033" i="78"/>
  <c r="H1034" i="78"/>
  <c r="I1035" i="78"/>
  <c r="J1036" i="78"/>
  <c r="J1037" i="78"/>
  <c r="J1038" i="78"/>
  <c r="J1039" i="78"/>
  <c r="K1040" i="78"/>
  <c r="L1041" i="78"/>
  <c r="L1042" i="78"/>
  <c r="L1043" i="78"/>
  <c r="L1044" i="78"/>
  <c r="M1045" i="78"/>
  <c r="H1052" i="78"/>
  <c r="K1053" i="78"/>
  <c r="M1054" i="78"/>
  <c r="I1058" i="78"/>
  <c r="M1059" i="78"/>
  <c r="J1063" i="78"/>
  <c r="G1067" i="78"/>
  <c r="J1068" i="78"/>
  <c r="I1072" i="78"/>
  <c r="K1073" i="78"/>
  <c r="L1077" i="78"/>
  <c r="I1080" i="78"/>
  <c r="H1083" i="78"/>
  <c r="J1086" i="78"/>
  <c r="M1089" i="78"/>
  <c r="L1094" i="78"/>
  <c r="M1096" i="78"/>
  <c r="L1098" i="78"/>
  <c r="M1100" i="78"/>
  <c r="H1111" i="78"/>
  <c r="J1113" i="78"/>
  <c r="J1118" i="78"/>
  <c r="H1123" i="78"/>
  <c r="G1133" i="78"/>
  <c r="J1145" i="78"/>
  <c r="G1152" i="78"/>
  <c r="K1155" i="78"/>
  <c r="G1174" i="78"/>
  <c r="G1179" i="78"/>
  <c r="K1184" i="78"/>
  <c r="M1195" i="78"/>
  <c r="I1219" i="78"/>
  <c r="I1249" i="78"/>
  <c r="M1277" i="78"/>
  <c r="G978" i="78"/>
  <c r="M981" i="78"/>
  <c r="K982" i="78"/>
  <c r="I983" i="78"/>
  <c r="G984" i="78"/>
  <c r="M987" i="78"/>
  <c r="K988" i="78"/>
  <c r="I989" i="78"/>
  <c r="G990" i="78"/>
  <c r="M993" i="78"/>
  <c r="K994" i="78"/>
  <c r="I995" i="78"/>
  <c r="G996" i="78"/>
  <c r="M999" i="78"/>
  <c r="K1000" i="78"/>
  <c r="I1001" i="78"/>
  <c r="G1002" i="78"/>
  <c r="M1005" i="78"/>
  <c r="K1006" i="78"/>
  <c r="I1007" i="78"/>
  <c r="G1008" i="78"/>
  <c r="M1011" i="78"/>
  <c r="K1012" i="78"/>
  <c r="I1013" i="78"/>
  <c r="G1014" i="78"/>
  <c r="G1025" i="78"/>
  <c r="G1026" i="78"/>
  <c r="G1027" i="78"/>
  <c r="G1028" i="78"/>
  <c r="G1029" i="78"/>
  <c r="I1030" i="78"/>
  <c r="I1031" i="78"/>
  <c r="I1032" i="78"/>
  <c r="I1033" i="78"/>
  <c r="I1034" i="78"/>
  <c r="K1035" i="78"/>
  <c r="K1036" i="78"/>
  <c r="K1037" i="78"/>
  <c r="K1038" i="78"/>
  <c r="K1039" i="78"/>
  <c r="M1040" i="78"/>
  <c r="M1041" i="78"/>
  <c r="M1042" i="78"/>
  <c r="M1043" i="78"/>
  <c r="M1044" i="78"/>
  <c r="G1051" i="78"/>
  <c r="I1052" i="78"/>
  <c r="L1053" i="78"/>
  <c r="G1057" i="78"/>
  <c r="K1058" i="78"/>
  <c r="G1062" i="78"/>
  <c r="K1063" i="78"/>
  <c r="H1067" i="78"/>
  <c r="L1068" i="78"/>
  <c r="J1072" i="78"/>
  <c r="L1073" i="78"/>
  <c r="M1077" i="78"/>
  <c r="K1080" i="78"/>
  <c r="I1083" i="78"/>
  <c r="L1086" i="78"/>
  <c r="G1091" i="78"/>
  <c r="M1094" i="78"/>
  <c r="I1111" i="78"/>
  <c r="K1118" i="78"/>
  <c r="I1123" i="78"/>
  <c r="J1128" i="78"/>
  <c r="H1139" i="78"/>
  <c r="H1142" i="78"/>
  <c r="H1152" i="78"/>
  <c r="L1155" i="78"/>
  <c r="H1174" i="78"/>
  <c r="H1190" i="78"/>
  <c r="L1219" i="78"/>
  <c r="H996" i="78"/>
  <c r="L1000" i="78"/>
  <c r="J1001" i="78"/>
  <c r="H1002" i="78"/>
  <c r="L1006" i="78"/>
  <c r="J1007" i="78"/>
  <c r="H1008" i="78"/>
  <c r="L1012" i="78"/>
  <c r="J1013" i="78"/>
  <c r="H1014" i="78"/>
  <c r="G1024" i="78"/>
  <c r="H1025" i="78"/>
  <c r="H1026" i="78"/>
  <c r="H1027" i="78"/>
  <c r="H1028" i="78"/>
  <c r="I1029" i="78"/>
  <c r="J1030" i="78"/>
  <c r="J1031" i="78"/>
  <c r="J1032" i="78"/>
  <c r="J1033" i="78"/>
  <c r="K1034" i="78"/>
  <c r="L1035" i="78"/>
  <c r="L1036" i="78"/>
  <c r="L1037" i="78"/>
  <c r="L1038" i="78"/>
  <c r="M1039" i="78"/>
  <c r="G1050" i="78"/>
  <c r="H1051" i="78"/>
  <c r="K1052" i="78"/>
  <c r="M1053" i="78"/>
  <c r="H1057" i="78"/>
  <c r="M1058" i="78"/>
  <c r="I1062" i="78"/>
  <c r="M1063" i="78"/>
  <c r="G1066" i="78"/>
  <c r="I1067" i="78"/>
  <c r="M1068" i="78"/>
  <c r="G1071" i="78"/>
  <c r="K1072" i="78"/>
  <c r="I1076" i="78"/>
  <c r="G1079" i="78"/>
  <c r="L1080" i="78"/>
  <c r="M1083" i="78"/>
  <c r="H1088" i="78"/>
  <c r="J1091" i="78"/>
  <c r="K1109" i="78"/>
  <c r="I1116" i="78"/>
  <c r="M1118" i="78"/>
  <c r="J1123" i="78"/>
  <c r="K1128" i="78"/>
  <c r="G1131" i="78"/>
  <c r="L1152" i="78"/>
  <c r="M1155" i="78"/>
  <c r="G1163" i="78"/>
  <c r="G1185" i="78"/>
  <c r="G1196" i="78"/>
  <c r="H1208" i="78"/>
  <c r="L1225" i="78"/>
  <c r="J1231" i="78"/>
  <c r="G1250" i="78"/>
  <c r="I978" i="78"/>
  <c r="G979" i="78"/>
  <c r="M982" i="78"/>
  <c r="K983" i="78"/>
  <c r="I984" i="78"/>
  <c r="G985" i="78"/>
  <c r="M988" i="78"/>
  <c r="K989" i="78"/>
  <c r="I990" i="78"/>
  <c r="G991" i="78"/>
  <c r="M994" i="78"/>
  <c r="K995" i="78"/>
  <c r="I996" i="78"/>
  <c r="G997" i="78"/>
  <c r="M1000" i="78"/>
  <c r="K1001" i="78"/>
  <c r="I1002" i="78"/>
  <c r="G1003" i="78"/>
  <c r="M1006" i="78"/>
  <c r="K1007" i="78"/>
  <c r="I1008" i="78"/>
  <c r="G1009" i="78"/>
  <c r="M1012" i="78"/>
  <c r="K1013" i="78"/>
  <c r="I1014" i="78"/>
  <c r="G1015" i="78"/>
  <c r="G1019" i="78"/>
  <c r="G1020" i="78"/>
  <c r="G1021" i="78"/>
  <c r="G1022" i="78"/>
  <c r="G1023" i="78"/>
  <c r="I1024" i="78"/>
  <c r="I1025" i="78"/>
  <c r="I1026" i="78"/>
  <c r="I1027" i="78"/>
  <c r="I1028" i="78"/>
  <c r="K1029" i="78"/>
  <c r="K1030" i="78"/>
  <c r="K1031" i="78"/>
  <c r="K1032" i="78"/>
  <c r="K1033" i="78"/>
  <c r="M1034" i="78"/>
  <c r="M1035" i="78"/>
  <c r="M1036" i="78"/>
  <c r="M1037" i="78"/>
  <c r="M1038" i="78"/>
  <c r="G1049" i="78"/>
  <c r="H1050" i="78"/>
  <c r="J1051" i="78"/>
  <c r="M1052" i="78"/>
  <c r="J1057" i="78"/>
  <c r="G1061" i="78"/>
  <c r="J1062" i="78"/>
  <c r="I1066" i="78"/>
  <c r="K1067" i="78"/>
  <c r="I1071" i="78"/>
  <c r="M1072" i="78"/>
  <c r="K1076" i="78"/>
  <c r="I1079" i="78"/>
  <c r="G1082" i="78"/>
  <c r="J1088" i="78"/>
  <c r="L1091" i="78"/>
  <c r="M1109" i="78"/>
  <c r="H1114" i="78"/>
  <c r="G1121" i="78"/>
  <c r="M1123" i="78"/>
  <c r="L1128" i="78"/>
  <c r="K1131" i="78"/>
  <c r="G1134" i="78"/>
  <c r="J1146" i="78"/>
  <c r="L1149" i="78"/>
  <c r="G1159" i="78"/>
  <c r="M1163" i="78"/>
  <c r="G1171" i="78"/>
  <c r="H1181" i="78"/>
  <c r="H1185" i="78"/>
  <c r="L1196" i="78"/>
  <c r="K1202" i="78"/>
  <c r="I1208" i="78"/>
  <c r="H1215" i="78"/>
  <c r="K1231" i="78"/>
  <c r="L1264" i="78"/>
  <c r="L1054" i="78"/>
  <c r="J1055" i="78"/>
  <c r="H1056" i="78"/>
  <c r="L1060" i="78"/>
  <c r="J1061" i="78"/>
  <c r="H1062" i="78"/>
  <c r="L1066" i="78"/>
  <c r="J1067" i="78"/>
  <c r="H1068" i="78"/>
  <c r="L1072" i="78"/>
  <c r="J1073" i="78"/>
  <c r="H1074" i="78"/>
  <c r="L1078" i="78"/>
  <c r="K1079" i="78"/>
  <c r="J1080" i="78"/>
  <c r="I1081" i="78"/>
  <c r="H1082" i="78"/>
  <c r="G1083" i="78"/>
  <c r="G1105" i="78"/>
  <c r="H1106" i="78"/>
  <c r="I1107" i="78"/>
  <c r="G1111" i="78"/>
  <c r="J1112" i="78"/>
  <c r="K1113" i="78"/>
  <c r="I1117" i="78"/>
  <c r="L1118" i="78"/>
  <c r="I1122" i="78"/>
  <c r="L1123" i="78"/>
  <c r="J1127" i="78"/>
  <c r="L1131" i="78"/>
  <c r="H1134" i="78"/>
  <c r="I1137" i="78"/>
  <c r="J1140" i="78"/>
  <c r="L1143" i="78"/>
  <c r="L1146" i="78"/>
  <c r="M1149" i="78"/>
  <c r="M1152" i="78"/>
  <c r="G1154" i="78"/>
  <c r="M1157" i="78"/>
  <c r="I1159" i="78"/>
  <c r="G1161" i="78"/>
  <c r="H1163" i="78"/>
  <c r="K1167" i="78"/>
  <c r="M1169" i="78"/>
  <c r="G1187" i="78"/>
  <c r="I1190" i="78"/>
  <c r="K1199" i="78"/>
  <c r="M1202" i="78"/>
  <c r="J1205" i="78"/>
  <c r="J1215" i="78"/>
  <c r="K1228" i="78"/>
  <c r="M1231" i="78"/>
  <c r="I1242" i="78"/>
  <c r="L1246" i="78"/>
  <c r="J1261" i="78"/>
  <c r="L1274" i="78"/>
  <c r="K1283" i="78"/>
  <c r="M1049" i="78"/>
  <c r="K1050" i="78"/>
  <c r="I1051" i="78"/>
  <c r="G1052" i="78"/>
  <c r="M1055" i="78"/>
  <c r="K1056" i="78"/>
  <c r="I1057" i="78"/>
  <c r="G1058" i="78"/>
  <c r="M1061" i="78"/>
  <c r="K1062" i="78"/>
  <c r="I1063" i="78"/>
  <c r="G1064" i="78"/>
  <c r="M1067" i="78"/>
  <c r="K1068" i="78"/>
  <c r="I1069" i="78"/>
  <c r="G1070" i="78"/>
  <c r="M1073" i="78"/>
  <c r="K1074" i="78"/>
  <c r="I1075" i="78"/>
  <c r="G1076" i="78"/>
  <c r="M1080" i="78"/>
  <c r="L1081" i="78"/>
  <c r="K1082" i="78"/>
  <c r="J1083" i="78"/>
  <c r="I1084" i="78"/>
  <c r="I1085" i="78"/>
  <c r="H1086" i="78"/>
  <c r="G1087" i="78"/>
  <c r="G1102" i="78"/>
  <c r="G1103" i="78"/>
  <c r="I1104" i="78"/>
  <c r="J1105" i="78"/>
  <c r="L1106" i="78"/>
  <c r="J1111" i="78"/>
  <c r="M1112" i="78"/>
  <c r="J1116" i="78"/>
  <c r="M1117" i="78"/>
  <c r="K1121" i="78"/>
  <c r="L1122" i="78"/>
  <c r="J1126" i="78"/>
  <c r="K1130" i="78"/>
  <c r="H1133" i="78"/>
  <c r="L1134" i="78"/>
  <c r="G1136" i="78"/>
  <c r="I1139" i="78"/>
  <c r="I1142" i="78"/>
  <c r="K1145" i="78"/>
  <c r="K1148" i="78"/>
  <c r="L1151" i="78"/>
  <c r="I1156" i="78"/>
  <c r="G1170" i="78"/>
  <c r="J1172" i="78"/>
  <c r="I1177" i="78"/>
  <c r="J1185" i="78"/>
  <c r="H1203" i="78"/>
  <c r="J1216" i="78"/>
  <c r="M1226" i="78"/>
  <c r="K1229" i="78"/>
  <c r="M1232" i="78"/>
  <c r="H1240" i="78"/>
  <c r="L1243" i="78"/>
  <c r="L1262" i="78"/>
  <c r="J1271" i="78"/>
  <c r="I1284" i="78"/>
  <c r="H1076" i="78"/>
  <c r="M1081" i="78"/>
  <c r="L1082" i="78"/>
  <c r="K1083" i="78"/>
  <c r="K1084" i="78"/>
  <c r="J1085" i="78"/>
  <c r="I1086" i="78"/>
  <c r="H1087" i="78"/>
  <c r="G1088" i="78"/>
  <c r="G1096" i="78"/>
  <c r="G1097" i="78"/>
  <c r="G1098" i="78"/>
  <c r="G1099" i="78"/>
  <c r="G1100" i="78"/>
  <c r="H1101" i="78"/>
  <c r="H1102" i="78"/>
  <c r="J1103" i="78"/>
  <c r="J1104" i="78"/>
  <c r="L1105" i="78"/>
  <c r="M1106" i="78"/>
  <c r="I1110" i="78"/>
  <c r="L1111" i="78"/>
  <c r="G1115" i="78"/>
  <c r="K1116" i="78"/>
  <c r="G1120" i="78"/>
  <c r="L1121" i="78"/>
  <c r="K1126" i="78"/>
  <c r="G1129" i="78"/>
  <c r="M1130" i="78"/>
  <c r="I1133" i="78"/>
  <c r="M1134" i="78"/>
  <c r="H1136" i="78"/>
  <c r="J1139" i="78"/>
  <c r="K1142" i="78"/>
  <c r="L1145" i="78"/>
  <c r="M1148" i="78"/>
  <c r="M1151" i="78"/>
  <c r="J1156" i="78"/>
  <c r="G1158" i="78"/>
  <c r="G1168" i="78"/>
  <c r="K1170" i="78"/>
  <c r="L1172" i="78"/>
  <c r="M1177" i="78"/>
  <c r="K1185" i="78"/>
  <c r="K1191" i="78"/>
  <c r="H1200" i="78"/>
  <c r="M1203" i="78"/>
  <c r="K1206" i="78"/>
  <c r="J1213" i="78"/>
  <c r="M1216" i="78"/>
  <c r="K1220" i="78"/>
  <c r="M1229" i="78"/>
  <c r="L1236" i="78"/>
  <c r="I1240" i="78"/>
  <c r="H1251" i="78"/>
  <c r="I1255" i="78"/>
  <c r="G1267" i="78"/>
  <c r="K1271" i="78"/>
  <c r="G1092" i="78"/>
  <c r="G1093" i="78"/>
  <c r="G1094" i="78"/>
  <c r="H1095" i="78"/>
  <c r="H1096" i="78"/>
  <c r="I1097" i="78"/>
  <c r="H1098" i="78"/>
  <c r="H1099" i="78"/>
  <c r="H1100" i="78"/>
  <c r="I1101" i="78"/>
  <c r="I1102" i="78"/>
  <c r="K1103" i="78"/>
  <c r="K1104" i="78"/>
  <c r="M1105" i="78"/>
  <c r="J1110" i="78"/>
  <c r="M1111" i="78"/>
  <c r="K1115" i="78"/>
  <c r="L1116" i="78"/>
  <c r="H1120" i="78"/>
  <c r="M1121" i="78"/>
  <c r="H1125" i="78"/>
  <c r="L1126" i="78"/>
  <c r="I1129" i="78"/>
  <c r="K1133" i="78"/>
  <c r="I1136" i="78"/>
  <c r="K1139" i="78"/>
  <c r="M1142" i="78"/>
  <c r="M1145" i="78"/>
  <c r="G1153" i="78"/>
  <c r="L1156" i="78"/>
  <c r="L1158" i="78"/>
  <c r="J1162" i="78"/>
  <c r="H1164" i="78"/>
  <c r="G1166" i="78"/>
  <c r="I1168" i="78"/>
  <c r="L1170" i="78"/>
  <c r="M1172" i="78"/>
  <c r="I1183" i="78"/>
  <c r="H1194" i="78"/>
  <c r="M1197" i="78"/>
  <c r="M1200" i="78"/>
  <c r="J1233" i="78"/>
  <c r="J1240" i="78"/>
  <c r="J1251" i="78"/>
  <c r="J1255" i="78"/>
  <c r="G1259" i="78"/>
  <c r="I1267" i="78"/>
  <c r="G1280" i="78"/>
  <c r="J1016" i="78"/>
  <c r="H1017" i="78"/>
  <c r="L1021" i="78"/>
  <c r="J1022" i="78"/>
  <c r="H1023" i="78"/>
  <c r="L1027" i="78"/>
  <c r="J1028" i="78"/>
  <c r="H1029" i="78"/>
  <c r="L1033" i="78"/>
  <c r="J1034" i="78"/>
  <c r="H1035" i="78"/>
  <c r="L1039" i="78"/>
  <c r="J1040" i="78"/>
  <c r="H1041" i="78"/>
  <c r="L1045" i="78"/>
  <c r="J1046" i="78"/>
  <c r="H1047" i="78"/>
  <c r="L1051" i="78"/>
  <c r="J1052" i="78"/>
  <c r="H1053" i="78"/>
  <c r="L1057" i="78"/>
  <c r="J1058" i="78"/>
  <c r="H1059" i="78"/>
  <c r="L1063" i="78"/>
  <c r="J1064" i="78"/>
  <c r="H1065" i="78"/>
  <c r="L1069" i="78"/>
  <c r="J1070" i="78"/>
  <c r="H1071" i="78"/>
  <c r="L1075" i="78"/>
  <c r="J1076" i="78"/>
  <c r="H1077" i="78"/>
  <c r="M1084" i="78"/>
  <c r="L1085" i="78"/>
  <c r="K1086" i="78"/>
  <c r="J1087" i="78"/>
  <c r="I1088" i="78"/>
  <c r="H1089" i="78"/>
  <c r="H1090" i="78"/>
  <c r="I1091" i="78"/>
  <c r="H1092" i="78"/>
  <c r="H1093" i="78"/>
  <c r="H1094" i="78"/>
  <c r="I1095" i="78"/>
  <c r="I1096" i="78"/>
  <c r="J1097" i="78"/>
  <c r="I1098" i="78"/>
  <c r="I1099" i="78"/>
  <c r="J1100" i="78"/>
  <c r="J1101" i="78"/>
  <c r="K1102" i="78"/>
  <c r="L1103" i="78"/>
  <c r="L1104" i="78"/>
  <c r="G1109" i="78"/>
  <c r="K1110" i="78"/>
  <c r="G1114" i="78"/>
  <c r="L1115" i="78"/>
  <c r="I1120" i="78"/>
  <c r="G1124" i="78"/>
  <c r="I1125" i="78"/>
  <c r="J1129" i="78"/>
  <c r="G1132" i="78"/>
  <c r="L1133" i="78"/>
  <c r="M1136" i="78"/>
  <c r="G1138" i="78"/>
  <c r="M1139" i="78"/>
  <c r="H1141" i="78"/>
  <c r="J1144" i="78"/>
  <c r="G1150" i="78"/>
  <c r="H1153" i="78"/>
  <c r="M1156" i="78"/>
  <c r="M1158" i="78"/>
  <c r="I1160" i="78"/>
  <c r="K1162" i="78"/>
  <c r="I1164" i="78"/>
  <c r="I1166" i="78"/>
  <c r="J1168" i="78"/>
  <c r="M1170" i="78"/>
  <c r="I1180" i="78"/>
  <c r="M1183" i="78"/>
  <c r="L1210" i="78"/>
  <c r="J1214" i="78"/>
  <c r="M1217" i="78"/>
  <c r="K1227" i="78"/>
  <c r="I1230" i="78"/>
  <c r="L1233" i="78"/>
  <c r="G1248" i="78"/>
  <c r="M1251" i="78"/>
  <c r="L1255" i="78"/>
  <c r="I1259" i="78"/>
  <c r="L1263" i="78"/>
  <c r="L1276" i="78"/>
  <c r="K1125" i="78"/>
  <c r="G1128" i="78"/>
  <c r="K1129" i="78"/>
  <c r="I1132" i="78"/>
  <c r="M1133" i="78"/>
  <c r="G1135" i="78"/>
  <c r="I1138" i="78"/>
  <c r="I1141" i="78"/>
  <c r="K1144" i="78"/>
  <c r="J1147" i="78"/>
  <c r="L1150" i="78"/>
  <c r="M1160" i="78"/>
  <c r="L1162" i="78"/>
  <c r="K1164" i="78"/>
  <c r="J1166" i="78"/>
  <c r="H1173" i="78"/>
  <c r="M1175" i="78"/>
  <c r="H1178" i="78"/>
  <c r="J1180" i="78"/>
  <c r="K1201" i="78"/>
  <c r="I1204" i="78"/>
  <c r="I1207" i="78"/>
  <c r="M1210" i="78"/>
  <c r="K1214" i="78"/>
  <c r="L1227" i="78"/>
  <c r="K1230" i="78"/>
  <c r="M1237" i="78"/>
  <c r="G1241" i="78"/>
  <c r="L1268" i="78"/>
  <c r="I1272" i="78"/>
  <c r="L1016" i="78"/>
  <c r="J1017" i="78"/>
  <c r="H1018" i="78"/>
  <c r="L1022" i="78"/>
  <c r="J1023" i="78"/>
  <c r="H1024" i="78"/>
  <c r="L1028" i="78"/>
  <c r="J1029" i="78"/>
  <c r="H1030" i="78"/>
  <c r="L1034" i="78"/>
  <c r="J1035" i="78"/>
  <c r="H1036" i="78"/>
  <c r="L1040" i="78"/>
  <c r="J1041" i="78"/>
  <c r="H1042" i="78"/>
  <c r="L1046" i="78"/>
  <c r="J1047" i="78"/>
  <c r="H1048" i="78"/>
  <c r="L1052" i="78"/>
  <c r="J1053" i="78"/>
  <c r="H1054" i="78"/>
  <c r="L1058" i="78"/>
  <c r="J1059" i="78"/>
  <c r="H1060" i="78"/>
  <c r="L1064" i="78"/>
  <c r="J1065" i="78"/>
  <c r="H1066" i="78"/>
  <c r="L1070" i="78"/>
  <c r="J1071" i="78"/>
  <c r="H1072" i="78"/>
  <c r="L1076" i="78"/>
  <c r="J1077" i="78"/>
  <c r="H1078" i="78"/>
  <c r="M1086" i="78"/>
  <c r="L1087" i="78"/>
  <c r="K1088" i="78"/>
  <c r="J1089" i="78"/>
  <c r="K1090" i="78"/>
  <c r="K1091" i="78"/>
  <c r="J1092" i="78"/>
  <c r="J1093" i="78"/>
  <c r="K1094" i="78"/>
  <c r="K1095" i="78"/>
  <c r="L1096" i="78"/>
  <c r="L1097" i="78"/>
  <c r="K1098" i="78"/>
  <c r="L1099" i="78"/>
  <c r="L1100" i="78"/>
  <c r="M1101" i="78"/>
  <c r="M1102" i="78"/>
  <c r="G1108" i="78"/>
  <c r="L1109" i="78"/>
  <c r="I1114" i="78"/>
  <c r="G1118" i="78"/>
  <c r="I1119" i="78"/>
  <c r="G1123" i="78"/>
  <c r="J1124" i="78"/>
  <c r="L1125" i="78"/>
  <c r="I1128" i="78"/>
  <c r="M1129" i="78"/>
  <c r="K1132" i="78"/>
  <c r="H1135" i="78"/>
  <c r="J1138" i="78"/>
  <c r="J1141" i="78"/>
  <c r="L1144" i="78"/>
  <c r="K1147" i="78"/>
  <c r="M1150" i="78"/>
  <c r="G1155" i="78"/>
  <c r="M1162" i="78"/>
  <c r="I1173" i="78"/>
  <c r="I1178" i="78"/>
  <c r="G1186" i="78"/>
  <c r="I1189" i="78"/>
  <c r="K1198" i="78"/>
  <c r="L1201" i="78"/>
  <c r="K1204" i="78"/>
  <c r="J1207" i="78"/>
  <c r="L1214" i="78"/>
  <c r="M1227" i="78"/>
  <c r="L1230" i="78"/>
  <c r="G1234" i="78"/>
  <c r="H1241" i="78"/>
  <c r="L1245" i="78"/>
  <c r="M1252" i="78"/>
  <c r="M1256" i="78"/>
  <c r="M1268" i="78"/>
  <c r="L1272" i="78"/>
  <c r="K1277" i="78"/>
  <c r="M1092" i="78"/>
  <c r="K1093" i="78"/>
  <c r="I1094" i="78"/>
  <c r="G1095" i="78"/>
  <c r="M1098" i="78"/>
  <c r="K1099" i="78"/>
  <c r="I1100" i="78"/>
  <c r="G1101" i="78"/>
  <c r="M1104" i="78"/>
  <c r="K1105" i="78"/>
  <c r="I1106" i="78"/>
  <c r="G1107" i="78"/>
  <c r="M1110" i="78"/>
  <c r="K1111" i="78"/>
  <c r="I1112" i="78"/>
  <c r="G1113" i="78"/>
  <c r="M1116" i="78"/>
  <c r="K1117" i="78"/>
  <c r="I1118" i="78"/>
  <c r="G1119" i="78"/>
  <c r="M1122" i="78"/>
  <c r="K1123" i="78"/>
  <c r="I1124" i="78"/>
  <c r="G1125" i="78"/>
  <c r="G1126" i="78"/>
  <c r="H1127" i="78"/>
  <c r="H1128" i="78"/>
  <c r="H1129" i="78"/>
  <c r="H1130" i="78"/>
  <c r="I1131" i="78"/>
  <c r="J1132" i="78"/>
  <c r="J1133" i="78"/>
  <c r="J1134" i="78"/>
  <c r="J1135" i="78"/>
  <c r="K1136" i="78"/>
  <c r="L1137" i="78"/>
  <c r="L1138" i="78"/>
  <c r="L1139" i="78"/>
  <c r="L1140" i="78"/>
  <c r="M1141" i="78"/>
  <c r="K1156" i="78"/>
  <c r="G1160" i="78"/>
  <c r="L1161" i="78"/>
  <c r="G1165" i="78"/>
  <c r="K1166" i="78"/>
  <c r="I1169" i="78"/>
  <c r="H1172" i="78"/>
  <c r="M1173" i="78"/>
  <c r="H1175" i="78"/>
  <c r="L1185" i="78"/>
  <c r="M1187" i="78"/>
  <c r="L1189" i="78"/>
  <c r="L1191" i="78"/>
  <c r="H1193" i="78"/>
  <c r="I1202" i="78"/>
  <c r="K1212" i="78"/>
  <c r="M1214" i="78"/>
  <c r="M1225" i="78"/>
  <c r="H1234" i="78"/>
  <c r="H1236" i="78"/>
  <c r="M1238" i="78"/>
  <c r="K1240" i="78"/>
  <c r="H1248" i="78"/>
  <c r="K1253" i="78"/>
  <c r="M1263" i="78"/>
  <c r="I1266" i="78"/>
  <c r="L1269" i="78"/>
  <c r="K1284" i="78"/>
  <c r="H1160" i="78"/>
  <c r="M1161" i="78"/>
  <c r="G1164" i="78"/>
  <c r="J1165" i="78"/>
  <c r="K1169" i="78"/>
  <c r="I1172" i="78"/>
  <c r="I1175" i="78"/>
  <c r="G1180" i="78"/>
  <c r="K1182" i="78"/>
  <c r="G1184" i="78"/>
  <c r="M1189" i="78"/>
  <c r="J1202" i="78"/>
  <c r="G1204" i="78"/>
  <c r="J1217" i="78"/>
  <c r="G1219" i="78"/>
  <c r="G1221" i="78"/>
  <c r="G1230" i="78"/>
  <c r="G1232" i="78"/>
  <c r="I1234" i="78"/>
  <c r="I1236" i="78"/>
  <c r="M1240" i="78"/>
  <c r="M1253" i="78"/>
  <c r="L1256" i="78"/>
  <c r="K1266" i="78"/>
  <c r="M1269" i="78"/>
  <c r="H1272" i="78"/>
  <c r="K1281" i="78"/>
  <c r="H1079" i="78"/>
  <c r="L1083" i="78"/>
  <c r="J1084" i="78"/>
  <c r="H1085" i="78"/>
  <c r="L1089" i="78"/>
  <c r="J1090" i="78"/>
  <c r="H1091" i="78"/>
  <c r="L1095" i="78"/>
  <c r="J1096" i="78"/>
  <c r="H1097" i="78"/>
  <c r="L1101" i="78"/>
  <c r="J1102" i="78"/>
  <c r="H1103" i="78"/>
  <c r="L1107" i="78"/>
  <c r="J1108" i="78"/>
  <c r="H1109" i="78"/>
  <c r="L1113" i="78"/>
  <c r="J1114" i="78"/>
  <c r="H1115" i="78"/>
  <c r="L1119" i="78"/>
  <c r="J1120" i="78"/>
  <c r="H1121" i="78"/>
  <c r="M1125" i="78"/>
  <c r="M1126" i="78"/>
  <c r="M1127" i="78"/>
  <c r="M1128" i="78"/>
  <c r="G1145" i="78"/>
  <c r="G1146" i="78"/>
  <c r="G1147" i="78"/>
  <c r="G1148" i="78"/>
  <c r="G1149" i="78"/>
  <c r="I1150" i="78"/>
  <c r="I1151" i="78"/>
  <c r="I1152" i="78"/>
  <c r="I1153" i="78"/>
  <c r="M1154" i="78"/>
  <c r="H1158" i="78"/>
  <c r="J1159" i="78"/>
  <c r="I1163" i="78"/>
  <c r="L1164" i="78"/>
  <c r="G1167" i="78"/>
  <c r="K1168" i="78"/>
  <c r="I1171" i="78"/>
  <c r="I1174" i="78"/>
  <c r="I1179" i="78"/>
  <c r="H1186" i="78"/>
  <c r="J1190" i="78"/>
  <c r="G1192" i="78"/>
  <c r="M1196" i="78"/>
  <c r="K1213" i="78"/>
  <c r="G1224" i="78"/>
  <c r="L1228" i="78"/>
  <c r="G1237" i="78"/>
  <c r="J1239" i="78"/>
  <c r="I1241" i="78"/>
  <c r="H1244" i="78"/>
  <c r="M1264" i="78"/>
  <c r="I1270" i="78"/>
  <c r="I1273" i="78"/>
  <c r="I1103" i="78"/>
  <c r="G1104" i="78"/>
  <c r="M1107" i="78"/>
  <c r="K1108" i="78"/>
  <c r="I1109" i="78"/>
  <c r="G1110" i="78"/>
  <c r="M1113" i="78"/>
  <c r="K1114" i="78"/>
  <c r="I1115" i="78"/>
  <c r="G1116" i="78"/>
  <c r="M1119" i="78"/>
  <c r="K1120" i="78"/>
  <c r="I1121" i="78"/>
  <c r="G1122" i="78"/>
  <c r="G1144" i="78"/>
  <c r="H1145" i="78"/>
  <c r="H1146" i="78"/>
  <c r="H1147" i="78"/>
  <c r="H1148" i="78"/>
  <c r="I1149" i="78"/>
  <c r="J1150" i="78"/>
  <c r="J1151" i="78"/>
  <c r="J1152" i="78"/>
  <c r="J1153" i="78"/>
  <c r="G1157" i="78"/>
  <c r="I1158" i="78"/>
  <c r="K1159" i="78"/>
  <c r="J1163" i="78"/>
  <c r="M1164" i="78"/>
  <c r="I1167" i="78"/>
  <c r="K1171" i="78"/>
  <c r="J1174" i="78"/>
  <c r="J1179" i="78"/>
  <c r="I1186" i="78"/>
  <c r="K1190" i="78"/>
  <c r="I1192" i="78"/>
  <c r="I1199" i="78"/>
  <c r="G1201" i="78"/>
  <c r="K1211" i="78"/>
  <c r="M1213" i="78"/>
  <c r="G1216" i="78"/>
  <c r="G1218" i="78"/>
  <c r="H1220" i="78"/>
  <c r="M1224" i="78"/>
  <c r="G1231" i="78"/>
  <c r="G1235" i="78"/>
  <c r="I1237" i="78"/>
  <c r="K1239" i="78"/>
  <c r="J1244" i="78"/>
  <c r="H1247" i="78"/>
  <c r="J1273" i="78"/>
  <c r="H1276" i="78"/>
  <c r="L1108" i="78"/>
  <c r="J1109" i="78"/>
  <c r="H1110" i="78"/>
  <c r="L1114" i="78"/>
  <c r="J1115" i="78"/>
  <c r="H1116" i="78"/>
  <c r="L1120" i="78"/>
  <c r="J1121" i="78"/>
  <c r="H1122" i="78"/>
  <c r="G1139" i="78"/>
  <c r="G1140" i="78"/>
  <c r="G1141" i="78"/>
  <c r="G1142" i="78"/>
  <c r="G1143" i="78"/>
  <c r="I1144" i="78"/>
  <c r="I1145" i="78"/>
  <c r="I1146" i="78"/>
  <c r="I1147" i="78"/>
  <c r="I1148" i="78"/>
  <c r="K1149" i="78"/>
  <c r="K1150" i="78"/>
  <c r="K1151" i="78"/>
  <c r="K1152" i="78"/>
  <c r="K1153" i="78"/>
  <c r="H1157" i="78"/>
  <c r="K1158" i="78"/>
  <c r="I1162" i="78"/>
  <c r="K1163" i="78"/>
  <c r="J1167" i="78"/>
  <c r="L1171" i="78"/>
  <c r="G1173" i="78"/>
  <c r="K1174" i="78"/>
  <c r="K1179" i="78"/>
  <c r="G1181" i="78"/>
  <c r="M1190" i="78"/>
  <c r="J1199" i="78"/>
  <c r="I1201" i="78"/>
  <c r="G1203" i="78"/>
  <c r="G1205" i="78"/>
  <c r="M1211" i="78"/>
  <c r="H1216" i="78"/>
  <c r="H1218" i="78"/>
  <c r="J1220" i="78"/>
  <c r="H1222" i="78"/>
  <c r="I1231" i="78"/>
  <c r="I1233" i="78"/>
  <c r="M1235" i="78"/>
  <c r="J1237" i="78"/>
  <c r="M1239" i="78"/>
  <c r="M1244" i="78"/>
  <c r="K1252" i="78"/>
  <c r="M1257" i="78"/>
  <c r="H1262" i="78"/>
  <c r="I1265" i="78"/>
  <c r="G1268" i="78"/>
  <c r="K1276" i="78"/>
  <c r="H1283" i="78"/>
  <c r="L1157" i="78"/>
  <c r="J1158" i="78"/>
  <c r="H1159" i="78"/>
  <c r="L1163" i="78"/>
  <c r="J1164" i="78"/>
  <c r="I1165" i="78"/>
  <c r="H1166" i="78"/>
  <c r="H1167" i="78"/>
  <c r="H1168" i="78"/>
  <c r="H1169" i="78"/>
  <c r="I1170" i="78"/>
  <c r="J1171" i="78"/>
  <c r="K1172" i="78"/>
  <c r="L1173" i="78"/>
  <c r="G1178" i="78"/>
  <c r="H1179" i="78"/>
  <c r="H1180" i="78"/>
  <c r="H1184" i="78"/>
  <c r="I1185" i="78"/>
  <c r="J1186" i="78"/>
  <c r="J1189" i="78"/>
  <c r="I1193" i="78"/>
  <c r="J1198" i="78"/>
  <c r="J1201" i="78"/>
  <c r="H1204" i="78"/>
  <c r="G1210" i="78"/>
  <c r="L1213" i="78"/>
  <c r="K1216" i="78"/>
  <c r="K1219" i="78"/>
  <c r="I1222" i="78"/>
  <c r="J1227" i="78"/>
  <c r="M1228" i="78"/>
  <c r="H1230" i="78"/>
  <c r="H1233" i="78"/>
  <c r="M1234" i="78"/>
  <c r="G1236" i="78"/>
  <c r="I1239" i="78"/>
  <c r="K1242" i="78"/>
  <c r="L1244" i="78"/>
  <c r="L1251" i="78"/>
  <c r="J1253" i="78"/>
  <c r="K1260" i="78"/>
  <c r="G1262" i="78"/>
  <c r="G1266" i="78"/>
  <c r="H1268" i="78"/>
  <c r="H1270" i="78"/>
  <c r="G1272" i="78"/>
  <c r="I1276" i="78"/>
  <c r="K1278" i="78"/>
  <c r="L1280" i="78"/>
  <c r="G1283" i="78"/>
  <c r="L1129" i="78"/>
  <c r="J1130" i="78"/>
  <c r="H1131" i="78"/>
  <c r="L1135" i="78"/>
  <c r="J1136" i="78"/>
  <c r="H1137" i="78"/>
  <c r="L1141" i="78"/>
  <c r="J1142" i="78"/>
  <c r="H1143" i="78"/>
  <c r="L1147" i="78"/>
  <c r="J1148" i="78"/>
  <c r="H1149" i="78"/>
  <c r="L1153" i="78"/>
  <c r="J1154" i="78"/>
  <c r="H1155" i="78"/>
  <c r="L1159" i="78"/>
  <c r="J1160" i="78"/>
  <c r="H1161" i="78"/>
  <c r="M1165" i="78"/>
  <c r="L1166" i="78"/>
  <c r="L1167" i="78"/>
  <c r="M1168" i="78"/>
  <c r="J1177" i="78"/>
  <c r="K1178" i="78"/>
  <c r="L1179" i="78"/>
  <c r="J1183" i="78"/>
  <c r="L1184" i="78"/>
  <c r="K1188" i="78"/>
  <c r="G1191" i="78"/>
  <c r="J1192" i="78"/>
  <c r="I1200" i="78"/>
  <c r="I1203" i="78"/>
  <c r="G1209" i="78"/>
  <c r="L1212" i="78"/>
  <c r="K1215" i="78"/>
  <c r="G1217" i="78"/>
  <c r="L1218" i="78"/>
  <c r="I1221" i="78"/>
  <c r="H1229" i="78"/>
  <c r="H1232" i="78"/>
  <c r="M1233" i="78"/>
  <c r="H1235" i="78"/>
  <c r="H1238" i="78"/>
  <c r="J1241" i="78"/>
  <c r="G1243" i="78"/>
  <c r="J1250" i="78"/>
  <c r="H1252" i="78"/>
  <c r="J1259" i="78"/>
  <c r="H1277" i="78"/>
  <c r="L1281" i="78"/>
  <c r="G1286" i="78"/>
  <c r="M1153" i="78"/>
  <c r="K1154" i="78"/>
  <c r="I1155" i="78"/>
  <c r="G1156" i="78"/>
  <c r="M1159" i="78"/>
  <c r="K1160" i="78"/>
  <c r="I1161" i="78"/>
  <c r="G1162" i="78"/>
  <c r="M1166" i="78"/>
  <c r="M1167" i="78"/>
  <c r="G1176" i="78"/>
  <c r="K1177" i="78"/>
  <c r="L1178" i="78"/>
  <c r="M1179" i="78"/>
  <c r="K1183" i="78"/>
  <c r="M1184" i="78"/>
  <c r="L1188" i="78"/>
  <c r="H1191" i="78"/>
  <c r="K1197" i="78"/>
  <c r="K1200" i="78"/>
  <c r="G1202" i="78"/>
  <c r="J1203" i="78"/>
  <c r="G1206" i="78"/>
  <c r="H1209" i="78"/>
  <c r="M1212" i="78"/>
  <c r="L1215" i="78"/>
  <c r="H1217" i="78"/>
  <c r="M1218" i="78"/>
  <c r="J1221" i="78"/>
  <c r="K1226" i="78"/>
  <c r="I1229" i="78"/>
  <c r="I1232" i="78"/>
  <c r="I1235" i="78"/>
  <c r="J1238" i="78"/>
  <c r="K1241" i="78"/>
  <c r="I1243" i="78"/>
  <c r="L1250" i="78"/>
  <c r="I1252" i="78"/>
  <c r="H1254" i="78"/>
  <c r="J1263" i="78"/>
  <c r="G1271" i="78"/>
  <c r="I1277" i="78"/>
  <c r="M1281" i="78"/>
  <c r="G1284" i="78"/>
  <c r="L1286" i="78"/>
  <c r="J1125" i="78"/>
  <c r="H1126" i="78"/>
  <c r="L1130" i="78"/>
  <c r="J1131" i="78"/>
  <c r="H1132" i="78"/>
  <c r="L1136" i="78"/>
  <c r="J1137" i="78"/>
  <c r="H1138" i="78"/>
  <c r="L1142" i="78"/>
  <c r="J1143" i="78"/>
  <c r="H1144" i="78"/>
  <c r="L1148" i="78"/>
  <c r="J1149" i="78"/>
  <c r="H1150" i="78"/>
  <c r="L1154" i="78"/>
  <c r="J1155" i="78"/>
  <c r="H1156" i="78"/>
  <c r="L1160" i="78"/>
  <c r="J1161" i="78"/>
  <c r="H1162" i="78"/>
  <c r="G1175" i="78"/>
  <c r="K1176" i="78"/>
  <c r="L1177" i="78"/>
  <c r="M1178" i="78"/>
  <c r="L1183" i="78"/>
  <c r="M1188" i="78"/>
  <c r="G1190" i="78"/>
  <c r="I1191" i="78"/>
  <c r="G1194" i="78"/>
  <c r="L1197" i="78"/>
  <c r="L1200" i="78"/>
  <c r="H1202" i="78"/>
  <c r="L1203" i="78"/>
  <c r="I1206" i="78"/>
  <c r="M1209" i="78"/>
  <c r="I1214" i="78"/>
  <c r="I1217" i="78"/>
  <c r="G1220" i="78"/>
  <c r="G1223" i="78"/>
  <c r="L1226" i="78"/>
  <c r="J1229" i="78"/>
  <c r="J1232" i="78"/>
  <c r="J1235" i="78"/>
  <c r="K1238" i="78"/>
  <c r="G1240" i="78"/>
  <c r="J1243" i="78"/>
  <c r="K1245" i="78"/>
  <c r="G1247" i="78"/>
  <c r="J1252" i="78"/>
  <c r="I1254" i="78"/>
  <c r="G1261" i="78"/>
  <c r="K1263" i="78"/>
  <c r="H1265" i="78"/>
  <c r="H1271" i="78"/>
  <c r="G1273" i="78"/>
  <c r="J1277" i="78"/>
  <c r="G1279" i="78"/>
  <c r="H1284" i="78"/>
  <c r="I1283" i="78"/>
  <c r="L1190" i="78"/>
  <c r="J1191" i="78"/>
  <c r="H1192" i="78"/>
  <c r="G1193" i="78"/>
  <c r="M1201" i="78"/>
  <c r="L1202" i="78"/>
  <c r="K1203" i="78"/>
  <c r="J1204" i="78"/>
  <c r="I1205" i="78"/>
  <c r="H1206" i="78"/>
  <c r="G1207" i="78"/>
  <c r="G1208" i="78"/>
  <c r="M1215" i="78"/>
  <c r="L1216" i="78"/>
  <c r="K1217" i="78"/>
  <c r="K1218" i="78"/>
  <c r="J1219" i="78"/>
  <c r="I1220" i="78"/>
  <c r="H1221" i="78"/>
  <c r="G1222" i="78"/>
  <c r="M1230" i="78"/>
  <c r="L1231" i="78"/>
  <c r="K1232" i="78"/>
  <c r="K1233" i="78"/>
  <c r="K1234" i="78"/>
  <c r="K1235" i="78"/>
  <c r="K1236" i="78"/>
  <c r="L1237" i="78"/>
  <c r="L1238" i="78"/>
  <c r="L1239" i="78"/>
  <c r="L1240" i="78"/>
  <c r="M1241" i="78"/>
  <c r="L1242" i="78"/>
  <c r="H1250" i="78"/>
  <c r="K1251" i="78"/>
  <c r="L1252" i="78"/>
  <c r="H1259" i="78"/>
  <c r="H1260" i="78"/>
  <c r="I1261" i="78"/>
  <c r="M1262" i="78"/>
  <c r="G1265" i="78"/>
  <c r="H1266" i="78"/>
  <c r="J1267" i="78"/>
  <c r="I1271" i="78"/>
  <c r="K1272" i="78"/>
  <c r="J1276" i="78"/>
  <c r="M1280" i="78"/>
  <c r="J1283" i="78"/>
  <c r="K1180" i="78"/>
  <c r="I1181" i="78"/>
  <c r="G1182" i="78"/>
  <c r="M1185" i="78"/>
  <c r="K1186" i="78"/>
  <c r="I1187" i="78"/>
  <c r="G1188" i="78"/>
  <c r="M1191" i="78"/>
  <c r="K1192" i="78"/>
  <c r="J1193" i="78"/>
  <c r="I1194" i="78"/>
  <c r="I1195" i="78"/>
  <c r="H1196" i="78"/>
  <c r="G1197" i="78"/>
  <c r="M1204" i="78"/>
  <c r="M1205" i="78"/>
  <c r="L1206" i="78"/>
  <c r="K1207" i="78"/>
  <c r="J1208" i="78"/>
  <c r="I1209" i="78"/>
  <c r="H1210" i="78"/>
  <c r="G1211" i="78"/>
  <c r="M1219" i="78"/>
  <c r="L1220" i="78"/>
  <c r="K1221" i="78"/>
  <c r="J1222" i="78"/>
  <c r="I1223" i="78"/>
  <c r="H1224" i="78"/>
  <c r="G1225" i="78"/>
  <c r="G1226" i="78"/>
  <c r="H1246" i="78"/>
  <c r="I1247" i="78"/>
  <c r="I1248" i="78"/>
  <c r="J1249" i="78"/>
  <c r="M1250" i="78"/>
  <c r="H1257" i="78"/>
  <c r="J1258" i="78"/>
  <c r="K1259" i="78"/>
  <c r="L1260" i="78"/>
  <c r="H1264" i="78"/>
  <c r="J1265" i="78"/>
  <c r="L1266" i="78"/>
  <c r="J1270" i="78"/>
  <c r="M1271" i="78"/>
  <c r="J1275" i="78"/>
  <c r="M1276" i="78"/>
  <c r="I1279" i="78"/>
  <c r="J1282" i="78"/>
  <c r="M1286" i="78"/>
  <c r="L1168" i="78"/>
  <c r="J1169" i="78"/>
  <c r="H1170" i="78"/>
  <c r="L1174" i="78"/>
  <c r="J1175" i="78"/>
  <c r="H1176" i="78"/>
  <c r="L1180" i="78"/>
  <c r="J1181" i="78"/>
  <c r="H1182" i="78"/>
  <c r="L1186" i="78"/>
  <c r="J1187" i="78"/>
  <c r="H1188" i="78"/>
  <c r="L1192" i="78"/>
  <c r="K1193" i="78"/>
  <c r="K1194" i="78"/>
  <c r="J1195" i="78"/>
  <c r="I1196" i="78"/>
  <c r="H1197" i="78"/>
  <c r="G1198" i="78"/>
  <c r="M1206" i="78"/>
  <c r="L1207" i="78"/>
  <c r="K1208" i="78"/>
  <c r="J1209" i="78"/>
  <c r="I1210" i="78"/>
  <c r="H1211" i="78"/>
  <c r="G1212" i="78"/>
  <c r="M1220" i="78"/>
  <c r="L1221" i="78"/>
  <c r="K1222" i="78"/>
  <c r="J1223" i="78"/>
  <c r="I1224" i="78"/>
  <c r="I1225" i="78"/>
  <c r="H1226" i="78"/>
  <c r="G1227" i="78"/>
  <c r="I1246" i="78"/>
  <c r="J1247" i="78"/>
  <c r="K1248" i="78"/>
  <c r="L1249" i="78"/>
  <c r="G1256" i="78"/>
  <c r="J1257" i="78"/>
  <c r="K1258" i="78"/>
  <c r="M1259" i="78"/>
  <c r="I1264" i="78"/>
  <c r="K1265" i="78"/>
  <c r="K1270" i="78"/>
  <c r="K1275" i="78"/>
  <c r="G1278" i="78"/>
  <c r="K1282" i="78"/>
  <c r="M1174" i="78"/>
  <c r="K1175" i="78"/>
  <c r="I1176" i="78"/>
  <c r="G1177" i="78"/>
  <c r="M1180" i="78"/>
  <c r="K1181" i="78"/>
  <c r="I1182" i="78"/>
  <c r="G1183" i="78"/>
  <c r="M1186" i="78"/>
  <c r="K1187" i="78"/>
  <c r="I1188" i="78"/>
  <c r="G1189" i="78"/>
  <c r="M1192" i="78"/>
  <c r="M1193" i="78"/>
  <c r="L1194" i="78"/>
  <c r="K1195" i="78"/>
  <c r="J1196" i="78"/>
  <c r="I1197" i="78"/>
  <c r="H1198" i="78"/>
  <c r="G1199" i="78"/>
  <c r="M1207" i="78"/>
  <c r="L1208" i="78"/>
  <c r="K1209" i="78"/>
  <c r="J1210" i="78"/>
  <c r="I1211" i="78"/>
  <c r="H1212" i="78"/>
  <c r="G1213" i="78"/>
  <c r="G1214" i="78"/>
  <c r="M1221" i="78"/>
  <c r="L1222" i="78"/>
  <c r="K1223" i="78"/>
  <c r="K1224" i="78"/>
  <c r="J1225" i="78"/>
  <c r="I1226" i="78"/>
  <c r="H1227" i="78"/>
  <c r="G1228" i="78"/>
  <c r="H1245" i="78"/>
  <c r="J1246" i="78"/>
  <c r="K1247" i="78"/>
  <c r="L1248" i="78"/>
  <c r="H1256" i="78"/>
  <c r="K1257" i="78"/>
  <c r="L1258" i="78"/>
  <c r="J1264" i="78"/>
  <c r="M1265" i="78"/>
  <c r="J1269" i="78"/>
  <c r="L1270" i="78"/>
  <c r="G1274" i="78"/>
  <c r="L1275" i="78"/>
  <c r="H1278" i="78"/>
  <c r="L1282" i="78"/>
  <c r="G1285" i="78"/>
  <c r="H1165" i="78"/>
  <c r="L1169" i="78"/>
  <c r="J1170" i="78"/>
  <c r="H1171" i="78"/>
  <c r="L1175" i="78"/>
  <c r="J1176" i="78"/>
  <c r="H1177" i="78"/>
  <c r="L1181" i="78"/>
  <c r="J1182" i="78"/>
  <c r="H1183" i="78"/>
  <c r="L1187" i="78"/>
  <c r="J1188" i="78"/>
  <c r="H1189" i="78"/>
  <c r="M1194" i="78"/>
  <c r="L1195" i="78"/>
  <c r="K1196" i="78"/>
  <c r="J1197" i="78"/>
  <c r="I1198" i="78"/>
  <c r="H1199" i="78"/>
  <c r="G1200" i="78"/>
  <c r="M1208" i="78"/>
  <c r="L1209" i="78"/>
  <c r="K1210" i="78"/>
  <c r="J1211" i="78"/>
  <c r="I1212" i="78"/>
  <c r="I1213" i="78"/>
  <c r="H1214" i="78"/>
  <c r="G1215" i="78"/>
  <c r="M1222" i="78"/>
  <c r="M1223" i="78"/>
  <c r="L1224" i="78"/>
  <c r="K1225" i="78"/>
  <c r="J1226" i="78"/>
  <c r="I1227" i="78"/>
  <c r="H1228" i="78"/>
  <c r="G1229" i="78"/>
  <c r="G1244" i="78"/>
  <c r="J1245" i="78"/>
  <c r="K1246" i="78"/>
  <c r="M1247" i="78"/>
  <c r="G1253" i="78"/>
  <c r="G1254" i="78"/>
  <c r="G1255" i="78"/>
  <c r="J1256" i="78"/>
  <c r="L1257" i="78"/>
  <c r="M1258" i="78"/>
  <c r="K1264" i="78"/>
  <c r="K1269" i="78"/>
  <c r="M1270" i="78"/>
  <c r="H1274" i="78"/>
  <c r="M1275" i="78"/>
  <c r="G1277" i="78"/>
  <c r="I1278" i="78"/>
  <c r="J1281" i="78"/>
  <c r="M1282" i="78"/>
  <c r="I1285" i="78"/>
  <c r="L1193" i="78"/>
  <c r="J1194" i="78"/>
  <c r="H1195" i="78"/>
  <c r="L1199" i="78"/>
  <c r="J1200" i="78"/>
  <c r="H1201" i="78"/>
  <c r="L1205" i="78"/>
  <c r="J1206" i="78"/>
  <c r="H1207" i="78"/>
  <c r="L1211" i="78"/>
  <c r="J1212" i="78"/>
  <c r="H1213" i="78"/>
  <c r="L1217" i="78"/>
  <c r="J1218" i="78"/>
  <c r="H1219" i="78"/>
  <c r="L1223" i="78"/>
  <c r="J1224" i="78"/>
  <c r="H1225" i="78"/>
  <c r="L1229" i="78"/>
  <c r="J1230" i="78"/>
  <c r="H1231" i="78"/>
  <c r="L1235" i="78"/>
  <c r="J1236" i="78"/>
  <c r="H1237" i="78"/>
  <c r="L1241" i="78"/>
  <c r="J1242" i="78"/>
  <c r="H1243" i="78"/>
  <c r="L1247" i="78"/>
  <c r="J1248" i="78"/>
  <c r="H1249" i="78"/>
  <c r="L1253" i="78"/>
  <c r="J1254" i="78"/>
  <c r="H1255" i="78"/>
  <c r="L1259" i="78"/>
  <c r="J1260" i="78"/>
  <c r="H1261" i="78"/>
  <c r="L1265" i="78"/>
  <c r="J1266" i="78"/>
  <c r="H1267" i="78"/>
  <c r="L1271" i="78"/>
  <c r="J1272" i="78"/>
  <c r="H1273" i="78"/>
  <c r="L1277" i="78"/>
  <c r="J1278" i="78"/>
  <c r="H1279" i="78"/>
  <c r="L1283" i="78"/>
  <c r="J1284" i="78"/>
  <c r="H1285" i="78"/>
  <c r="L1278" i="78"/>
  <c r="J1279" i="78"/>
  <c r="H1280" i="78"/>
  <c r="L1284" i="78"/>
  <c r="J1285" i="78"/>
  <c r="H1286" i="78"/>
  <c r="G1233" i="78"/>
  <c r="M1236" i="78"/>
  <c r="K1237" i="78"/>
  <c r="I1238" i="78"/>
  <c r="G1239" i="78"/>
  <c r="M1242" i="78"/>
  <c r="K1243" i="78"/>
  <c r="I1244" i="78"/>
  <c r="G1245" i="78"/>
  <c r="M1248" i="78"/>
  <c r="K1249" i="78"/>
  <c r="I1250" i="78"/>
  <c r="G1251" i="78"/>
  <c r="M1254" i="78"/>
  <c r="K1255" i="78"/>
  <c r="I1256" i="78"/>
  <c r="G1257" i="78"/>
  <c r="M1260" i="78"/>
  <c r="K1261" i="78"/>
  <c r="I1262" i="78"/>
  <c r="G1263" i="78"/>
  <c r="M1266" i="78"/>
  <c r="K1267" i="78"/>
  <c r="I1268" i="78"/>
  <c r="G1269" i="78"/>
  <c r="M1272" i="78"/>
  <c r="K1273" i="78"/>
  <c r="I1274" i="78"/>
  <c r="G1275" i="78"/>
  <c r="M1278" i="78"/>
  <c r="K1279" i="78"/>
  <c r="I1280" i="78"/>
  <c r="G1281" i="78"/>
  <c r="M1284" i="78"/>
  <c r="K1285" i="78"/>
  <c r="I1286" i="78"/>
  <c r="G1287" i="78"/>
  <c r="J1262" i="78"/>
  <c r="H1263" i="78"/>
  <c r="L1267" i="78"/>
  <c r="J1268" i="78"/>
  <c r="H1269" i="78"/>
  <c r="L1273" i="78"/>
  <c r="J1274" i="78"/>
  <c r="H1275" i="78"/>
  <c r="L1279" i="78"/>
  <c r="J1280" i="78"/>
  <c r="H1281" i="78"/>
  <c r="L1285" i="78"/>
  <c r="J1286" i="78"/>
  <c r="H1287" i="78"/>
  <c r="M1243" i="78"/>
  <c r="K1244" i="78"/>
  <c r="I1245" i="78"/>
  <c r="G1246" i="78"/>
  <c r="M1249" i="78"/>
  <c r="K1250" i="78"/>
  <c r="I1251" i="78"/>
  <c r="G1252" i="78"/>
  <c r="M1255" i="78"/>
  <c r="K1256" i="78"/>
  <c r="I1257" i="78"/>
  <c r="G1258" i="78"/>
  <c r="M1261" i="78"/>
  <c r="K1262" i="78"/>
  <c r="I1263" i="78"/>
  <c r="G1264" i="78"/>
  <c r="M1267" i="78"/>
  <c r="K1268" i="78"/>
  <c r="I1269" i="78"/>
  <c r="G1270" i="78"/>
  <c r="M1273" i="78"/>
  <c r="K1274" i="78"/>
  <c r="I1275" i="78"/>
  <c r="G1276" i="78"/>
  <c r="M1279" i="78"/>
  <c r="K1280" i="78"/>
  <c r="I1281" i="78"/>
  <c r="G1282" i="78"/>
  <c r="M1285" i="78"/>
  <c r="K1286" i="78"/>
  <c r="I1287" i="78"/>
  <c r="J1287" i="78"/>
  <c r="K1287" i="78"/>
  <c r="L1287" i="78"/>
  <c r="M1287" i="78"/>
  <c r="L154" i="78"/>
  <c r="M154" i="78"/>
  <c r="K233" i="78"/>
  <c r="L233" i="78"/>
  <c r="H101" i="78"/>
  <c r="J125" i="78"/>
  <c r="I132" i="78"/>
  <c r="G170" i="78"/>
  <c r="M157" i="78"/>
  <c r="K218" i="78"/>
  <c r="J102" i="78"/>
  <c r="J116" i="78"/>
  <c r="H139" i="78"/>
  <c r="M210" i="78"/>
  <c r="M245" i="78"/>
  <c r="H92" i="78"/>
  <c r="H125" i="78"/>
  <c r="M105" i="78"/>
  <c r="L137" i="78"/>
  <c r="K199" i="78"/>
  <c r="I120" i="78"/>
  <c r="L163" i="78"/>
  <c r="J120" i="78"/>
  <c r="M163" i="78"/>
  <c r="I102" i="78"/>
  <c r="J132" i="78"/>
  <c r="L245" i="78"/>
  <c r="I107" i="78"/>
  <c r="K102" i="78"/>
  <c r="J107" i="78"/>
  <c r="H122" i="78"/>
  <c r="I139" i="78"/>
  <c r="I229" i="78"/>
  <c r="G238" i="78"/>
  <c r="J142" i="78"/>
  <c r="G110" i="78"/>
  <c r="J241" i="78"/>
  <c r="K114" i="78"/>
  <c r="J206" i="78"/>
  <c r="I125" i="78"/>
  <c r="M137" i="78"/>
  <c r="L157" i="78"/>
  <c r="K173" i="78"/>
  <c r="J95" i="78"/>
  <c r="L99" i="78"/>
  <c r="K112" i="78"/>
  <c r="L173" i="78"/>
  <c r="L95" i="78"/>
  <c r="I241" i="78"/>
  <c r="I183" i="78"/>
  <c r="I206" i="78"/>
  <c r="L96" i="78"/>
  <c r="I149" i="78"/>
  <c r="H120" i="78"/>
  <c r="G176" i="78"/>
  <c r="H132" i="78"/>
  <c r="K144" i="78"/>
  <c r="L144" i="78"/>
  <c r="K107" i="78"/>
  <c r="J122" i="78"/>
  <c r="K95" i="78"/>
  <c r="M99" i="78"/>
  <c r="M129" i="78"/>
  <c r="K154" i="78"/>
  <c r="I213" i="78"/>
  <c r="K206" i="78"/>
  <c r="J94" i="78"/>
  <c r="I101" i="78"/>
  <c r="L114" i="78"/>
  <c r="K125" i="78"/>
  <c r="K132" i="78"/>
  <c r="M164" i="78"/>
  <c r="M173" i="78"/>
  <c r="L199" i="78"/>
  <c r="M238" i="78"/>
  <c r="K94" i="78"/>
  <c r="H98" i="78"/>
  <c r="G104" i="78"/>
  <c r="G109" i="78"/>
  <c r="M114" i="78"/>
  <c r="H143" i="78"/>
  <c r="H150" i="78"/>
  <c r="I170" i="78"/>
  <c r="H188" i="78"/>
  <c r="G207" i="78"/>
  <c r="J234" i="78"/>
  <c r="L94" i="78"/>
  <c r="M125" i="78"/>
  <c r="I143" i="78"/>
  <c r="I181" i="78"/>
  <c r="L204" i="78"/>
  <c r="M211" i="78"/>
  <c r="K227" i="78"/>
  <c r="K234" i="78"/>
  <c r="H97" i="78"/>
  <c r="I109" i="78"/>
  <c r="H121" i="78"/>
  <c r="G138" i="78"/>
  <c r="J174" i="78"/>
  <c r="I193" i="78"/>
  <c r="M204" i="78"/>
  <c r="I223" i="78"/>
  <c r="H231" i="78"/>
  <c r="J247" i="78"/>
  <c r="G96" i="78"/>
  <c r="I97" i="78"/>
  <c r="J100" i="78"/>
  <c r="M101" i="78"/>
  <c r="G103" i="78"/>
  <c r="L106" i="78"/>
  <c r="G108" i="78"/>
  <c r="I119" i="78"/>
  <c r="I121" i="78"/>
  <c r="J126" i="78"/>
  <c r="G128" i="78"/>
  <c r="H131" i="78"/>
  <c r="J133" i="78"/>
  <c r="J136" i="78"/>
  <c r="K143" i="78"/>
  <c r="M148" i="78"/>
  <c r="K150" i="78"/>
  <c r="J159" i="78"/>
  <c r="G168" i="78"/>
  <c r="I186" i="78"/>
  <c r="J193" i="78"/>
  <c r="L197" i="78"/>
  <c r="J200" i="78"/>
  <c r="I216" i="78"/>
  <c r="M227" i="78"/>
  <c r="I231" i="78"/>
  <c r="K247" i="78"/>
  <c r="G98" i="78"/>
  <c r="L112" i="78"/>
  <c r="M130" i="78"/>
  <c r="L147" i="78"/>
  <c r="G177" i="78"/>
  <c r="G188" i="78"/>
  <c r="I234" i="78"/>
  <c r="L161" i="78"/>
  <c r="G223" i="78"/>
  <c r="K101" i="78"/>
  <c r="M161" i="78"/>
  <c r="I177" i="78"/>
  <c r="K106" i="78"/>
  <c r="L111" i="78"/>
  <c r="L117" i="78"/>
  <c r="J121" i="78"/>
  <c r="K126" i="78"/>
  <c r="I131" i="78"/>
  <c r="K136" i="78"/>
  <c r="L143" i="78"/>
  <c r="J156" i="78"/>
  <c r="K159" i="78"/>
  <c r="L175" i="78"/>
  <c r="J186" i="78"/>
  <c r="K193" i="78"/>
  <c r="M197" i="78"/>
  <c r="J216" i="78"/>
  <c r="G220" i="78"/>
  <c r="J224" i="78"/>
  <c r="J240" i="78"/>
  <c r="G243" i="78"/>
  <c r="L247" i="78"/>
  <c r="G202" i="78"/>
  <c r="I222" i="78"/>
  <c r="L107" i="78"/>
  <c r="K116" i="78"/>
  <c r="G150" i="78"/>
  <c r="H170" i="78"/>
  <c r="G195" i="78"/>
  <c r="J101" i="78"/>
  <c r="M107" i="78"/>
  <c r="M112" i="78"/>
  <c r="L125" i="78"/>
  <c r="G140" i="78"/>
  <c r="M147" i="78"/>
  <c r="H177" i="78"/>
  <c r="L192" i="78"/>
  <c r="L211" i="78"/>
  <c r="G97" i="78"/>
  <c r="J106" i="78"/>
  <c r="H109" i="78"/>
  <c r="G121" i="78"/>
  <c r="H133" i="78"/>
  <c r="H140" i="78"/>
  <c r="I150" i="78"/>
  <c r="J158" i="78"/>
  <c r="H200" i="78"/>
  <c r="H223" i="78"/>
  <c r="G231" i="78"/>
  <c r="I247" i="78"/>
  <c r="M94" i="78"/>
  <c r="L101" i="78"/>
  <c r="H119" i="78"/>
  <c r="I133" i="78"/>
  <c r="J143" i="78"/>
  <c r="J150" i="78"/>
  <c r="K171" i="78"/>
  <c r="I200" i="78"/>
  <c r="L227" i="78"/>
  <c r="L93" i="78"/>
  <c r="H96" i="78"/>
  <c r="J97" i="78"/>
  <c r="K100" i="78"/>
  <c r="H103" i="78"/>
  <c r="M106" i="78"/>
  <c r="H108" i="78"/>
  <c r="K113" i="78"/>
  <c r="K115" i="78"/>
  <c r="M93" i="78"/>
  <c r="I96" i="78"/>
  <c r="L100" i="78"/>
  <c r="I103" i="78"/>
  <c r="I108" i="78"/>
  <c r="M111" i="78"/>
  <c r="L113" i="78"/>
  <c r="L115" i="78"/>
  <c r="M117" i="78"/>
  <c r="L121" i="78"/>
  <c r="L126" i="78"/>
  <c r="L136" i="78"/>
  <c r="M143" i="78"/>
  <c r="H151" i="78"/>
  <c r="K156" i="78"/>
  <c r="M159" i="78"/>
  <c r="M175" i="78"/>
  <c r="G182" i="78"/>
  <c r="K186" i="78"/>
  <c r="M190" i="78"/>
  <c r="L193" i="78"/>
  <c r="G205" i="78"/>
  <c r="M220" i="78"/>
  <c r="K224" i="78"/>
  <c r="K240" i="78"/>
  <c r="H95" i="78"/>
  <c r="J96" i="78"/>
  <c r="M100" i="78"/>
  <c r="G102" i="78"/>
  <c r="J108" i="78"/>
  <c r="M113" i="78"/>
  <c r="M115" i="78"/>
  <c r="J124" i="78"/>
  <c r="M136" i="78"/>
  <c r="I151" i="78"/>
  <c r="L156" i="78"/>
  <c r="G172" i="78"/>
  <c r="L179" i="78"/>
  <c r="H182" i="78"/>
  <c r="L186" i="78"/>
  <c r="G213" i="78"/>
  <c r="L217" i="78"/>
  <c r="G229" i="78"/>
  <c r="G236" i="78"/>
  <c r="L240" i="78"/>
  <c r="H248" i="78"/>
  <c r="M95" i="78"/>
  <c r="G92" i="78"/>
  <c r="I95" i="78"/>
  <c r="K96" i="78"/>
  <c r="H102" i="78"/>
  <c r="L105" i="78"/>
  <c r="H107" i="78"/>
  <c r="K108" i="78"/>
  <c r="G120" i="78"/>
  <c r="G122" i="78"/>
  <c r="L129" i="78"/>
  <c r="G132" i="78"/>
  <c r="G139" i="78"/>
  <c r="J144" i="78"/>
  <c r="G146" i="78"/>
  <c r="H149" i="78"/>
  <c r="J151" i="78"/>
  <c r="J154" i="78"/>
  <c r="I172" i="78"/>
  <c r="M179" i="78"/>
  <c r="M186" i="78"/>
  <c r="H206" i="78"/>
  <c r="K209" i="78"/>
  <c r="H213" i="78"/>
  <c r="M217" i="78"/>
  <c r="H229" i="78"/>
  <c r="H236" i="78"/>
  <c r="H104" i="78"/>
  <c r="J109" i="78"/>
  <c r="L132" i="78"/>
  <c r="H138" i="78"/>
  <c r="M180" i="78"/>
  <c r="L209" i="78"/>
  <c r="G230" i="78"/>
  <c r="I248" i="78"/>
  <c r="I92" i="78"/>
  <c r="G93" i="78"/>
  <c r="M96" i="78"/>
  <c r="K97" i="78"/>
  <c r="I98" i="78"/>
  <c r="G99" i="78"/>
  <c r="M102" i="78"/>
  <c r="K103" i="78"/>
  <c r="I104" i="78"/>
  <c r="G105" i="78"/>
  <c r="M108" i="78"/>
  <c r="K109" i="78"/>
  <c r="I110" i="78"/>
  <c r="G111" i="78"/>
  <c r="K119" i="78"/>
  <c r="L120" i="78"/>
  <c r="L124" i="78"/>
  <c r="G127" i="78"/>
  <c r="K131" i="78"/>
  <c r="M135" i="78"/>
  <c r="I138" i="78"/>
  <c r="L142" i="78"/>
  <c r="G145" i="78"/>
  <c r="K149" i="78"/>
  <c r="M153" i="78"/>
  <c r="L158" i="78"/>
  <c r="K160" i="78"/>
  <c r="M172" i="78"/>
  <c r="L174" i="78"/>
  <c r="I178" i="78"/>
  <c r="J182" i="78"/>
  <c r="G189" i="78"/>
  <c r="I205" i="78"/>
  <c r="I207" i="78"/>
  <c r="M214" i="78"/>
  <c r="L216" i="78"/>
  <c r="L221" i="78"/>
  <c r="K223" i="78"/>
  <c r="H230" i="78"/>
  <c r="M234" i="78"/>
  <c r="L241" i="78"/>
  <c r="J248" i="78"/>
  <c r="J103" i="78"/>
  <c r="K120" i="78"/>
  <c r="H128" i="78"/>
  <c r="M156" i="78"/>
  <c r="G178" i="78"/>
  <c r="H93" i="78"/>
  <c r="J98" i="78"/>
  <c r="H105" i="78"/>
  <c r="J110" i="78"/>
  <c r="H111" i="78"/>
  <c r="G114" i="78"/>
  <c r="G115" i="78"/>
  <c r="J118" i="78"/>
  <c r="L119" i="78"/>
  <c r="M124" i="78"/>
  <c r="H127" i="78"/>
  <c r="L131" i="78"/>
  <c r="H137" i="78"/>
  <c r="J138" i="78"/>
  <c r="M142" i="78"/>
  <c r="H145" i="78"/>
  <c r="L149" i="78"/>
  <c r="I155" i="78"/>
  <c r="M158" i="78"/>
  <c r="M160" i="78"/>
  <c r="G169" i="78"/>
  <c r="M174" i="78"/>
  <c r="M178" i="78"/>
  <c r="K182" i="78"/>
  <c r="L187" i="78"/>
  <c r="H189" i="78"/>
  <c r="G196" i="78"/>
  <c r="G199" i="78"/>
  <c r="K203" i="78"/>
  <c r="I210" i="78"/>
  <c r="G212" i="78"/>
  <c r="M221" i="78"/>
  <c r="L223" i="78"/>
  <c r="L228" i="78"/>
  <c r="I230" i="78"/>
  <c r="M241" i="78"/>
  <c r="I246" i="78"/>
  <c r="K248" i="78"/>
  <c r="L102" i="78"/>
  <c r="L108" i="78"/>
  <c r="L135" i="78"/>
  <c r="J139" i="78"/>
  <c r="J149" i="78"/>
  <c r="L153" i="78"/>
  <c r="K158" i="78"/>
  <c r="K174" i="78"/>
  <c r="I182" i="78"/>
  <c r="M193" i="78"/>
  <c r="K200" i="78"/>
  <c r="H207" i="78"/>
  <c r="K216" i="78"/>
  <c r="K241" i="78"/>
  <c r="J92" i="78"/>
  <c r="L97" i="78"/>
  <c r="H99" i="78"/>
  <c r="L103" i="78"/>
  <c r="J104" i="78"/>
  <c r="L109" i="78"/>
  <c r="K92" i="78"/>
  <c r="I93" i="78"/>
  <c r="G94" i="78"/>
  <c r="M97" i="78"/>
  <c r="K98" i="78"/>
  <c r="I99" i="78"/>
  <c r="G100" i="78"/>
  <c r="M103" i="78"/>
  <c r="K104" i="78"/>
  <c r="I105" i="78"/>
  <c r="G106" i="78"/>
  <c r="M109" i="78"/>
  <c r="K110" i="78"/>
  <c r="I111" i="78"/>
  <c r="G112" i="78"/>
  <c r="H113" i="78"/>
  <c r="H114" i="78"/>
  <c r="H115" i="78"/>
  <c r="G116" i="78"/>
  <c r="G117" i="78"/>
  <c r="K118" i="78"/>
  <c r="M119" i="78"/>
  <c r="G126" i="78"/>
  <c r="I127" i="78"/>
  <c r="J130" i="78"/>
  <c r="M131" i="78"/>
  <c r="G134" i="78"/>
  <c r="I137" i="78"/>
  <c r="K138" i="78"/>
  <c r="G144" i="78"/>
  <c r="I145" i="78"/>
  <c r="J148" i="78"/>
  <c r="M149" i="78"/>
  <c r="G152" i="78"/>
  <c r="K155" i="78"/>
  <c r="L162" i="78"/>
  <c r="H169" i="78"/>
  <c r="G171" i="78"/>
  <c r="M187" i="78"/>
  <c r="I189" i="78"/>
  <c r="I192" i="78"/>
  <c r="K194" i="78"/>
  <c r="M196" i="78"/>
  <c r="H199" i="78"/>
  <c r="L203" i="78"/>
  <c r="J210" i="78"/>
  <c r="H212" i="78"/>
  <c r="I217" i="78"/>
  <c r="M228" i="78"/>
  <c r="J230" i="78"/>
  <c r="G237" i="78"/>
  <c r="L104" i="78"/>
  <c r="J105" i="78"/>
  <c r="H106" i="78"/>
  <c r="L110" i="78"/>
  <c r="J111" i="78"/>
  <c r="H112" i="78"/>
  <c r="I113" i="78"/>
  <c r="I114" i="78"/>
  <c r="I115" i="78"/>
  <c r="H116" i="78"/>
  <c r="H117" i="78"/>
  <c r="L118" i="78"/>
  <c r="L123" i="78"/>
  <c r="H126" i="78"/>
  <c r="J127" i="78"/>
  <c r="K130" i="78"/>
  <c r="H134" i="78"/>
  <c r="J137" i="78"/>
  <c r="L138" i="78"/>
  <c r="L141" i="78"/>
  <c r="H144" i="78"/>
  <c r="J145" i="78"/>
  <c r="K148" i="78"/>
  <c r="H152" i="78"/>
  <c r="L155" i="78"/>
  <c r="J157" i="78"/>
  <c r="M162" i="78"/>
  <c r="H171" i="78"/>
  <c r="G173" i="78"/>
  <c r="G181" i="78"/>
  <c r="G183" i="78"/>
  <c r="K185" i="78"/>
  <c r="J192" i="78"/>
  <c r="I199" i="78"/>
  <c r="M203" i="78"/>
  <c r="K210" i="78"/>
  <c r="J217" i="78"/>
  <c r="G219" i="78"/>
  <c r="H224" i="78"/>
  <c r="K230" i="78"/>
  <c r="L235" i="78"/>
  <c r="H237" i="78"/>
  <c r="G244" i="78"/>
  <c r="G247" i="78"/>
  <c r="H110" i="78"/>
  <c r="J119" i="78"/>
  <c r="K124" i="78"/>
  <c r="J131" i="78"/>
  <c r="K142" i="78"/>
  <c r="H146" i="78"/>
  <c r="L150" i="78"/>
  <c r="M165" i="78"/>
  <c r="K172" i="78"/>
  <c r="H176" i="78"/>
  <c r="I198" i="78"/>
  <c r="H205" i="78"/>
  <c r="G214" i="78"/>
  <c r="J223" i="78"/>
  <c r="L234" i="78"/>
  <c r="L92" i="78"/>
  <c r="J93" i="78"/>
  <c r="H94" i="78"/>
  <c r="L98" i="78"/>
  <c r="J99" i="78"/>
  <c r="H100" i="78"/>
  <c r="M92" i="78"/>
  <c r="K93" i="78"/>
  <c r="I94" i="78"/>
  <c r="G95" i="78"/>
  <c r="M98" i="78"/>
  <c r="K99" i="78"/>
  <c r="I100" i="78"/>
  <c r="G101" i="78"/>
  <c r="M104" i="78"/>
  <c r="K105" i="78"/>
  <c r="I106" i="78"/>
  <c r="G107" i="78"/>
  <c r="M110" i="78"/>
  <c r="K111" i="78"/>
  <c r="J112" i="78"/>
  <c r="J113" i="78"/>
  <c r="J114" i="78"/>
  <c r="J115" i="78"/>
  <c r="I116" i="78"/>
  <c r="I117" i="78"/>
  <c r="M118" i="78"/>
  <c r="M123" i="78"/>
  <c r="I126" i="78"/>
  <c r="L130" i="78"/>
  <c r="G133" i="78"/>
  <c r="K137" i="78"/>
  <c r="M141" i="78"/>
  <c r="I144" i="78"/>
  <c r="L148" i="78"/>
  <c r="G151" i="78"/>
  <c r="M155" i="78"/>
  <c r="K157" i="78"/>
  <c r="L164" i="78"/>
  <c r="I171" i="78"/>
  <c r="I173" i="78"/>
  <c r="K179" i="78"/>
  <c r="H181" i="78"/>
  <c r="H183" i="78"/>
  <c r="L185" i="78"/>
  <c r="G190" i="78"/>
  <c r="K192" i="78"/>
  <c r="J199" i="78"/>
  <c r="G206" i="78"/>
  <c r="L210" i="78"/>
  <c r="K217" i="78"/>
  <c r="I224" i="78"/>
  <c r="G226" i="78"/>
  <c r="M235" i="78"/>
  <c r="I237" i="78"/>
  <c r="I240" i="78"/>
  <c r="K242" i="78"/>
  <c r="M244" i="78"/>
  <c r="H247" i="78"/>
  <c r="M120" i="78"/>
  <c r="K121" i="78"/>
  <c r="I122" i="78"/>
  <c r="G123" i="78"/>
  <c r="M126" i="78"/>
  <c r="K127" i="78"/>
  <c r="I128" i="78"/>
  <c r="G129" i="78"/>
  <c r="M132" i="78"/>
  <c r="K133" i="78"/>
  <c r="I134" i="78"/>
  <c r="G135" i="78"/>
  <c r="M138" i="78"/>
  <c r="K139" i="78"/>
  <c r="I140" i="78"/>
  <c r="G141" i="78"/>
  <c r="M144" i="78"/>
  <c r="K145" i="78"/>
  <c r="I146" i="78"/>
  <c r="G147" i="78"/>
  <c r="M150" i="78"/>
  <c r="K151" i="78"/>
  <c r="I152" i="78"/>
  <c r="G153" i="78"/>
  <c r="G163" i="78"/>
  <c r="G164" i="78"/>
  <c r="G165" i="78"/>
  <c r="G166" i="78"/>
  <c r="G167" i="78"/>
  <c r="I168" i="78"/>
  <c r="I169" i="78"/>
  <c r="J170" i="78"/>
  <c r="M171" i="78"/>
  <c r="G175" i="78"/>
  <c r="I176" i="78"/>
  <c r="K177" i="78"/>
  <c r="J181" i="78"/>
  <c r="M185" i="78"/>
  <c r="G187" i="78"/>
  <c r="I188" i="78"/>
  <c r="M192" i="78"/>
  <c r="H195" i="78"/>
  <c r="J198" i="78"/>
  <c r="M199" i="78"/>
  <c r="M202" i="78"/>
  <c r="J205" i="78"/>
  <c r="M209" i="78"/>
  <c r="G211" i="78"/>
  <c r="I212" i="78"/>
  <c r="M216" i="78"/>
  <c r="H219" i="78"/>
  <c r="J222" i="78"/>
  <c r="M223" i="78"/>
  <c r="M226" i="78"/>
  <c r="J229" i="78"/>
  <c r="M233" i="78"/>
  <c r="G235" i="78"/>
  <c r="I236" i="78"/>
  <c r="M240" i="78"/>
  <c r="H243" i="78"/>
  <c r="J246" i="78"/>
  <c r="M247" i="78"/>
  <c r="H123" i="78"/>
  <c r="L127" i="78"/>
  <c r="J128" i="78"/>
  <c r="H129" i="78"/>
  <c r="L133" i="78"/>
  <c r="J134" i="78"/>
  <c r="H135" i="78"/>
  <c r="L139" i="78"/>
  <c r="J140" i="78"/>
  <c r="H141" i="78"/>
  <c r="L145" i="78"/>
  <c r="J146" i="78"/>
  <c r="H147" i="78"/>
  <c r="L151" i="78"/>
  <c r="J152" i="78"/>
  <c r="H153" i="78"/>
  <c r="G162" i="78"/>
  <c r="H163" i="78"/>
  <c r="H164" i="78"/>
  <c r="H165" i="78"/>
  <c r="H166" i="78"/>
  <c r="I167" i="78"/>
  <c r="J168" i="78"/>
  <c r="J169" i="78"/>
  <c r="K170" i="78"/>
  <c r="H175" i="78"/>
  <c r="J176" i="78"/>
  <c r="I180" i="78"/>
  <c r="K181" i="78"/>
  <c r="H187" i="78"/>
  <c r="J188" i="78"/>
  <c r="K191" i="78"/>
  <c r="G194" i="78"/>
  <c r="I195" i="78"/>
  <c r="K198" i="78"/>
  <c r="K205" i="78"/>
  <c r="H211" i="78"/>
  <c r="J212" i="78"/>
  <c r="K215" i="78"/>
  <c r="G218" i="78"/>
  <c r="I219" i="78"/>
  <c r="K222" i="78"/>
  <c r="K229" i="78"/>
  <c r="H235" i="78"/>
  <c r="J236" i="78"/>
  <c r="K239" i="78"/>
  <c r="G242" i="78"/>
  <c r="I243" i="78"/>
  <c r="K246" i="78"/>
  <c r="G118" i="78"/>
  <c r="M121" i="78"/>
  <c r="K122" i="78"/>
  <c r="I123" i="78"/>
  <c r="G124" i="78"/>
  <c r="M127" i="78"/>
  <c r="K128" i="78"/>
  <c r="I129" i="78"/>
  <c r="G130" i="78"/>
  <c r="M133" i="78"/>
  <c r="K134" i="78"/>
  <c r="I135" i="78"/>
  <c r="G136" i="78"/>
  <c r="M139" i="78"/>
  <c r="K140" i="78"/>
  <c r="I141" i="78"/>
  <c r="G142" i="78"/>
  <c r="M145" i="78"/>
  <c r="K146" i="78"/>
  <c r="I147" i="78"/>
  <c r="G148" i="78"/>
  <c r="M151" i="78"/>
  <c r="K152" i="78"/>
  <c r="I153" i="78"/>
  <c r="G154" i="78"/>
  <c r="G157" i="78"/>
  <c r="G158" i="78"/>
  <c r="G159" i="78"/>
  <c r="G160" i="78"/>
  <c r="G161" i="78"/>
  <c r="I162" i="78"/>
  <c r="I163" i="78"/>
  <c r="I164" i="78"/>
  <c r="I165" i="78"/>
  <c r="I166" i="78"/>
  <c r="K167" i="78"/>
  <c r="K168" i="78"/>
  <c r="K169" i="78"/>
  <c r="M170" i="78"/>
  <c r="I175" i="78"/>
  <c r="K176" i="78"/>
  <c r="J180" i="78"/>
  <c r="L181" i="78"/>
  <c r="G184" i="78"/>
  <c r="I187" i="78"/>
  <c r="K188" i="78"/>
  <c r="L191" i="78"/>
  <c r="H194" i="78"/>
  <c r="L198" i="78"/>
  <c r="G201" i="78"/>
  <c r="I204" i="78"/>
  <c r="L205" i="78"/>
  <c r="G208" i="78"/>
  <c r="I211" i="78"/>
  <c r="K212" i="78"/>
  <c r="L215" i="78"/>
  <c r="H218" i="78"/>
  <c r="L222" i="78"/>
  <c r="G225" i="78"/>
  <c r="I228" i="78"/>
  <c r="L229" i="78"/>
  <c r="G232" i="78"/>
  <c r="I235" i="78"/>
  <c r="K236" i="78"/>
  <c r="L239" i="78"/>
  <c r="H242" i="78"/>
  <c r="L246" i="78"/>
  <c r="G249" i="78"/>
  <c r="L116" i="78"/>
  <c r="J117" i="78"/>
  <c r="H118" i="78"/>
  <c r="L122" i="78"/>
  <c r="J123" i="78"/>
  <c r="H124" i="78"/>
  <c r="L128" i="78"/>
  <c r="J129" i="78"/>
  <c r="H130" i="78"/>
  <c r="L134" i="78"/>
  <c r="J135" i="78"/>
  <c r="H136" i="78"/>
  <c r="L140" i="78"/>
  <c r="J141" i="78"/>
  <c r="H142" i="78"/>
  <c r="L146" i="78"/>
  <c r="J147" i="78"/>
  <c r="H148" i="78"/>
  <c r="L152" i="78"/>
  <c r="J153" i="78"/>
  <c r="H154" i="78"/>
  <c r="G156" i="78"/>
  <c r="H157" i="78"/>
  <c r="H158" i="78"/>
  <c r="H159" i="78"/>
  <c r="H160" i="78"/>
  <c r="I161" i="78"/>
  <c r="J162" i="78"/>
  <c r="J163" i="78"/>
  <c r="J164" i="78"/>
  <c r="J165" i="78"/>
  <c r="K166" i="78"/>
  <c r="L167" i="78"/>
  <c r="L168" i="78"/>
  <c r="L169" i="78"/>
  <c r="G174" i="78"/>
  <c r="J175" i="78"/>
  <c r="M176" i="78"/>
  <c r="K180" i="78"/>
  <c r="M181" i="78"/>
  <c r="M184" i="78"/>
  <c r="J187" i="78"/>
  <c r="M191" i="78"/>
  <c r="G193" i="78"/>
  <c r="I194" i="78"/>
  <c r="M198" i="78"/>
  <c r="H201" i="78"/>
  <c r="J204" i="78"/>
  <c r="M205" i="78"/>
  <c r="M208" i="78"/>
  <c r="J211" i="78"/>
  <c r="M215" i="78"/>
  <c r="G217" i="78"/>
  <c r="I218" i="78"/>
  <c r="M222" i="78"/>
  <c r="H225" i="78"/>
  <c r="J228" i="78"/>
  <c r="M229" i="78"/>
  <c r="M232" i="78"/>
  <c r="J235" i="78"/>
  <c r="M239" i="78"/>
  <c r="G241" i="78"/>
  <c r="I242" i="78"/>
  <c r="M246" i="78"/>
  <c r="H249" i="78"/>
  <c r="I112" i="78"/>
  <c r="G113" i="78"/>
  <c r="M116" i="78"/>
  <c r="K117" i="78"/>
  <c r="I118" i="78"/>
  <c r="G119" i="78"/>
  <c r="M122" i="78"/>
  <c r="K123" i="78"/>
  <c r="I124" i="78"/>
  <c r="G125" i="78"/>
  <c r="M128" i="78"/>
  <c r="K129" i="78"/>
  <c r="I130" i="78"/>
  <c r="G131" i="78"/>
  <c r="M134" i="78"/>
  <c r="K135" i="78"/>
  <c r="I136" i="78"/>
  <c r="G137" i="78"/>
  <c r="M140" i="78"/>
  <c r="K141" i="78"/>
  <c r="I142" i="78"/>
  <c r="G143" i="78"/>
  <c r="M146" i="78"/>
  <c r="K147" i="78"/>
  <c r="I148" i="78"/>
  <c r="G149" i="78"/>
  <c r="M152" i="78"/>
  <c r="K153" i="78"/>
  <c r="I154" i="78"/>
  <c r="G155" i="78"/>
  <c r="I156" i="78"/>
  <c r="I157" i="78"/>
  <c r="I158" i="78"/>
  <c r="I159" i="78"/>
  <c r="I160" i="78"/>
  <c r="K161" i="78"/>
  <c r="K162" i="78"/>
  <c r="K163" i="78"/>
  <c r="K164" i="78"/>
  <c r="K165" i="78"/>
  <c r="M166" i="78"/>
  <c r="M167" i="78"/>
  <c r="M168" i="78"/>
  <c r="M169" i="78"/>
  <c r="I174" i="78"/>
  <c r="K175" i="78"/>
  <c r="G179" i="78"/>
  <c r="L180" i="78"/>
  <c r="K187" i="78"/>
  <c r="H193" i="78"/>
  <c r="J194" i="78"/>
  <c r="K197" i="78"/>
  <c r="G200" i="78"/>
  <c r="I201" i="78"/>
  <c r="K204" i="78"/>
  <c r="K211" i="78"/>
  <c r="H217" i="78"/>
  <c r="J218" i="78"/>
  <c r="K221" i="78"/>
  <c r="G224" i="78"/>
  <c r="I225" i="78"/>
  <c r="K228" i="78"/>
  <c r="K235" i="78"/>
  <c r="H241" i="78"/>
  <c r="J242" i="78"/>
  <c r="K245" i="78"/>
  <c r="G248" i="78"/>
  <c r="I249" i="78"/>
  <c r="L170" i="78"/>
  <c r="J171" i="78"/>
  <c r="H172" i="78"/>
  <c r="L176" i="78"/>
  <c r="J177" i="78"/>
  <c r="H178" i="78"/>
  <c r="L182" i="78"/>
  <c r="J183" i="78"/>
  <c r="H184" i="78"/>
  <c r="L188" i="78"/>
  <c r="J189" i="78"/>
  <c r="H190" i="78"/>
  <c r="L194" i="78"/>
  <c r="J195" i="78"/>
  <c r="H196" i="78"/>
  <c r="L200" i="78"/>
  <c r="J201" i="78"/>
  <c r="H202" i="78"/>
  <c r="L206" i="78"/>
  <c r="J207" i="78"/>
  <c r="H208" i="78"/>
  <c r="L212" i="78"/>
  <c r="J213" i="78"/>
  <c r="H214" i="78"/>
  <c r="L218" i="78"/>
  <c r="J219" i="78"/>
  <c r="H220" i="78"/>
  <c r="L224" i="78"/>
  <c r="J225" i="78"/>
  <c r="H226" i="78"/>
  <c r="L230" i="78"/>
  <c r="J231" i="78"/>
  <c r="H232" i="78"/>
  <c r="L236" i="78"/>
  <c r="J237" i="78"/>
  <c r="H238" i="78"/>
  <c r="L242" i="78"/>
  <c r="J243" i="78"/>
  <c r="H244" i="78"/>
  <c r="L248" i="78"/>
  <c r="J249" i="78"/>
  <c r="M182" i="78"/>
  <c r="K183" i="78"/>
  <c r="I184" i="78"/>
  <c r="G185" i="78"/>
  <c r="M188" i="78"/>
  <c r="K189" i="78"/>
  <c r="I190" i="78"/>
  <c r="G191" i="78"/>
  <c r="M194" i="78"/>
  <c r="K195" i="78"/>
  <c r="I196" i="78"/>
  <c r="G197" i="78"/>
  <c r="M200" i="78"/>
  <c r="K201" i="78"/>
  <c r="I202" i="78"/>
  <c r="G203" i="78"/>
  <c r="M206" i="78"/>
  <c r="K207" i="78"/>
  <c r="I208" i="78"/>
  <c r="G209" i="78"/>
  <c r="M212" i="78"/>
  <c r="K213" i="78"/>
  <c r="I214" i="78"/>
  <c r="G215" i="78"/>
  <c r="M218" i="78"/>
  <c r="K219" i="78"/>
  <c r="I220" i="78"/>
  <c r="G221" i="78"/>
  <c r="M224" i="78"/>
  <c r="K225" i="78"/>
  <c r="I226" i="78"/>
  <c r="G227" i="78"/>
  <c r="M230" i="78"/>
  <c r="K231" i="78"/>
  <c r="I232" i="78"/>
  <c r="G233" i="78"/>
  <c r="M236" i="78"/>
  <c r="K237" i="78"/>
  <c r="I238" i="78"/>
  <c r="G239" i="78"/>
  <c r="M242" i="78"/>
  <c r="K243" i="78"/>
  <c r="I244" i="78"/>
  <c r="G245" i="78"/>
  <c r="M248" i="78"/>
  <c r="K249" i="78"/>
  <c r="H155" i="78"/>
  <c r="L159" i="78"/>
  <c r="J160" i="78"/>
  <c r="H161" i="78"/>
  <c r="L165" i="78"/>
  <c r="J166" i="78"/>
  <c r="H167" i="78"/>
  <c r="L171" i="78"/>
  <c r="J172" i="78"/>
  <c r="H173" i="78"/>
  <c r="L177" i="78"/>
  <c r="J178" i="78"/>
  <c r="H179" i="78"/>
  <c r="L183" i="78"/>
  <c r="J184" i="78"/>
  <c r="H185" i="78"/>
  <c r="L189" i="78"/>
  <c r="J190" i="78"/>
  <c r="H191" i="78"/>
  <c r="L195" i="78"/>
  <c r="J196" i="78"/>
  <c r="H197" i="78"/>
  <c r="L201" i="78"/>
  <c r="J202" i="78"/>
  <c r="H203" i="78"/>
  <c r="L207" i="78"/>
  <c r="J208" i="78"/>
  <c r="H209" i="78"/>
  <c r="L213" i="78"/>
  <c r="J214" i="78"/>
  <c r="H215" i="78"/>
  <c r="L219" i="78"/>
  <c r="J220" i="78"/>
  <c r="H221" i="78"/>
  <c r="L225" i="78"/>
  <c r="J226" i="78"/>
  <c r="H227" i="78"/>
  <c r="L231" i="78"/>
  <c r="J232" i="78"/>
  <c r="H233" i="78"/>
  <c r="L237" i="78"/>
  <c r="J238" i="78"/>
  <c r="H239" i="78"/>
  <c r="L243" i="78"/>
  <c r="J244" i="78"/>
  <c r="H245" i="78"/>
  <c r="L249" i="78"/>
  <c r="M177" i="78"/>
  <c r="K178" i="78"/>
  <c r="I179" i="78"/>
  <c r="G180" i="78"/>
  <c r="M183" i="78"/>
  <c r="K184" i="78"/>
  <c r="I185" i="78"/>
  <c r="G186" i="78"/>
  <c r="M189" i="78"/>
  <c r="K190" i="78"/>
  <c r="I191" i="78"/>
  <c r="G192" i="78"/>
  <c r="M195" i="78"/>
  <c r="K196" i="78"/>
  <c r="I197" i="78"/>
  <c r="G198" i="78"/>
  <c r="M201" i="78"/>
  <c r="K202" i="78"/>
  <c r="I203" i="78"/>
  <c r="G204" i="78"/>
  <c r="M207" i="78"/>
  <c r="K208" i="78"/>
  <c r="I209" i="78"/>
  <c r="G210" i="78"/>
  <c r="M213" i="78"/>
  <c r="K214" i="78"/>
  <c r="I215" i="78"/>
  <c r="G216" i="78"/>
  <c r="M219" i="78"/>
  <c r="K220" i="78"/>
  <c r="I221" i="78"/>
  <c r="G222" i="78"/>
  <c r="M225" i="78"/>
  <c r="K226" i="78"/>
  <c r="I227" i="78"/>
  <c r="G228" i="78"/>
  <c r="M231" i="78"/>
  <c r="K232" i="78"/>
  <c r="I233" i="78"/>
  <c r="G234" i="78"/>
  <c r="M237" i="78"/>
  <c r="K238" i="78"/>
  <c r="I239" i="78"/>
  <c r="G240" i="78"/>
  <c r="M243" i="78"/>
  <c r="K244" i="78"/>
  <c r="I245" i="78"/>
  <c r="G246" i="78"/>
  <c r="M249" i="78"/>
  <c r="J155" i="78"/>
  <c r="H156" i="78"/>
  <c r="L160" i="78"/>
  <c r="J161" i="78"/>
  <c r="H162" i="78"/>
  <c r="L166" i="78"/>
  <c r="J167" i="78"/>
  <c r="H168" i="78"/>
  <c r="L172" i="78"/>
  <c r="J173" i="78"/>
  <c r="H174" i="78"/>
  <c r="L178" i="78"/>
  <c r="J179" i="78"/>
  <c r="H180" i="78"/>
  <c r="L184" i="78"/>
  <c r="J185" i="78"/>
  <c r="H186" i="78"/>
  <c r="L190" i="78"/>
  <c r="J191" i="78"/>
  <c r="H192" i="78"/>
  <c r="L196" i="78"/>
  <c r="J197" i="78"/>
  <c r="H198" i="78"/>
  <c r="L202" i="78"/>
  <c r="J203" i="78"/>
  <c r="H204" i="78"/>
  <c r="L208" i="78"/>
  <c r="J209" i="78"/>
  <c r="H210" i="78"/>
  <c r="L214" i="78"/>
  <c r="J215" i="78"/>
  <c r="H216" i="78"/>
  <c r="L220" i="78"/>
  <c r="J221" i="78"/>
  <c r="H222" i="78"/>
  <c r="L226" i="78"/>
  <c r="J227" i="78"/>
  <c r="H228" i="78"/>
  <c r="L232" i="78"/>
  <c r="J233" i="78"/>
  <c r="H234" i="78"/>
  <c r="L238" i="78"/>
  <c r="J239" i="78"/>
  <c r="H240" i="78"/>
  <c r="L244" i="78"/>
  <c r="J245" i="78"/>
  <c r="H246" i="78"/>
  <c r="AH23" i="78" l="1"/>
  <c r="AH13" i="78"/>
  <c r="AH26" i="78"/>
  <c r="AH18" i="78"/>
  <c r="AH19" i="78"/>
  <c r="AH8" i="78"/>
  <c r="AH21" i="78"/>
  <c r="AH16" i="78"/>
  <c r="AH29" i="78"/>
  <c r="AH15" i="78"/>
  <c r="AH11" i="78"/>
  <c r="AH33" i="78"/>
  <c r="AH28" i="78"/>
  <c r="AH17" i="78"/>
  <c r="AH31" i="78"/>
  <c r="AH12" i="78"/>
  <c r="AH20" i="78"/>
  <c r="AH32" i="78"/>
  <c r="AH6" i="78"/>
  <c r="AH10" i="78"/>
  <c r="AH25" i="78"/>
  <c r="AH22" i="78"/>
  <c r="AH24" i="78"/>
  <c r="AH14" i="78"/>
  <c r="AC20" i="78"/>
  <c r="AC13" i="78"/>
  <c r="AC10" i="78"/>
  <c r="AC33" i="78"/>
  <c r="AC31" i="78"/>
  <c r="AC15" i="78"/>
  <c r="AC22" i="78"/>
  <c r="AC21" i="78"/>
  <c r="AC12" i="78"/>
  <c r="AC23" i="78"/>
  <c r="AC8" i="78"/>
  <c r="AC18" i="78"/>
  <c r="AC29" i="78"/>
  <c r="AC24" i="78"/>
  <c r="AC19" i="78"/>
  <c r="AC26" i="78"/>
  <c r="AC32" i="78"/>
  <c r="AC28" i="78"/>
  <c r="AC14" i="78"/>
  <c r="AC11" i="78"/>
  <c r="AC25" i="78"/>
  <c r="AC16" i="78"/>
  <c r="AC6" i="78"/>
  <c r="AC17" i="78"/>
  <c r="AB34" i="78" l="1"/>
  <c r="AB28" i="78"/>
  <c r="AB7" i="78"/>
  <c r="AB13" i="78"/>
  <c r="AB22" i="78"/>
  <c r="AB20" i="78"/>
  <c r="AB12" i="78"/>
  <c r="AB25" i="78"/>
  <c r="AB21" i="78"/>
  <c r="AB31" i="78"/>
  <c r="AB16" i="78"/>
  <c r="AB19" i="78"/>
  <c r="AB10" i="78"/>
  <c r="AB9" i="78"/>
  <c r="AB8" i="78"/>
  <c r="AB33" i="78"/>
  <c r="AB14" i="78"/>
  <c r="AB32" i="78"/>
  <c r="AB24" i="78"/>
  <c r="AB26" i="78"/>
  <c r="AB27" i="78"/>
  <c r="AB15" i="78"/>
  <c r="AB23" i="78"/>
  <c r="AB29" i="78"/>
  <c r="AB30" i="78"/>
  <c r="AB18" i="78"/>
  <c r="AB17" i="78"/>
  <c r="AB11" i="78"/>
  <c r="M34" i="78"/>
  <c r="L16" i="78"/>
  <c r="H57" i="78"/>
  <c r="K45" i="78"/>
  <c r="K27" i="78"/>
  <c r="I7" i="78"/>
  <c r="I69" i="78"/>
  <c r="K20" i="78"/>
  <c r="K18" i="78"/>
  <c r="I32" i="78"/>
  <c r="H90" i="78"/>
  <c r="L72" i="78"/>
  <c r="M49" i="78"/>
  <c r="G16" i="78"/>
  <c r="K90" i="78"/>
  <c r="H24" i="78"/>
  <c r="L48" i="78"/>
  <c r="I8" i="78"/>
  <c r="M67" i="78"/>
  <c r="J23" i="78"/>
  <c r="G43" i="78"/>
  <c r="I74" i="78"/>
  <c r="L53" i="78"/>
  <c r="G19" i="78"/>
  <c r="J21" i="78"/>
  <c r="I60" i="78"/>
  <c r="K17" i="78"/>
  <c r="H17" i="78"/>
  <c r="J32" i="78"/>
  <c r="K53" i="78"/>
  <c r="K77" i="78"/>
  <c r="G72" i="78"/>
  <c r="M86" i="78"/>
  <c r="G90" i="78"/>
  <c r="H88" i="78"/>
  <c r="K8" i="78"/>
  <c r="M51" i="78"/>
  <c r="H69" i="78"/>
  <c r="L43" i="78"/>
  <c r="K70" i="78"/>
  <c r="G47" i="78"/>
  <c r="M73" i="78"/>
  <c r="L56" i="78"/>
  <c r="H6" i="78"/>
  <c r="I30" i="78"/>
  <c r="I58" i="78"/>
  <c r="K32" i="78"/>
  <c r="J22" i="78"/>
  <c r="M63" i="78"/>
  <c r="I81" i="78"/>
  <c r="I78" i="78"/>
  <c r="H27" i="78"/>
  <c r="K76" i="78"/>
  <c r="I79" i="78"/>
  <c r="I68" i="78"/>
  <c r="K75" i="78"/>
  <c r="L51" i="78"/>
  <c r="I15" i="78"/>
  <c r="L80" i="78"/>
  <c r="K85" i="78"/>
  <c r="G44" i="78"/>
  <c r="L47" i="78"/>
  <c r="H82" i="78"/>
  <c r="M87" i="78"/>
  <c r="M60" i="78"/>
  <c r="G20" i="78"/>
  <c r="G18" i="78"/>
  <c r="L55" i="78"/>
  <c r="H60" i="78"/>
  <c r="H73" i="78"/>
  <c r="I25" i="78"/>
  <c r="I13" i="78"/>
  <c r="G37" i="78"/>
  <c r="I16" i="78"/>
  <c r="G15" i="78"/>
  <c r="K48" i="78"/>
  <c r="G76" i="78"/>
  <c r="G35" i="78"/>
  <c r="I23" i="78"/>
  <c r="J55" i="78"/>
  <c r="G81" i="78"/>
  <c r="L25" i="78"/>
  <c r="J78" i="78"/>
  <c r="H20" i="78"/>
  <c r="K67" i="78"/>
  <c r="G54" i="78"/>
  <c r="I91" i="78"/>
  <c r="J31" i="78"/>
  <c r="J8" i="78"/>
  <c r="M72" i="78"/>
  <c r="H23" i="78"/>
  <c r="M36" i="78"/>
  <c r="J50" i="78"/>
  <c r="M14" i="78"/>
  <c r="H72" i="78"/>
  <c r="I87" i="78"/>
  <c r="K68" i="78"/>
  <c r="M64" i="78"/>
  <c r="K86" i="78"/>
  <c r="K50" i="78"/>
  <c r="I41" i="78"/>
  <c r="J7" i="78"/>
  <c r="G75" i="78"/>
  <c r="M50" i="78"/>
  <c r="G17" i="78"/>
  <c r="G28" i="78"/>
  <c r="G51" i="78"/>
  <c r="M90" i="78"/>
  <c r="L91" i="78"/>
  <c r="M40" i="78"/>
  <c r="M7" i="78"/>
  <c r="J69" i="78"/>
  <c r="G26" i="78"/>
  <c r="J68" i="78"/>
  <c r="M35" i="78"/>
  <c r="I86" i="78"/>
  <c r="K46" i="78"/>
  <c r="G73" i="78"/>
  <c r="J74" i="78"/>
  <c r="K89" i="78"/>
  <c r="H35" i="78"/>
  <c r="L29" i="78"/>
  <c r="G31" i="78"/>
  <c r="L62" i="78"/>
  <c r="I36" i="78"/>
  <c r="H51" i="78"/>
  <c r="K57" i="78"/>
  <c r="I44" i="78"/>
  <c r="G45" i="78"/>
  <c r="H59" i="78"/>
  <c r="L10" i="78"/>
  <c r="G10" i="78"/>
  <c r="L15" i="78"/>
  <c r="M43" i="78"/>
  <c r="H21" i="78"/>
  <c r="M31" i="78"/>
  <c r="I76" i="78"/>
  <c r="J20" i="78"/>
  <c r="K15" i="78"/>
  <c r="J26" i="78"/>
  <c r="L79" i="78"/>
  <c r="H8" i="78"/>
  <c r="K80" i="78"/>
  <c r="M69" i="78"/>
  <c r="J59" i="78"/>
  <c r="J12" i="78"/>
  <c r="M78" i="78"/>
  <c r="M55" i="78"/>
  <c r="G25" i="78"/>
  <c r="K64" i="78"/>
  <c r="L38" i="78"/>
  <c r="G34" i="78"/>
  <c r="H47" i="78"/>
  <c r="J51" i="78"/>
  <c r="I70" i="78"/>
  <c r="M32" i="78"/>
  <c r="J19" i="78"/>
  <c r="L35" i="78"/>
  <c r="J16" i="78"/>
  <c r="K59" i="78"/>
  <c r="K55" i="78"/>
  <c r="L30" i="78"/>
  <c r="G71" i="78"/>
  <c r="M33" i="78"/>
  <c r="H28" i="78"/>
  <c r="G64" i="78"/>
  <c r="J65" i="78"/>
  <c r="H58" i="78"/>
  <c r="J49" i="78"/>
  <c r="M38" i="78"/>
  <c r="J52" i="78"/>
  <c r="L36" i="78"/>
  <c r="J88" i="78"/>
  <c r="I77" i="78"/>
  <c r="H61" i="78"/>
  <c r="L41" i="78"/>
  <c r="I90" i="78"/>
  <c r="G59" i="78"/>
  <c r="G85" i="78"/>
  <c r="L66" i="78"/>
  <c r="G68" i="78"/>
  <c r="I12" i="78"/>
  <c r="L49" i="78"/>
  <c r="J46" i="78"/>
  <c r="K9" i="78"/>
  <c r="M76" i="78"/>
  <c r="I43" i="78"/>
  <c r="J54" i="78"/>
  <c r="M6" i="78"/>
  <c r="K66" i="78"/>
  <c r="J77" i="78"/>
  <c r="J9" i="78"/>
  <c r="G12" i="78"/>
  <c r="H19" i="78"/>
  <c r="H75" i="78"/>
  <c r="G82" i="78"/>
  <c r="L86" i="78"/>
  <c r="H70" i="78"/>
  <c r="I47" i="78"/>
  <c r="I61" i="78"/>
  <c r="L20" i="78"/>
  <c r="K14" i="78"/>
  <c r="M89" i="78"/>
  <c r="I46" i="78"/>
  <c r="G83" i="78"/>
  <c r="K7" i="78"/>
  <c r="J38" i="78"/>
  <c r="J60" i="78"/>
  <c r="J29" i="78"/>
  <c r="M81" i="78"/>
  <c r="I42" i="78"/>
  <c r="I88" i="78"/>
  <c r="I52" i="78"/>
  <c r="I14" i="78"/>
  <c r="K54" i="78"/>
  <c r="M16" i="78"/>
  <c r="G69" i="78"/>
  <c r="L84" i="78"/>
  <c r="I80" i="78"/>
  <c r="K44" i="78"/>
  <c r="M12" i="78"/>
  <c r="L8" i="78"/>
  <c r="J27" i="78"/>
  <c r="M77" i="78"/>
  <c r="J15" i="78"/>
  <c r="I85" i="78"/>
  <c r="J80" i="78"/>
  <c r="H7" i="78"/>
  <c r="K29" i="78"/>
  <c r="J91" i="78"/>
  <c r="H91" i="78"/>
  <c r="M23" i="78"/>
  <c r="I72" i="78"/>
  <c r="J34" i="78"/>
  <c r="H76" i="78"/>
  <c r="K38" i="78"/>
  <c r="H50" i="78"/>
  <c r="L7" i="78"/>
  <c r="H71" i="78"/>
  <c r="L12" i="78"/>
  <c r="I18" i="78"/>
  <c r="G70" i="78"/>
  <c r="J6" i="78"/>
  <c r="J39" i="78"/>
  <c r="I71" i="78"/>
  <c r="I65" i="78"/>
  <c r="H54" i="78"/>
  <c r="L59" i="78"/>
  <c r="M70" i="78"/>
  <c r="K87" i="78"/>
  <c r="G62" i="78"/>
  <c r="K47" i="78"/>
  <c r="J42" i="78"/>
  <c r="L54" i="78"/>
  <c r="I67" i="78"/>
  <c r="G22" i="78"/>
  <c r="L68" i="78"/>
  <c r="M30" i="78"/>
  <c r="G49" i="78"/>
  <c r="J11" i="78"/>
  <c r="J41" i="78"/>
  <c r="G65" i="78"/>
  <c r="G23" i="78"/>
  <c r="G27" i="78"/>
  <c r="J13" i="78"/>
  <c r="I84" i="78"/>
  <c r="L58" i="78"/>
  <c r="M84" i="78"/>
  <c r="L70" i="78"/>
  <c r="I35" i="78"/>
  <c r="L89" i="78"/>
  <c r="G52" i="78"/>
  <c r="M41" i="78"/>
  <c r="I57" i="78"/>
  <c r="J10" i="78"/>
  <c r="J14" i="78"/>
  <c r="M62" i="78"/>
  <c r="I82" i="78"/>
  <c r="M91" i="78"/>
  <c r="J33" i="78"/>
  <c r="M83" i="78"/>
  <c r="H41" i="78"/>
  <c r="I73" i="78"/>
  <c r="G88" i="78"/>
  <c r="M75" i="78"/>
  <c r="M20" i="78"/>
  <c r="K26" i="78"/>
  <c r="H32" i="78"/>
  <c r="J30" i="78"/>
  <c r="M37" i="78"/>
  <c r="G6" i="78"/>
  <c r="J66" i="78"/>
  <c r="J36" i="78"/>
  <c r="G77" i="78"/>
  <c r="J17" i="78"/>
  <c r="J45" i="78"/>
  <c r="K83" i="78"/>
  <c r="G33" i="78"/>
  <c r="K10" i="78"/>
  <c r="H85" i="78"/>
  <c r="J24" i="78"/>
  <c r="K13" i="78"/>
  <c r="I48" i="78"/>
  <c r="K73" i="78"/>
  <c r="I55" i="78"/>
  <c r="H33" i="78"/>
  <c r="M15" i="78"/>
  <c r="I27" i="78"/>
  <c r="H79" i="78"/>
  <c r="H22" i="78"/>
  <c r="K36" i="78"/>
  <c r="M22" i="78"/>
  <c r="M58" i="78"/>
  <c r="G55" i="78"/>
  <c r="K74" i="78"/>
  <c r="M47" i="78"/>
  <c r="L32" i="78"/>
  <c r="I31" i="78"/>
  <c r="K91" i="78"/>
  <c r="H15" i="78"/>
  <c r="J71" i="78"/>
  <c r="K6" i="78"/>
  <c r="L85" i="78"/>
  <c r="L78" i="78"/>
  <c r="M74" i="78"/>
  <c r="G38" i="78"/>
  <c r="G11" i="78"/>
  <c r="K24" i="78"/>
  <c r="G87" i="78"/>
  <c r="H26" i="78"/>
  <c r="G8" i="78"/>
  <c r="L73" i="78"/>
  <c r="H31" i="78"/>
  <c r="M53" i="78"/>
  <c r="H67" i="78"/>
  <c r="K11" i="78"/>
  <c r="H83" i="78"/>
  <c r="K31" i="78"/>
  <c r="H56" i="78"/>
  <c r="L18" i="78"/>
  <c r="L67" i="78"/>
  <c r="J85" i="78"/>
  <c r="L50" i="78"/>
  <c r="G63" i="78"/>
  <c r="L71" i="78"/>
  <c r="H43" i="78"/>
  <c r="H9" i="78"/>
  <c r="G84" i="78"/>
  <c r="M9" i="78"/>
  <c r="I56" i="78"/>
  <c r="I24" i="78"/>
  <c r="L33" i="78"/>
  <c r="M18" i="78"/>
  <c r="J40" i="78"/>
  <c r="J44" i="78"/>
  <c r="K71" i="78"/>
  <c r="J90" i="78"/>
  <c r="I34" i="78"/>
  <c r="J48" i="78"/>
  <c r="K79" i="78"/>
  <c r="H44" i="78"/>
  <c r="J53" i="78"/>
  <c r="H55" i="78"/>
  <c r="H30" i="78"/>
  <c r="L28" i="78"/>
  <c r="J73" i="78"/>
  <c r="L81" i="78"/>
  <c r="G50" i="78"/>
  <c r="M19" i="78"/>
  <c r="I11" i="78"/>
  <c r="L57" i="78"/>
  <c r="H84" i="78"/>
  <c r="I17" i="78"/>
  <c r="H38" i="78"/>
  <c r="K81" i="78"/>
  <c r="I37" i="78"/>
  <c r="K37" i="78"/>
  <c r="K25" i="78"/>
  <c r="L82" i="78"/>
  <c r="J43" i="78"/>
  <c r="K69" i="78"/>
  <c r="G13" i="78"/>
  <c r="H66" i="78"/>
  <c r="L40" i="78"/>
  <c r="G79" i="78"/>
  <c r="I54" i="78"/>
  <c r="H45" i="78"/>
  <c r="J79" i="78"/>
  <c r="M57" i="78"/>
  <c r="J56" i="78"/>
  <c r="M85" i="78"/>
  <c r="G41" i="78"/>
  <c r="M61" i="78"/>
  <c r="G74" i="78"/>
  <c r="H63" i="78"/>
  <c r="G60" i="78"/>
  <c r="J70" i="78"/>
  <c r="I28" i="78"/>
  <c r="M45" i="78"/>
  <c r="K49" i="78"/>
  <c r="J76" i="78"/>
  <c r="I22" i="78"/>
  <c r="L11" i="78"/>
  <c r="J87" i="78"/>
  <c r="K40" i="78"/>
  <c r="M8" i="78"/>
  <c r="M88" i="78"/>
  <c r="H37" i="78"/>
  <c r="M56" i="78"/>
  <c r="L46" i="78"/>
  <c r="M66" i="78"/>
  <c r="L37" i="78"/>
  <c r="K62" i="78"/>
  <c r="H18" i="78"/>
  <c r="L24" i="78"/>
  <c r="H10" i="78"/>
  <c r="L74" i="78"/>
  <c r="J35" i="78"/>
  <c r="I10" i="78"/>
  <c r="I51" i="78"/>
  <c r="K82" i="78"/>
  <c r="M65" i="78"/>
  <c r="J83" i="78"/>
  <c r="M54" i="78"/>
  <c r="L13" i="78"/>
  <c r="K78" i="78"/>
  <c r="H80" i="78"/>
  <c r="L77" i="78"/>
  <c r="J84" i="78"/>
  <c r="H11" i="78"/>
  <c r="I66" i="78"/>
  <c r="J57" i="78"/>
  <c r="G24" i="78"/>
  <c r="J75" i="78"/>
  <c r="H14" i="78"/>
  <c r="L52" i="78"/>
  <c r="K56" i="78"/>
  <c r="L83" i="78"/>
  <c r="H25" i="78"/>
  <c r="K42" i="78"/>
  <c r="K19" i="78"/>
  <c r="M17" i="78"/>
  <c r="L39" i="78"/>
  <c r="I59" i="78"/>
  <c r="J64" i="78"/>
  <c r="K51" i="78"/>
  <c r="H53" i="78"/>
  <c r="I19" i="78"/>
  <c r="M28" i="78"/>
  <c r="I26" i="78"/>
  <c r="L6" i="78"/>
  <c r="K41" i="78"/>
  <c r="M13" i="78"/>
  <c r="L23" i="78"/>
  <c r="G40" i="78"/>
  <c r="H39" i="78"/>
  <c r="L31" i="78"/>
  <c r="G32" i="78"/>
  <c r="H74" i="78"/>
  <c r="G53" i="78"/>
  <c r="L63" i="78"/>
  <c r="J89" i="78"/>
  <c r="I29" i="78"/>
  <c r="M39" i="78"/>
  <c r="K28" i="78"/>
  <c r="H87" i="78"/>
  <c r="M79" i="78"/>
  <c r="L45" i="78"/>
  <c r="K21" i="78"/>
  <c r="K72" i="78"/>
  <c r="L65" i="78"/>
  <c r="G61" i="78"/>
  <c r="L27" i="78"/>
  <c r="K84" i="78"/>
  <c r="G36" i="78"/>
  <c r="I49" i="78"/>
  <c r="H16" i="78"/>
  <c r="G42" i="78"/>
  <c r="G46" i="78"/>
  <c r="K39" i="78"/>
  <c r="H52" i="78"/>
  <c r="M27" i="78"/>
  <c r="J86" i="78"/>
  <c r="M46" i="78"/>
  <c r="I50" i="78"/>
  <c r="M11" i="78"/>
  <c r="M29" i="78"/>
  <c r="H49" i="78"/>
  <c r="I62" i="78"/>
  <c r="M24" i="78"/>
  <c r="G21" i="78"/>
  <c r="G48" i="78"/>
  <c r="M52" i="78"/>
  <c r="K65" i="78"/>
  <c r="L42" i="78"/>
  <c r="H29" i="78"/>
  <c r="M59" i="78"/>
  <c r="I40" i="78"/>
  <c r="L44" i="78"/>
  <c r="J67" i="78"/>
  <c r="L26" i="78"/>
  <c r="G56" i="78"/>
  <c r="L75" i="78"/>
  <c r="K16" i="78"/>
  <c r="G29" i="78"/>
  <c r="G7" i="78"/>
  <c r="M42" i="78"/>
  <c r="K35" i="78"/>
  <c r="M68" i="78"/>
  <c r="L60" i="78"/>
  <c r="I45" i="78"/>
  <c r="J18" i="78"/>
  <c r="G30" i="78"/>
  <c r="I83" i="78"/>
  <c r="M71" i="78"/>
  <c r="J81" i="78"/>
  <c r="I75" i="78"/>
  <c r="J62" i="78"/>
  <c r="J72" i="78"/>
  <c r="K12" i="78"/>
  <c r="J37" i="78"/>
  <c r="M10" i="78"/>
  <c r="I20" i="78"/>
  <c r="K88" i="78"/>
  <c r="L61" i="78"/>
  <c r="K22" i="78"/>
  <c r="L69" i="78"/>
  <c r="J25" i="78"/>
  <c r="G9" i="78"/>
  <c r="K60" i="78"/>
  <c r="K33" i="78"/>
  <c r="H86" i="78"/>
  <c r="H78" i="78"/>
  <c r="J63" i="78"/>
  <c r="I6" i="78"/>
  <c r="H13" i="78"/>
  <c r="L88" i="78"/>
  <c r="J61" i="78"/>
  <c r="I33" i="78"/>
  <c r="G89" i="78"/>
  <c r="G14" i="78"/>
  <c r="H12" i="78"/>
  <c r="H64" i="78"/>
  <c r="G78" i="78"/>
  <c r="I53" i="78"/>
  <c r="L22" i="78"/>
  <c r="H65" i="78"/>
  <c r="M21" i="78"/>
  <c r="K30" i="78"/>
  <c r="J58" i="78"/>
  <c r="H46" i="78"/>
  <c r="H34" i="78"/>
  <c r="H42" i="78"/>
  <c r="H62" i="78"/>
  <c r="G91" i="78"/>
  <c r="J47" i="78"/>
  <c r="M26" i="78"/>
  <c r="H40" i="78"/>
  <c r="H68" i="78"/>
  <c r="K34" i="78"/>
  <c r="H89" i="78"/>
  <c r="H81" i="78"/>
  <c r="G66" i="78"/>
  <c r="L87" i="78"/>
  <c r="J28" i="78"/>
  <c r="I9" i="78"/>
  <c r="I38" i="78"/>
  <c r="L64" i="78"/>
  <c r="K58" i="78"/>
  <c r="L21" i="78"/>
  <c r="H36" i="78"/>
  <c r="L14" i="78"/>
  <c r="M44" i="78"/>
  <c r="K23" i="78"/>
  <c r="I64" i="78"/>
  <c r="G80" i="78"/>
  <c r="L19" i="78"/>
  <c r="M80" i="78"/>
  <c r="G86" i="78"/>
  <c r="M48" i="78"/>
  <c r="L17" i="78"/>
  <c r="H48" i="78"/>
  <c r="I39" i="78"/>
  <c r="G58" i="78"/>
  <c r="G57" i="78"/>
  <c r="K61" i="78"/>
  <c r="I63" i="78"/>
  <c r="K52" i="78"/>
  <c r="I89" i="78"/>
  <c r="H77" i="78"/>
  <c r="I21" i="78"/>
  <c r="L9" i="78"/>
  <c r="M25" i="78"/>
  <c r="L76" i="78"/>
  <c r="L90" i="78"/>
  <c r="G67" i="78"/>
  <c r="M82" i="78"/>
  <c r="J82" i="78"/>
  <c r="G39" i="78"/>
  <c r="L34" i="78"/>
  <c r="K63" i="78"/>
  <c r="K43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Ted Molczan</author>
    <author>Ted</author>
  </authors>
  <commentList>
    <comment ref="N2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Geodetic</t>
        </r>
      </text>
    </comment>
    <comment ref="B4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Geodetic</t>
        </r>
      </text>
    </comment>
    <comment ref="D4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Above geoid</t>
        </r>
      </text>
    </comment>
    <comment ref="G4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Ted Molczan:</t>
        </r>
        <r>
          <rPr>
            <sz val="10"/>
            <color indexed="81"/>
            <rFont val="Tahoma"/>
            <family val="2"/>
          </rPr>
          <t xml:space="preserve">
Clockwise from North</t>
        </r>
      </text>
    </comment>
    <comment ref="J4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Angular velocity.</t>
        </r>
      </text>
    </comment>
    <comment ref="N4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Ted Molczan:</t>
        </r>
        <r>
          <rPr>
            <sz val="10"/>
            <color indexed="81"/>
            <rFont val="Tahoma"/>
            <family val="2"/>
          </rPr>
          <t xml:space="preserve">
Height above mean sea-level, metres</t>
        </r>
      </text>
    </comment>
    <comment ref="F5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fraction of illumination of a sphere at the same position as the object, as seen by the observer</t>
        </r>
      </text>
    </comment>
    <comment ref="H5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Relative local horizontal</t>
        </r>
      </text>
    </comment>
    <comment ref="I5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Ted Molczan:</t>
        </r>
        <r>
          <rPr>
            <sz val="9"/>
            <color indexed="81"/>
            <rFont val="Tahoma"/>
            <family val="2"/>
          </rPr>
          <t xml:space="preserve">
Relative horizon</t>
        </r>
      </text>
    </comment>
    <comment ref="O5" authorId="1" shapeId="0" xr:uid="{360256F5-7B58-49F0-89BA-BAA22916DCF3}">
      <text>
        <r>
          <rPr>
            <b/>
            <sz val="9"/>
            <color indexed="81"/>
            <rFont val="Tahoma"/>
            <family val="2"/>
          </rPr>
          <t>Ted:</t>
        </r>
        <r>
          <rPr>
            <sz val="9"/>
            <color indexed="81"/>
            <rFont val="Tahoma"/>
            <family val="2"/>
          </rPr>
          <t xml:space="preserve">
Ground distance from observer to re-entry ground track.</t>
        </r>
      </text>
    </comment>
  </commentList>
</comments>
</file>

<file path=xl/sharedStrings.xml><?xml version="1.0" encoding="utf-8"?>
<sst xmlns="http://schemas.openxmlformats.org/spreadsheetml/2006/main" count="70" uniqueCount="58">
  <si>
    <t>deg N</t>
  </si>
  <si>
    <t>km</t>
  </si>
  <si>
    <t>deg</t>
  </si>
  <si>
    <t>Time</t>
  </si>
  <si>
    <t>Observer's Co-ordinates</t>
  </si>
  <si>
    <t>Latitude:</t>
  </si>
  <si>
    <t>Longitude:</t>
  </si>
  <si>
    <t>Z</t>
  </si>
  <si>
    <t>Ground Track</t>
  </si>
  <si>
    <t>UTC</t>
  </si>
  <si>
    <t>m</t>
  </si>
  <si>
    <t xml:space="preserve">Day = </t>
  </si>
  <si>
    <t xml:space="preserve">Month = </t>
  </si>
  <si>
    <t xml:space="preserve">Year = </t>
  </si>
  <si>
    <t>RA (2000.0)</t>
  </si>
  <si>
    <t>Dec (2000.0)</t>
  </si>
  <si>
    <t>Relative</t>
  </si>
  <si>
    <t>Earth's</t>
  </si>
  <si>
    <t>Shadow</t>
  </si>
  <si>
    <t>fracil</t>
  </si>
  <si>
    <t>Range</t>
  </si>
  <si>
    <t>AZ</t>
  </si>
  <si>
    <t>f=</t>
  </si>
  <si>
    <t>(1-f)^2=</t>
  </si>
  <si>
    <t>2f-f^2=</t>
  </si>
  <si>
    <t>DO NOT DELETE THIS SHEET</t>
  </si>
  <si>
    <t>Earth's flattening</t>
  </si>
  <si>
    <t>Lat</t>
  </si>
  <si>
    <t>Lon</t>
  </si>
  <si>
    <t>Altitude</t>
  </si>
  <si>
    <t>Vang</t>
  </si>
  <si>
    <t>deg/s</t>
  </si>
  <si>
    <t>Date - UTC</t>
  </si>
  <si>
    <t>deg E</t>
  </si>
  <si>
    <t>X</t>
  </si>
  <si>
    <t>Y</t>
  </si>
  <si>
    <t>Xdot</t>
  </si>
  <si>
    <t>Ydot</t>
  </si>
  <si>
    <t>Zdot</t>
  </si>
  <si>
    <t>Object's Co-ordinates</t>
  </si>
  <si>
    <t>HAMSL:</t>
  </si>
  <si>
    <t>hh:mm:ss</t>
  </si>
  <si>
    <t>Dist, km</t>
  </si>
  <si>
    <t>LHor</t>
  </si>
  <si>
    <t>Hor</t>
  </si>
  <si>
    <t>EL - deg</t>
  </si>
  <si>
    <t>a</t>
  </si>
  <si>
    <t>km/s</t>
  </si>
  <si>
    <t>g</t>
  </si>
  <si>
    <t>V</t>
  </si>
  <si>
    <t>Vrel</t>
  </si>
  <si>
    <t>Offset, s</t>
  </si>
  <si>
    <t>t</t>
  </si>
  <si>
    <t>Centre of landing NOTAM</t>
  </si>
  <si>
    <t>Site:</t>
  </si>
  <si>
    <t>Trajectory Analysis by Mike Loucks (http://www.see.com)</t>
  </si>
  <si>
    <t>Xitancun 1</t>
  </si>
  <si>
    <t>Xitancun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</si>
</sst>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#,##0.0"/>
    <numFmt numFmtId="166" formatCode="0.00000"/>
    <numFmt numFmtId="167" formatCode="0.000"/>
    <numFmt numFmtId="168" formatCode="hh:mm:ss"/>
    <numFmt numFmtId="169" formatCode="0.00000000"/>
    <numFmt numFmtId="170" formatCode="0.0000000"/>
    <numFmt numFmtId="171" formatCode="0.0000000000"/>
    <numFmt numFmtId="172" formatCode="00.000"/>
    <numFmt numFmtId="173" formatCode="_(* #,##0.00_);_(* \(#,##0.00\);_(* &quot;-&quot;??_);_(@_)"/>
    <numFmt numFmtId="174" formatCode="0.0"/>
    <numFmt numFmtId="175" formatCode="hh:mm:ss.0"/>
  </numFmts>
  <fonts count="20" x14ac:knownFonts="1">
    <font>
      <sz val="9"/>
      <name val="Courier New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1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Calibri"/>
      <family val="2"/>
      <scheme val="minor"/>
    </font>
    <font>
      <sz val="11"/>
      <color rgb="FFFF0000"/>
      <name val="Arial"/>
      <family val="2"/>
    </font>
    <font>
      <b/>
      <sz val="12"/>
      <name val="Calibri"/>
      <family val="2"/>
      <scheme val="minor"/>
    </font>
    <font>
      <sz val="9"/>
      <name val="Courier New"/>
      <family val="3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9" fillId="0" borderId="0"/>
    <xf numFmtId="173" fontId="19" fillId="0" borderId="0" applyFon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4" fillId="0" borderId="0"/>
  </cellStyleXfs>
  <cellXfs count="74">
    <xf numFmtId="0" fontId="0" fillId="0" borderId="0" xfId="0"/>
    <xf numFmtId="0" fontId="8" fillId="0" borderId="0" xfId="0" applyFont="1"/>
    <xf numFmtId="0" fontId="8" fillId="0" borderId="0" xfId="0" applyFont="1" applyAlignment="1">
      <alignment horizontal="right"/>
    </xf>
    <xf numFmtId="167" fontId="8" fillId="0" borderId="0" xfId="0" applyNumberFormat="1" applyFont="1"/>
    <xf numFmtId="166" fontId="8" fillId="0" borderId="0" xfId="0" applyNumberFormat="1" applyFont="1"/>
    <xf numFmtId="166" fontId="8" fillId="0" borderId="0" xfId="0" applyNumberFormat="1" applyFont="1" applyAlignment="1">
      <alignment horizontal="right"/>
    </xf>
    <xf numFmtId="166" fontId="8" fillId="0" borderId="0" xfId="0" quotePrefix="1" applyNumberFormat="1" applyFont="1" applyAlignment="1">
      <alignment horizontal="left"/>
    </xf>
    <xf numFmtId="0" fontId="9" fillId="0" borderId="1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9" fillId="0" borderId="7" xfId="0" quotePrefix="1" applyFont="1" applyBorder="1" applyAlignment="1">
      <alignment horizontal="center"/>
    </xf>
    <xf numFmtId="4" fontId="8" fillId="0" borderId="13" xfId="0" applyNumberFormat="1" applyFont="1" applyBorder="1"/>
    <xf numFmtId="165" fontId="8" fillId="0" borderId="5" xfId="0" applyNumberFormat="1" applyFont="1" applyBorder="1"/>
    <xf numFmtId="0" fontId="13" fillId="0" borderId="0" xfId="0" applyFont="1" applyAlignment="1">
      <alignment horizontal="right"/>
    </xf>
    <xf numFmtId="3" fontId="8" fillId="0" borderId="13" xfId="0" applyNumberFormat="1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4" fontId="8" fillId="0" borderId="13" xfId="0" applyNumberFormat="1" applyFont="1" applyBorder="1" applyAlignment="1">
      <alignment horizontal="center"/>
    </xf>
    <xf numFmtId="3" fontId="8" fillId="0" borderId="5" xfId="0" applyNumberFormat="1" applyFont="1" applyBorder="1"/>
    <xf numFmtId="0" fontId="16" fillId="0" borderId="0" xfId="0" applyFont="1" applyAlignment="1">
      <alignment horizontal="right"/>
    </xf>
    <xf numFmtId="169" fontId="16" fillId="0" borderId="0" xfId="0" applyNumberFormat="1" applyFont="1" applyAlignment="1">
      <alignment horizontal="left"/>
    </xf>
    <xf numFmtId="0" fontId="16" fillId="0" borderId="0" xfId="0" applyFont="1"/>
    <xf numFmtId="4" fontId="8" fillId="0" borderId="5" xfId="0" applyNumberFormat="1" applyFont="1" applyBorder="1"/>
    <xf numFmtId="2" fontId="8" fillId="0" borderId="0" xfId="0" applyNumberFormat="1" applyFont="1"/>
    <xf numFmtId="1" fontId="17" fillId="0" borderId="0" xfId="0" applyNumberFormat="1" applyFont="1" applyBorder="1"/>
    <xf numFmtId="164" fontId="8" fillId="0" borderId="0" xfId="0" applyNumberFormat="1" applyFont="1"/>
    <xf numFmtId="168" fontId="8" fillId="0" borderId="5" xfId="0" applyNumberFormat="1" applyFont="1" applyBorder="1" applyAlignment="1">
      <alignment horizontal="center"/>
    </xf>
    <xf numFmtId="170" fontId="8" fillId="0" borderId="0" xfId="0" applyNumberFormat="1" applyFont="1"/>
    <xf numFmtId="171" fontId="8" fillId="0" borderId="0" xfId="0" applyNumberFormat="1" applyFont="1"/>
    <xf numFmtId="172" fontId="8" fillId="0" borderId="14" xfId="0" applyNumberFormat="1" applyFont="1" applyBorder="1" applyAlignment="1">
      <alignment horizontal="center"/>
    </xf>
    <xf numFmtId="175" fontId="8" fillId="0" borderId="11" xfId="0" applyNumberFormat="1" applyFont="1" applyBorder="1" applyAlignment="1">
      <alignment horizontal="center"/>
    </xf>
    <xf numFmtId="166" fontId="9" fillId="0" borderId="0" xfId="0" applyNumberFormat="1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4" fontId="8" fillId="0" borderId="5" xfId="0" applyNumberFormat="1" applyFont="1" applyBorder="1"/>
    <xf numFmtId="164" fontId="8" fillId="0" borderId="13" xfId="0" applyNumberFormat="1" applyFont="1" applyBorder="1"/>
    <xf numFmtId="174" fontId="8" fillId="0" borderId="0" xfId="0" applyNumberFormat="1" applyFont="1"/>
    <xf numFmtId="0" fontId="8" fillId="0" borderId="0" xfId="1" applyFont="1"/>
    <xf numFmtId="167" fontId="8" fillId="0" borderId="0" xfId="1" applyNumberFormat="1" applyFont="1"/>
    <xf numFmtId="1" fontId="8" fillId="0" borderId="0" xfId="1" applyNumberFormat="1" applyFont="1"/>
    <xf numFmtId="175" fontId="8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 applyAlignment="1">
      <alignment horizontal="center"/>
    </xf>
    <xf numFmtId="0" fontId="8" fillId="0" borderId="0" xfId="0" quotePrefix="1" applyFont="1" applyAlignment="1">
      <alignment horizontal="center"/>
    </xf>
    <xf numFmtId="167" fontId="9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right"/>
    </xf>
    <xf numFmtId="0" fontId="17" fillId="0" borderId="0" xfId="0" applyFont="1" applyAlignment="1">
      <alignment horizontal="right"/>
    </xf>
    <xf numFmtId="166" fontId="17" fillId="0" borderId="0" xfId="0" applyNumberFormat="1" applyFont="1" applyBorder="1"/>
    <xf numFmtId="0" fontId="17" fillId="0" borderId="0" xfId="0" applyFont="1" applyAlignment="1">
      <alignment horizontal="left"/>
    </xf>
    <xf numFmtId="167" fontId="9" fillId="0" borderId="0" xfId="0" applyNumberFormat="1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0" borderId="0" xfId="0" applyFont="1"/>
    <xf numFmtId="0" fontId="9" fillId="0" borderId="0" xfId="0" applyFont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10" fillId="0" borderId="0" xfId="0" quotePrefix="1" applyFont="1" applyAlignment="1">
      <alignment horizontal="center"/>
    </xf>
    <xf numFmtId="0" fontId="9" fillId="0" borderId="19" xfId="0" quotePrefix="1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166" fontId="9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0" fontId="1" fillId="0" borderId="0" xfId="0" applyFont="1"/>
  </cellXfs>
  <cellStyles count="7">
    <cellStyle name="Comma 2" xfId="2" xr:uid="{00000000-0005-0000-0000-000000000000}"/>
    <cellStyle name="Normal" xfId="0" builtinId="0"/>
    <cellStyle name="Normal 2" xfId="1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</cellStyles>
  <dxfs count="1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chartsheet" Target="chartsheets/sheet10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5" Type="http://schemas.openxmlformats.org/officeDocument/2006/relationships/chartsheet" Target="chartsheets/sheet2.xml"/><Relationship Id="rId15" Type="http://schemas.openxmlformats.org/officeDocument/2006/relationships/theme" Target="theme/theme1.xml"/><Relationship Id="rId10" Type="http://schemas.openxmlformats.org/officeDocument/2006/relationships/chartsheet" Target="chartsheets/sheet7.xml"/><Relationship Id="rId19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chartsheet" Target="chartsheets/sheet1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Altitude vs. Range</a:t>
            </a:r>
          </a:p>
        </c:rich>
      </c:tx>
      <c:layout>
        <c:manualLayout>
          <c:xMode val="edge"/>
          <c:yMode val="edge"/>
          <c:x val="0.38133998166653565"/>
          <c:y val="1.2124710765183814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Ephemeris'!$AI$8:$AI$91</c:f>
              <c:numCache>
                <c:formatCode>0.0</c:formatCode>
                <c:ptCount val="84"/>
                <c:pt idx="0">
                  <c:v>12.886873194226837</c:v>
                </c:pt>
                <c:pt idx="1">
                  <c:v>20.254501586010139</c:v>
                </c:pt>
                <c:pt idx="2">
                  <c:v>27.598883060703795</c:v>
                </c:pt>
                <c:pt idx="3">
                  <c:v>34.928446249952707</c:v>
                </c:pt>
                <c:pt idx="4">
                  <c:v>42.228806437223959</c:v>
                </c:pt>
                <c:pt idx="5">
                  <c:v>49.531206961314474</c:v>
                </c:pt>
                <c:pt idx="6">
                  <c:v>56.826310966434171</c:v>
                </c:pt>
                <c:pt idx="7">
                  <c:v>64.085097858678196</c:v>
                </c:pt>
                <c:pt idx="8">
                  <c:v>71.308946459993493</c:v>
                </c:pt>
                <c:pt idx="9">
                  <c:v>78.535046498590788</c:v>
                </c:pt>
                <c:pt idx="10">
                  <c:v>85.759774429983707</c:v>
                </c:pt>
                <c:pt idx="11">
                  <c:v>92.961955866526793</c:v>
                </c:pt>
                <c:pt idx="12">
                  <c:v>100.12765723850711</c:v>
                </c:pt>
                <c:pt idx="13">
                  <c:v>107.29202146526885</c:v>
                </c:pt>
                <c:pt idx="14">
                  <c:v>114.39072181648402</c:v>
                </c:pt>
                <c:pt idx="15">
                  <c:v>121.57238567080346</c:v>
                </c:pt>
                <c:pt idx="16">
                  <c:v>128.63263871611619</c:v>
                </c:pt>
                <c:pt idx="17">
                  <c:v>135.72173501660879</c:v>
                </c:pt>
                <c:pt idx="18">
                  <c:v>142.78709405889015</c:v>
                </c:pt>
                <c:pt idx="19">
                  <c:v>149.82777467465795</c:v>
                </c:pt>
                <c:pt idx="20">
                  <c:v>156.8831562859163</c:v>
                </c:pt>
                <c:pt idx="21">
                  <c:v>163.9066298474915</c:v>
                </c:pt>
                <c:pt idx="22">
                  <c:v>170.89197565031813</c:v>
                </c:pt>
                <c:pt idx="23">
                  <c:v>177.900681561803</c:v>
                </c:pt>
                <c:pt idx="24">
                  <c:v>184.86078774984179</c:v>
                </c:pt>
                <c:pt idx="25">
                  <c:v>191.80745382234548</c:v>
                </c:pt>
                <c:pt idx="26">
                  <c:v>198.77022666495606</c:v>
                </c:pt>
                <c:pt idx="27">
                  <c:v>205.68476978842443</c:v>
                </c:pt>
                <c:pt idx="28">
                  <c:v>212.57718748640144</c:v>
                </c:pt>
                <c:pt idx="29">
                  <c:v>219.47573080670588</c:v>
                </c:pt>
                <c:pt idx="30">
                  <c:v>226.35348556985025</c:v>
                </c:pt>
                <c:pt idx="31">
                  <c:v>233.2253869450108</c:v>
                </c:pt>
                <c:pt idx="32">
                  <c:v>240.04943104526663</c:v>
                </c:pt>
                <c:pt idx="33">
                  <c:v>246.88934702783453</c:v>
                </c:pt>
                <c:pt idx="34">
                  <c:v>253.71247592373297</c:v>
                </c:pt>
                <c:pt idx="35">
                  <c:v>260.48950928882476</c:v>
                </c:pt>
                <c:pt idx="36">
                  <c:v>267.2646697250542</c:v>
                </c:pt>
                <c:pt idx="37">
                  <c:v>274.03295396093699</c:v>
                </c:pt>
                <c:pt idx="38">
                  <c:v>280.79730644679546</c:v>
                </c:pt>
                <c:pt idx="39">
                  <c:v>287.52950909551225</c:v>
                </c:pt>
                <c:pt idx="40">
                  <c:v>294.22709329909873</c:v>
                </c:pt>
                <c:pt idx="41">
                  <c:v>300.95518982719057</c:v>
                </c:pt>
                <c:pt idx="42">
                  <c:v>307.62987376727989</c:v>
                </c:pt>
                <c:pt idx="43">
                  <c:v>314.29990912197695</c:v>
                </c:pt>
                <c:pt idx="44">
                  <c:v>320.94593835974507</c:v>
                </c:pt>
                <c:pt idx="45">
                  <c:v>327.58483511289495</c:v>
                </c:pt>
                <c:pt idx="46">
                  <c:v>334.21304233620759</c:v>
                </c:pt>
                <c:pt idx="47">
                  <c:v>340.82104393132016</c:v>
                </c:pt>
                <c:pt idx="48">
                  <c:v>347.42077745799759</c:v>
                </c:pt>
                <c:pt idx="49">
                  <c:v>353.99348207775176</c:v>
                </c:pt>
                <c:pt idx="50">
                  <c:v>360.5433696439199</c:v>
                </c:pt>
                <c:pt idx="51">
                  <c:v>367.09436800336942</c:v>
                </c:pt>
                <c:pt idx="52">
                  <c:v>373.61151242907164</c:v>
                </c:pt>
                <c:pt idx="53">
                  <c:v>380.13426838377467</c:v>
                </c:pt>
                <c:pt idx="54">
                  <c:v>386.62485162932245</c:v>
                </c:pt>
                <c:pt idx="55">
                  <c:v>393.09926529064222</c:v>
                </c:pt>
                <c:pt idx="56">
                  <c:v>399.56606938531456</c:v>
                </c:pt>
                <c:pt idx="57">
                  <c:v>406.03506309331664</c:v>
                </c:pt>
                <c:pt idx="58">
                  <c:v>412.4471658286152</c:v>
                </c:pt>
                <c:pt idx="59">
                  <c:v>418.87287148488133</c:v>
                </c:pt>
                <c:pt idx="60">
                  <c:v>425.2703170067889</c:v>
                </c:pt>
                <c:pt idx="61">
                  <c:v>431.65673009386842</c:v>
                </c:pt>
                <c:pt idx="62">
                  <c:v>438.01782414993528</c:v>
                </c:pt>
                <c:pt idx="63">
                  <c:v>444.36832689231738</c:v>
                </c:pt>
                <c:pt idx="64">
                  <c:v>450.72979244890843</c:v>
                </c:pt>
                <c:pt idx="65">
                  <c:v>457.02409402996756</c:v>
                </c:pt>
                <c:pt idx="66">
                  <c:v>463.32626766204419</c:v>
                </c:pt>
                <c:pt idx="67">
                  <c:v>469.60209914748765</c:v>
                </c:pt>
                <c:pt idx="68">
                  <c:v>475.87262415534627</c:v>
                </c:pt>
                <c:pt idx="69">
                  <c:v>482.12278876516575</c:v>
                </c:pt>
                <c:pt idx="70">
                  <c:v>488.33977794203707</c:v>
                </c:pt>
                <c:pt idx="71">
                  <c:v>494.55810128496842</c:v>
                </c:pt>
                <c:pt idx="72">
                  <c:v>500.75618134677387</c:v>
                </c:pt>
                <c:pt idx="73">
                  <c:v>506.93396612984287</c:v>
                </c:pt>
                <c:pt idx="74">
                  <c:v>513.09109380236032</c:v>
                </c:pt>
                <c:pt idx="75">
                  <c:v>519.25061109789226</c:v>
                </c:pt>
                <c:pt idx="76">
                  <c:v>525.36284471488034</c:v>
                </c:pt>
                <c:pt idx="77">
                  <c:v>531.4739704017843</c:v>
                </c:pt>
                <c:pt idx="78">
                  <c:v>537.55256372944461</c:v>
                </c:pt>
                <c:pt idx="79">
                  <c:v>543.62032521322988</c:v>
                </c:pt>
                <c:pt idx="80">
                  <c:v>549.67717695710257</c:v>
                </c:pt>
                <c:pt idx="81">
                  <c:v>555.70144858656147</c:v>
                </c:pt>
                <c:pt idx="82">
                  <c:v>561.72114105540356</c:v>
                </c:pt>
                <c:pt idx="83">
                  <c:v>567.72753575282809</c:v>
                </c:pt>
              </c:numCache>
            </c:numRef>
          </c:xVal>
          <c:yVal>
            <c:numRef>
              <c:f>'Compute Ephemeris'!$D$8:$D$91</c:f>
              <c:numCache>
                <c:formatCode>#,##0.00</c:formatCode>
                <c:ptCount val="84"/>
                <c:pt idx="0">
                  <c:v>85.141068091922534</c:v>
                </c:pt>
                <c:pt idx="1">
                  <c:v>85.146152396613616</c:v>
                </c:pt>
                <c:pt idx="2">
                  <c:v>85.151087765895682</c:v>
                </c:pt>
                <c:pt idx="3">
                  <c:v>85.155835669121188</c:v>
                </c:pt>
                <c:pt idx="4">
                  <c:v>85.160343676497178</c:v>
                </c:pt>
                <c:pt idx="5">
                  <c:v>85.164587719649717</c:v>
                </c:pt>
                <c:pt idx="6">
                  <c:v>85.168517733787667</c:v>
                </c:pt>
                <c:pt idx="7">
                  <c:v>85.172076487504455</c:v>
                </c:pt>
                <c:pt idx="8">
                  <c:v>85.175225640362441</c:v>
                </c:pt>
                <c:pt idx="9">
                  <c:v>85.177939822688131</c:v>
                </c:pt>
                <c:pt idx="10">
                  <c:v>85.180173471835587</c:v>
                </c:pt>
                <c:pt idx="11">
                  <c:v>85.181878352769672</c:v>
                </c:pt>
                <c:pt idx="12">
                  <c:v>85.183013662243866</c:v>
                </c:pt>
                <c:pt idx="13">
                  <c:v>85.183545676012727</c:v>
                </c:pt>
                <c:pt idx="14">
                  <c:v>85.183434872338694</c:v>
                </c:pt>
                <c:pt idx="15">
                  <c:v>85.182632700608337</c:v>
                </c:pt>
                <c:pt idx="16">
                  <c:v>85.181124379086214</c:v>
                </c:pt>
                <c:pt idx="17">
                  <c:v>85.178848725914577</c:v>
                </c:pt>
                <c:pt idx="18">
                  <c:v>85.175778975849425</c:v>
                </c:pt>
                <c:pt idx="19">
                  <c:v>85.171880770017196</c:v>
                </c:pt>
                <c:pt idx="20">
                  <c:v>85.167091116754818</c:v>
                </c:pt>
                <c:pt idx="21">
                  <c:v>85.161401501763066</c:v>
                </c:pt>
                <c:pt idx="22">
                  <c:v>85.154788571100653</c:v>
                </c:pt>
                <c:pt idx="23">
                  <c:v>85.147153914160299</c:v>
                </c:pt>
                <c:pt idx="24">
                  <c:v>85.138538919558414</c:v>
                </c:pt>
                <c:pt idx="25">
                  <c:v>85.128870927055686</c:v>
                </c:pt>
                <c:pt idx="26">
                  <c:v>85.118065964419657</c:v>
                </c:pt>
                <c:pt idx="27">
                  <c:v>85.106188374306839</c:v>
                </c:pt>
                <c:pt idx="28">
                  <c:v>85.093168780636006</c:v>
                </c:pt>
                <c:pt idx="29">
                  <c:v>85.078915507119746</c:v>
                </c:pt>
                <c:pt idx="30">
                  <c:v>85.063445632050389</c:v>
                </c:pt>
                <c:pt idx="31">
                  <c:v>85.046689602309016</c:v>
                </c:pt>
                <c:pt idx="32">
                  <c:v>85.028723339379212</c:v>
                </c:pt>
                <c:pt idx="33">
                  <c:v>85.009345236935587</c:v>
                </c:pt>
                <c:pt idx="34">
                  <c:v>84.988606583000546</c:v>
                </c:pt>
                <c:pt idx="35">
                  <c:v>84.966572243084556</c:v>
                </c:pt>
                <c:pt idx="36">
                  <c:v>84.943070546602939</c:v>
                </c:pt>
                <c:pt idx="37">
                  <c:v>84.918081645053462</c:v>
                </c:pt>
                <c:pt idx="38">
                  <c:v>84.891552430301999</c:v>
                </c:pt>
                <c:pt idx="39">
                  <c:v>84.863566707876998</c:v>
                </c:pt>
                <c:pt idx="40">
                  <c:v>84.834111145079987</c:v>
                </c:pt>
                <c:pt idx="41">
                  <c:v>84.802862902604829</c:v>
                </c:pt>
                <c:pt idx="42">
                  <c:v>84.770172135335997</c:v>
                </c:pt>
                <c:pt idx="43">
                  <c:v>84.735782367363754</c:v>
                </c:pt>
                <c:pt idx="44">
                  <c:v>84.699761761595255</c:v>
                </c:pt>
                <c:pt idx="45">
                  <c:v>84.661985405914493</c:v>
                </c:pt>
                <c:pt idx="46">
                  <c:v>84.622437995394648</c:v>
                </c:pt>
                <c:pt idx="47">
                  <c:v>84.581146547940079</c:v>
                </c:pt>
                <c:pt idx="48">
                  <c:v>84.538004334121979</c:v>
                </c:pt>
                <c:pt idx="49">
                  <c:v>84.493103468888876</c:v>
                </c:pt>
                <c:pt idx="50">
                  <c:v>84.446394422635422</c:v>
                </c:pt>
                <c:pt idx="51">
                  <c:v>84.397673562696582</c:v>
                </c:pt>
                <c:pt idx="52">
                  <c:v>84.347170876446398</c:v>
                </c:pt>
                <c:pt idx="53">
                  <c:v>84.294549155552886</c:v>
                </c:pt>
                <c:pt idx="54">
                  <c:v>84.240078915987397</c:v>
                </c:pt>
                <c:pt idx="55">
                  <c:v>84.183602561162843</c:v>
                </c:pt>
                <c:pt idx="56">
                  <c:v>84.125018253809685</c:v>
                </c:pt>
                <c:pt idx="57">
                  <c:v>84.064189925581559</c:v>
                </c:pt>
                <c:pt idx="58">
                  <c:v>84.001654767286709</c:v>
                </c:pt>
                <c:pt idx="59">
                  <c:v>83.936701319287749</c:v>
                </c:pt>
                <c:pt idx="60">
                  <c:v>83.869718829471822</c:v>
                </c:pt>
                <c:pt idx="61">
                  <c:v>83.800493533371991</c:v>
                </c:pt>
                <c:pt idx="62">
                  <c:v>83.729159052249997</c:v>
                </c:pt>
                <c:pt idx="63">
                  <c:v>83.655520381442329</c:v>
                </c:pt>
                <c:pt idx="64">
                  <c:v>83.579280499069682</c:v>
                </c:pt>
                <c:pt idx="65">
                  <c:v>83.501354853819976</c:v>
                </c:pt>
                <c:pt idx="66">
                  <c:v>83.420808031631168</c:v>
                </c:pt>
                <c:pt idx="67">
                  <c:v>83.338033536640978</c:v>
                </c:pt>
                <c:pt idx="68">
                  <c:v>83.252724791157561</c:v>
                </c:pt>
                <c:pt idx="69">
                  <c:v>83.165054912684354</c:v>
                </c:pt>
                <c:pt idx="70">
                  <c:v>83.075182158712778</c:v>
                </c:pt>
                <c:pt idx="71">
                  <c:v>82.982583994677952</c:v>
                </c:pt>
                <c:pt idx="72">
                  <c:v>82.887535439655039</c:v>
                </c:pt>
                <c:pt idx="73">
                  <c:v>82.790011546209826</c:v>
                </c:pt>
                <c:pt idx="74">
                  <c:v>82.689992200344932</c:v>
                </c:pt>
                <c:pt idx="75">
                  <c:v>82.587065535275542</c:v>
                </c:pt>
                <c:pt idx="76">
                  <c:v>82.482038325439134</c:v>
                </c:pt>
                <c:pt idx="77">
                  <c:v>82.374099565446159</c:v>
                </c:pt>
                <c:pt idx="78">
                  <c:v>82.263760903177172</c:v>
                </c:pt>
                <c:pt idx="79">
                  <c:v>82.150612583124712</c:v>
                </c:pt>
                <c:pt idx="80">
                  <c:v>82.034615142939401</c:v>
                </c:pt>
                <c:pt idx="81">
                  <c:v>81.916155059772791</c:v>
                </c:pt>
                <c:pt idx="82">
                  <c:v>81.794655474926003</c:v>
                </c:pt>
                <c:pt idx="83">
                  <c:v>81.670237150454341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BA-47F6-B1E7-18BCDD8A0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896576"/>
        <c:axId val="487898496"/>
      </c:scatterChart>
      <c:valAx>
        <c:axId val="48789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Range,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7898496"/>
        <c:crosses val="autoZero"/>
        <c:crossBetween val="midCat"/>
      </c:valAx>
      <c:valAx>
        <c:axId val="487898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Altitude,</a:t>
                </a:r>
                <a:r>
                  <a:rPr lang="en-CA" baseline="0"/>
                  <a:t> km</a:t>
                </a:r>
                <a:endParaRPr lang="en-CA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7896576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1990-094</a:t>
            </a:r>
            <a:r>
              <a:rPr lang="en-US"/>
              <a:t>C Re-entry</a:t>
            </a:r>
          </a:p>
          <a:p>
            <a:pPr>
              <a:defRPr/>
            </a:pPr>
            <a:r>
              <a:rPr lang="en-US"/>
              <a:t>Altitude vs. Range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494146759347251E-2"/>
          <c:y val="0.12943637916039083"/>
          <c:w val="0.89252176767094493"/>
          <c:h val="0.77708878375148738"/>
        </c:manualLayout>
      </c:layout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'Compute Ephemeris'!$AI$8:$AI$91</c:f>
              <c:numCache>
                <c:formatCode>0.0</c:formatCode>
                <c:ptCount val="84"/>
                <c:pt idx="0">
                  <c:v>12.886873194226837</c:v>
                </c:pt>
                <c:pt idx="1">
                  <c:v>20.254501586010139</c:v>
                </c:pt>
                <c:pt idx="2">
                  <c:v>27.598883060703795</c:v>
                </c:pt>
                <c:pt idx="3">
                  <c:v>34.928446249952707</c:v>
                </c:pt>
                <c:pt idx="4">
                  <c:v>42.228806437223959</c:v>
                </c:pt>
                <c:pt idx="5">
                  <c:v>49.531206961314474</c:v>
                </c:pt>
                <c:pt idx="6">
                  <c:v>56.826310966434171</c:v>
                </c:pt>
                <c:pt idx="7">
                  <c:v>64.085097858678196</c:v>
                </c:pt>
                <c:pt idx="8">
                  <c:v>71.308946459993493</c:v>
                </c:pt>
                <c:pt idx="9">
                  <c:v>78.535046498590788</c:v>
                </c:pt>
                <c:pt idx="10">
                  <c:v>85.759774429983707</c:v>
                </c:pt>
                <c:pt idx="11">
                  <c:v>92.961955866526793</c:v>
                </c:pt>
                <c:pt idx="12">
                  <c:v>100.12765723850711</c:v>
                </c:pt>
                <c:pt idx="13">
                  <c:v>107.29202146526885</c:v>
                </c:pt>
                <c:pt idx="14">
                  <c:v>114.39072181648402</c:v>
                </c:pt>
                <c:pt idx="15">
                  <c:v>121.57238567080346</c:v>
                </c:pt>
                <c:pt idx="16">
                  <c:v>128.63263871611619</c:v>
                </c:pt>
                <c:pt idx="17">
                  <c:v>135.72173501660879</c:v>
                </c:pt>
                <c:pt idx="18">
                  <c:v>142.78709405889015</c:v>
                </c:pt>
                <c:pt idx="19">
                  <c:v>149.82777467465795</c:v>
                </c:pt>
                <c:pt idx="20">
                  <c:v>156.8831562859163</c:v>
                </c:pt>
                <c:pt idx="21">
                  <c:v>163.9066298474915</c:v>
                </c:pt>
                <c:pt idx="22">
                  <c:v>170.89197565031813</c:v>
                </c:pt>
                <c:pt idx="23">
                  <c:v>177.900681561803</c:v>
                </c:pt>
                <c:pt idx="24">
                  <c:v>184.86078774984179</c:v>
                </c:pt>
                <c:pt idx="25">
                  <c:v>191.80745382234548</c:v>
                </c:pt>
                <c:pt idx="26">
                  <c:v>198.77022666495606</c:v>
                </c:pt>
                <c:pt idx="27">
                  <c:v>205.68476978842443</c:v>
                </c:pt>
                <c:pt idx="28">
                  <c:v>212.57718748640144</c:v>
                </c:pt>
                <c:pt idx="29">
                  <c:v>219.47573080670588</c:v>
                </c:pt>
                <c:pt idx="30">
                  <c:v>226.35348556985025</c:v>
                </c:pt>
                <c:pt idx="31">
                  <c:v>233.2253869450108</c:v>
                </c:pt>
                <c:pt idx="32">
                  <c:v>240.04943104526663</c:v>
                </c:pt>
                <c:pt idx="33">
                  <c:v>246.88934702783453</c:v>
                </c:pt>
                <c:pt idx="34">
                  <c:v>253.71247592373297</c:v>
                </c:pt>
                <c:pt idx="35">
                  <c:v>260.48950928882476</c:v>
                </c:pt>
                <c:pt idx="36">
                  <c:v>267.2646697250542</c:v>
                </c:pt>
                <c:pt idx="37">
                  <c:v>274.03295396093699</c:v>
                </c:pt>
                <c:pt idx="38">
                  <c:v>280.79730644679546</c:v>
                </c:pt>
                <c:pt idx="39">
                  <c:v>287.52950909551225</c:v>
                </c:pt>
                <c:pt idx="40">
                  <c:v>294.22709329909873</c:v>
                </c:pt>
                <c:pt idx="41">
                  <c:v>300.95518982719057</c:v>
                </c:pt>
                <c:pt idx="42">
                  <c:v>307.62987376727989</c:v>
                </c:pt>
                <c:pt idx="43">
                  <c:v>314.29990912197695</c:v>
                </c:pt>
                <c:pt idx="44">
                  <c:v>320.94593835974507</c:v>
                </c:pt>
                <c:pt idx="45">
                  <c:v>327.58483511289495</c:v>
                </c:pt>
                <c:pt idx="46">
                  <c:v>334.21304233620759</c:v>
                </c:pt>
                <c:pt idx="47">
                  <c:v>340.82104393132016</c:v>
                </c:pt>
                <c:pt idx="48">
                  <c:v>347.42077745799759</c:v>
                </c:pt>
                <c:pt idx="49">
                  <c:v>353.99348207775176</c:v>
                </c:pt>
                <c:pt idx="50">
                  <c:v>360.5433696439199</c:v>
                </c:pt>
                <c:pt idx="51">
                  <c:v>367.09436800336942</c:v>
                </c:pt>
                <c:pt idx="52">
                  <c:v>373.61151242907164</c:v>
                </c:pt>
                <c:pt idx="53">
                  <c:v>380.13426838377467</c:v>
                </c:pt>
                <c:pt idx="54">
                  <c:v>386.62485162932245</c:v>
                </c:pt>
                <c:pt idx="55">
                  <c:v>393.09926529064222</c:v>
                </c:pt>
                <c:pt idx="56">
                  <c:v>399.56606938531456</c:v>
                </c:pt>
                <c:pt idx="57">
                  <c:v>406.03506309331664</c:v>
                </c:pt>
                <c:pt idx="58">
                  <c:v>412.4471658286152</c:v>
                </c:pt>
                <c:pt idx="59">
                  <c:v>418.87287148488133</c:v>
                </c:pt>
                <c:pt idx="60">
                  <c:v>425.2703170067889</c:v>
                </c:pt>
                <c:pt idx="61">
                  <c:v>431.65673009386842</c:v>
                </c:pt>
                <c:pt idx="62">
                  <c:v>438.01782414993528</c:v>
                </c:pt>
                <c:pt idx="63">
                  <c:v>444.36832689231738</c:v>
                </c:pt>
                <c:pt idx="64">
                  <c:v>450.72979244890843</c:v>
                </c:pt>
                <c:pt idx="65">
                  <c:v>457.02409402996756</c:v>
                </c:pt>
                <c:pt idx="66">
                  <c:v>463.32626766204419</c:v>
                </c:pt>
                <c:pt idx="67">
                  <c:v>469.60209914748765</c:v>
                </c:pt>
                <c:pt idx="68">
                  <c:v>475.87262415534627</c:v>
                </c:pt>
                <c:pt idx="69">
                  <c:v>482.12278876516575</c:v>
                </c:pt>
                <c:pt idx="70">
                  <c:v>488.33977794203707</c:v>
                </c:pt>
                <c:pt idx="71">
                  <c:v>494.55810128496842</c:v>
                </c:pt>
                <c:pt idx="72">
                  <c:v>500.75618134677387</c:v>
                </c:pt>
                <c:pt idx="73">
                  <c:v>506.93396612984287</c:v>
                </c:pt>
                <c:pt idx="74">
                  <c:v>513.09109380236032</c:v>
                </c:pt>
                <c:pt idx="75">
                  <c:v>519.25061109789226</c:v>
                </c:pt>
                <c:pt idx="76">
                  <c:v>525.36284471488034</c:v>
                </c:pt>
                <c:pt idx="77">
                  <c:v>531.4739704017843</c:v>
                </c:pt>
                <c:pt idx="78">
                  <c:v>537.55256372944461</c:v>
                </c:pt>
                <c:pt idx="79">
                  <c:v>543.62032521322988</c:v>
                </c:pt>
                <c:pt idx="80">
                  <c:v>549.67717695710257</c:v>
                </c:pt>
                <c:pt idx="81">
                  <c:v>555.70144858656147</c:v>
                </c:pt>
                <c:pt idx="82">
                  <c:v>561.72114105540356</c:v>
                </c:pt>
                <c:pt idx="83">
                  <c:v>567.72753575282809</c:v>
                </c:pt>
              </c:numCache>
            </c:numRef>
          </c:xVal>
          <c:yVal>
            <c:numRef>
              <c:f>'Compute Ephemeris'!$D$8:$D$91</c:f>
              <c:numCache>
                <c:formatCode>#,##0.00</c:formatCode>
                <c:ptCount val="84"/>
                <c:pt idx="0">
                  <c:v>85.141068091922534</c:v>
                </c:pt>
                <c:pt idx="1">
                  <c:v>85.146152396613616</c:v>
                </c:pt>
                <c:pt idx="2">
                  <c:v>85.151087765895682</c:v>
                </c:pt>
                <c:pt idx="3">
                  <c:v>85.155835669121188</c:v>
                </c:pt>
                <c:pt idx="4">
                  <c:v>85.160343676497178</c:v>
                </c:pt>
                <c:pt idx="5">
                  <c:v>85.164587719649717</c:v>
                </c:pt>
                <c:pt idx="6">
                  <c:v>85.168517733787667</c:v>
                </c:pt>
                <c:pt idx="7">
                  <c:v>85.172076487504455</c:v>
                </c:pt>
                <c:pt idx="8">
                  <c:v>85.175225640362441</c:v>
                </c:pt>
                <c:pt idx="9">
                  <c:v>85.177939822688131</c:v>
                </c:pt>
                <c:pt idx="10">
                  <c:v>85.180173471835587</c:v>
                </c:pt>
                <c:pt idx="11">
                  <c:v>85.181878352769672</c:v>
                </c:pt>
                <c:pt idx="12">
                  <c:v>85.183013662243866</c:v>
                </c:pt>
                <c:pt idx="13">
                  <c:v>85.183545676012727</c:v>
                </c:pt>
                <c:pt idx="14">
                  <c:v>85.183434872338694</c:v>
                </c:pt>
                <c:pt idx="15">
                  <c:v>85.182632700608337</c:v>
                </c:pt>
                <c:pt idx="16">
                  <c:v>85.181124379086214</c:v>
                </c:pt>
                <c:pt idx="17">
                  <c:v>85.178848725914577</c:v>
                </c:pt>
                <c:pt idx="18">
                  <c:v>85.175778975849425</c:v>
                </c:pt>
                <c:pt idx="19">
                  <c:v>85.171880770017196</c:v>
                </c:pt>
                <c:pt idx="20">
                  <c:v>85.167091116754818</c:v>
                </c:pt>
                <c:pt idx="21">
                  <c:v>85.161401501763066</c:v>
                </c:pt>
                <c:pt idx="22">
                  <c:v>85.154788571100653</c:v>
                </c:pt>
                <c:pt idx="23">
                  <c:v>85.147153914160299</c:v>
                </c:pt>
                <c:pt idx="24">
                  <c:v>85.138538919558414</c:v>
                </c:pt>
                <c:pt idx="25">
                  <c:v>85.128870927055686</c:v>
                </c:pt>
                <c:pt idx="26">
                  <c:v>85.118065964419657</c:v>
                </c:pt>
                <c:pt idx="27">
                  <c:v>85.106188374306839</c:v>
                </c:pt>
                <c:pt idx="28">
                  <c:v>85.093168780636006</c:v>
                </c:pt>
                <c:pt idx="29">
                  <c:v>85.078915507119746</c:v>
                </c:pt>
                <c:pt idx="30">
                  <c:v>85.063445632050389</c:v>
                </c:pt>
                <c:pt idx="31">
                  <c:v>85.046689602309016</c:v>
                </c:pt>
                <c:pt idx="32">
                  <c:v>85.028723339379212</c:v>
                </c:pt>
                <c:pt idx="33">
                  <c:v>85.009345236935587</c:v>
                </c:pt>
                <c:pt idx="34">
                  <c:v>84.988606583000546</c:v>
                </c:pt>
                <c:pt idx="35">
                  <c:v>84.966572243084556</c:v>
                </c:pt>
                <c:pt idx="36">
                  <c:v>84.943070546602939</c:v>
                </c:pt>
                <c:pt idx="37">
                  <c:v>84.918081645053462</c:v>
                </c:pt>
                <c:pt idx="38">
                  <c:v>84.891552430301999</c:v>
                </c:pt>
                <c:pt idx="39">
                  <c:v>84.863566707876998</c:v>
                </c:pt>
                <c:pt idx="40">
                  <c:v>84.834111145079987</c:v>
                </c:pt>
                <c:pt idx="41">
                  <c:v>84.802862902604829</c:v>
                </c:pt>
                <c:pt idx="42">
                  <c:v>84.770172135335997</c:v>
                </c:pt>
                <c:pt idx="43">
                  <c:v>84.735782367363754</c:v>
                </c:pt>
                <c:pt idx="44">
                  <c:v>84.699761761595255</c:v>
                </c:pt>
                <c:pt idx="45">
                  <c:v>84.661985405914493</c:v>
                </c:pt>
                <c:pt idx="46">
                  <c:v>84.622437995394648</c:v>
                </c:pt>
                <c:pt idx="47">
                  <c:v>84.581146547940079</c:v>
                </c:pt>
                <c:pt idx="48">
                  <c:v>84.538004334121979</c:v>
                </c:pt>
                <c:pt idx="49">
                  <c:v>84.493103468888876</c:v>
                </c:pt>
                <c:pt idx="50">
                  <c:v>84.446394422635422</c:v>
                </c:pt>
                <c:pt idx="51">
                  <c:v>84.397673562696582</c:v>
                </c:pt>
                <c:pt idx="52">
                  <c:v>84.347170876446398</c:v>
                </c:pt>
                <c:pt idx="53">
                  <c:v>84.294549155552886</c:v>
                </c:pt>
                <c:pt idx="54">
                  <c:v>84.240078915987397</c:v>
                </c:pt>
                <c:pt idx="55">
                  <c:v>84.183602561162843</c:v>
                </c:pt>
                <c:pt idx="56">
                  <c:v>84.125018253809685</c:v>
                </c:pt>
                <c:pt idx="57">
                  <c:v>84.064189925581559</c:v>
                </c:pt>
                <c:pt idx="58">
                  <c:v>84.001654767286709</c:v>
                </c:pt>
                <c:pt idx="59">
                  <c:v>83.936701319287749</c:v>
                </c:pt>
                <c:pt idx="60">
                  <c:v>83.869718829471822</c:v>
                </c:pt>
                <c:pt idx="61">
                  <c:v>83.800493533371991</c:v>
                </c:pt>
                <c:pt idx="62">
                  <c:v>83.729159052249997</c:v>
                </c:pt>
                <c:pt idx="63">
                  <c:v>83.655520381442329</c:v>
                </c:pt>
                <c:pt idx="64">
                  <c:v>83.579280499069682</c:v>
                </c:pt>
                <c:pt idx="65">
                  <c:v>83.501354853819976</c:v>
                </c:pt>
                <c:pt idx="66">
                  <c:v>83.420808031631168</c:v>
                </c:pt>
                <c:pt idx="67">
                  <c:v>83.338033536640978</c:v>
                </c:pt>
                <c:pt idx="68">
                  <c:v>83.252724791157561</c:v>
                </c:pt>
                <c:pt idx="69">
                  <c:v>83.165054912684354</c:v>
                </c:pt>
                <c:pt idx="70">
                  <c:v>83.075182158712778</c:v>
                </c:pt>
                <c:pt idx="71">
                  <c:v>82.982583994677952</c:v>
                </c:pt>
                <c:pt idx="72">
                  <c:v>82.887535439655039</c:v>
                </c:pt>
                <c:pt idx="73">
                  <c:v>82.790011546209826</c:v>
                </c:pt>
                <c:pt idx="74">
                  <c:v>82.689992200344932</c:v>
                </c:pt>
                <c:pt idx="75">
                  <c:v>82.587065535275542</c:v>
                </c:pt>
                <c:pt idx="76">
                  <c:v>82.482038325439134</c:v>
                </c:pt>
                <c:pt idx="77">
                  <c:v>82.374099565446159</c:v>
                </c:pt>
                <c:pt idx="78">
                  <c:v>82.263760903177172</c:v>
                </c:pt>
                <c:pt idx="79">
                  <c:v>82.150612583124712</c:v>
                </c:pt>
                <c:pt idx="80">
                  <c:v>82.034615142939401</c:v>
                </c:pt>
                <c:pt idx="81">
                  <c:v>81.916155059772791</c:v>
                </c:pt>
                <c:pt idx="82">
                  <c:v>81.794655474926003</c:v>
                </c:pt>
                <c:pt idx="83">
                  <c:v>81.670237150454341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B7-4C41-B01A-80DB199B3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079360"/>
        <c:axId val="488081664"/>
      </c:scatterChart>
      <c:valAx>
        <c:axId val="48807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aseline="0"/>
                </a:pPr>
                <a:r>
                  <a:rPr lang="en-CA" sz="1400" baseline="0"/>
                  <a:t>Range,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8081664"/>
        <c:crosses val="autoZero"/>
        <c:crossBetween val="midCat"/>
      </c:valAx>
      <c:valAx>
        <c:axId val="48808166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aseline="0"/>
                </a:pPr>
                <a:r>
                  <a:rPr lang="en-CA" sz="1400" baseline="0"/>
                  <a:t>Altitude, km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079360"/>
        <c:crosses val="autoZero"/>
        <c:crossBetween val="midCat"/>
      </c:valAx>
      <c:spPr>
        <a:noFill/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Deceleration vs. Range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Ephemeris'!$AI$8:$AI$91</c:f>
              <c:numCache>
                <c:formatCode>0.0</c:formatCode>
                <c:ptCount val="84"/>
                <c:pt idx="0">
                  <c:v>12.886873194226837</c:v>
                </c:pt>
                <c:pt idx="1">
                  <c:v>20.254501586010139</c:v>
                </c:pt>
                <c:pt idx="2">
                  <c:v>27.598883060703795</c:v>
                </c:pt>
                <c:pt idx="3">
                  <c:v>34.928446249952707</c:v>
                </c:pt>
                <c:pt idx="4">
                  <c:v>42.228806437223959</c:v>
                </c:pt>
                <c:pt idx="5">
                  <c:v>49.531206961314474</c:v>
                </c:pt>
                <c:pt idx="6">
                  <c:v>56.826310966434171</c:v>
                </c:pt>
                <c:pt idx="7">
                  <c:v>64.085097858678196</c:v>
                </c:pt>
                <c:pt idx="8">
                  <c:v>71.308946459993493</c:v>
                </c:pt>
                <c:pt idx="9">
                  <c:v>78.535046498590788</c:v>
                </c:pt>
                <c:pt idx="10">
                  <c:v>85.759774429983707</c:v>
                </c:pt>
                <c:pt idx="11">
                  <c:v>92.961955866526793</c:v>
                </c:pt>
                <c:pt idx="12">
                  <c:v>100.12765723850711</c:v>
                </c:pt>
                <c:pt idx="13">
                  <c:v>107.29202146526885</c:v>
                </c:pt>
                <c:pt idx="14">
                  <c:v>114.39072181648402</c:v>
                </c:pt>
                <c:pt idx="15">
                  <c:v>121.57238567080346</c:v>
                </c:pt>
                <c:pt idx="16">
                  <c:v>128.63263871611619</c:v>
                </c:pt>
                <c:pt idx="17">
                  <c:v>135.72173501660879</c:v>
                </c:pt>
                <c:pt idx="18">
                  <c:v>142.78709405889015</c:v>
                </c:pt>
                <c:pt idx="19">
                  <c:v>149.82777467465795</c:v>
                </c:pt>
                <c:pt idx="20">
                  <c:v>156.8831562859163</c:v>
                </c:pt>
                <c:pt idx="21">
                  <c:v>163.9066298474915</c:v>
                </c:pt>
                <c:pt idx="22">
                  <c:v>170.89197565031813</c:v>
                </c:pt>
                <c:pt idx="23">
                  <c:v>177.900681561803</c:v>
                </c:pt>
                <c:pt idx="24">
                  <c:v>184.86078774984179</c:v>
                </c:pt>
                <c:pt idx="25">
                  <c:v>191.80745382234548</c:v>
                </c:pt>
                <c:pt idx="26">
                  <c:v>198.77022666495606</c:v>
                </c:pt>
                <c:pt idx="27">
                  <c:v>205.68476978842443</c:v>
                </c:pt>
                <c:pt idx="28">
                  <c:v>212.57718748640144</c:v>
                </c:pt>
                <c:pt idx="29">
                  <c:v>219.47573080670588</c:v>
                </c:pt>
                <c:pt idx="30">
                  <c:v>226.35348556985025</c:v>
                </c:pt>
                <c:pt idx="31">
                  <c:v>233.2253869450108</c:v>
                </c:pt>
                <c:pt idx="32">
                  <c:v>240.04943104526663</c:v>
                </c:pt>
                <c:pt idx="33">
                  <c:v>246.88934702783453</c:v>
                </c:pt>
                <c:pt idx="34">
                  <c:v>253.71247592373297</c:v>
                </c:pt>
                <c:pt idx="35">
                  <c:v>260.48950928882476</c:v>
                </c:pt>
                <c:pt idx="36">
                  <c:v>267.2646697250542</c:v>
                </c:pt>
                <c:pt idx="37">
                  <c:v>274.03295396093699</c:v>
                </c:pt>
                <c:pt idx="38">
                  <c:v>280.79730644679546</c:v>
                </c:pt>
                <c:pt idx="39">
                  <c:v>287.52950909551225</c:v>
                </c:pt>
                <c:pt idx="40">
                  <c:v>294.22709329909873</c:v>
                </c:pt>
                <c:pt idx="41">
                  <c:v>300.95518982719057</c:v>
                </c:pt>
                <c:pt idx="42">
                  <c:v>307.62987376727989</c:v>
                </c:pt>
                <c:pt idx="43">
                  <c:v>314.29990912197695</c:v>
                </c:pt>
                <c:pt idx="44">
                  <c:v>320.94593835974507</c:v>
                </c:pt>
                <c:pt idx="45">
                  <c:v>327.58483511289495</c:v>
                </c:pt>
                <c:pt idx="46">
                  <c:v>334.21304233620759</c:v>
                </c:pt>
                <c:pt idx="47">
                  <c:v>340.82104393132016</c:v>
                </c:pt>
                <c:pt idx="48">
                  <c:v>347.42077745799759</c:v>
                </c:pt>
                <c:pt idx="49">
                  <c:v>353.99348207775176</c:v>
                </c:pt>
                <c:pt idx="50">
                  <c:v>360.5433696439199</c:v>
                </c:pt>
                <c:pt idx="51">
                  <c:v>367.09436800336942</c:v>
                </c:pt>
                <c:pt idx="52">
                  <c:v>373.61151242907164</c:v>
                </c:pt>
                <c:pt idx="53">
                  <c:v>380.13426838377467</c:v>
                </c:pt>
                <c:pt idx="54">
                  <c:v>386.62485162932245</c:v>
                </c:pt>
                <c:pt idx="55">
                  <c:v>393.09926529064222</c:v>
                </c:pt>
                <c:pt idx="56">
                  <c:v>399.56606938531456</c:v>
                </c:pt>
                <c:pt idx="57">
                  <c:v>406.03506309331664</c:v>
                </c:pt>
                <c:pt idx="58">
                  <c:v>412.4471658286152</c:v>
                </c:pt>
                <c:pt idx="59">
                  <c:v>418.87287148488133</c:v>
                </c:pt>
                <c:pt idx="60">
                  <c:v>425.2703170067889</c:v>
                </c:pt>
                <c:pt idx="61">
                  <c:v>431.65673009386842</c:v>
                </c:pt>
                <c:pt idx="62">
                  <c:v>438.01782414993528</c:v>
                </c:pt>
                <c:pt idx="63">
                  <c:v>444.36832689231738</c:v>
                </c:pt>
                <c:pt idx="64">
                  <c:v>450.72979244890843</c:v>
                </c:pt>
                <c:pt idx="65">
                  <c:v>457.02409402996756</c:v>
                </c:pt>
                <c:pt idx="66">
                  <c:v>463.32626766204419</c:v>
                </c:pt>
                <c:pt idx="67">
                  <c:v>469.60209914748765</c:v>
                </c:pt>
                <c:pt idx="68">
                  <c:v>475.87262415534627</c:v>
                </c:pt>
                <c:pt idx="69">
                  <c:v>482.12278876516575</c:v>
                </c:pt>
                <c:pt idx="70">
                  <c:v>488.33977794203707</c:v>
                </c:pt>
                <c:pt idx="71">
                  <c:v>494.55810128496842</c:v>
                </c:pt>
                <c:pt idx="72">
                  <c:v>500.75618134677387</c:v>
                </c:pt>
                <c:pt idx="73">
                  <c:v>506.93396612984287</c:v>
                </c:pt>
                <c:pt idx="74">
                  <c:v>513.09109380236032</c:v>
                </c:pt>
                <c:pt idx="75">
                  <c:v>519.25061109789226</c:v>
                </c:pt>
                <c:pt idx="76">
                  <c:v>525.36284471488034</c:v>
                </c:pt>
                <c:pt idx="77">
                  <c:v>531.4739704017843</c:v>
                </c:pt>
                <c:pt idx="78">
                  <c:v>537.55256372944461</c:v>
                </c:pt>
                <c:pt idx="79">
                  <c:v>543.62032521322988</c:v>
                </c:pt>
                <c:pt idx="80">
                  <c:v>549.67717695710257</c:v>
                </c:pt>
                <c:pt idx="81">
                  <c:v>555.70144858656147</c:v>
                </c:pt>
                <c:pt idx="82">
                  <c:v>561.72114105540356</c:v>
                </c:pt>
                <c:pt idx="83">
                  <c:v>567.72753575282809</c:v>
                </c:pt>
              </c:numCache>
            </c:numRef>
          </c:xVal>
          <c:yVal>
            <c:numRef>
              <c:f>'Compute Ephemeris'!$AB$8:$AB$91</c:f>
              <c:numCache>
                <c:formatCode>0.000</c:formatCode>
                <c:ptCount val="84"/>
                <c:pt idx="0">
                  <c:v>1.9004902717780954</c:v>
                </c:pt>
                <c:pt idx="1">
                  <c:v>1.8882457431321227</c:v>
                </c:pt>
                <c:pt idx="2">
                  <c:v>1.8758565956320199</c:v>
                </c:pt>
                <c:pt idx="3">
                  <c:v>1.8656446247966283</c:v>
                </c:pt>
                <c:pt idx="4">
                  <c:v>1.8556178379164319</c:v>
                </c:pt>
                <c:pt idx="5">
                  <c:v>1.8444329010567968</c:v>
                </c:pt>
                <c:pt idx="6">
                  <c:v>1.8346690947715578</c:v>
                </c:pt>
                <c:pt idx="7">
                  <c:v>1.8233306491738657</c:v>
                </c:pt>
                <c:pt idx="8">
                  <c:v>1.8124911821731537</c:v>
                </c:pt>
                <c:pt idx="9">
                  <c:v>1.8037924331923989</c:v>
                </c:pt>
                <c:pt idx="10">
                  <c:v>1.7944075990177863</c:v>
                </c:pt>
                <c:pt idx="11">
                  <c:v>1.783615798456873</c:v>
                </c:pt>
                <c:pt idx="12">
                  <c:v>1.7748300446909633</c:v>
                </c:pt>
                <c:pt idx="13">
                  <c:v>1.7643914292742862</c:v>
                </c:pt>
                <c:pt idx="14">
                  <c:v>1.7575450530096093</c:v>
                </c:pt>
                <c:pt idx="15">
                  <c:v>1.7489314999723615</c:v>
                </c:pt>
                <c:pt idx="16">
                  <c:v>1.7393955519147366</c:v>
                </c:pt>
                <c:pt idx="17">
                  <c:v>1.7303391239234713</c:v>
                </c:pt>
                <c:pt idx="18">
                  <c:v>1.7241381549399588</c:v>
                </c:pt>
                <c:pt idx="19">
                  <c:v>1.7163098510500252</c:v>
                </c:pt>
                <c:pt idx="20">
                  <c:v>1.7096912265885886</c:v>
                </c:pt>
                <c:pt idx="21">
                  <c:v>1.7006988072202973</c:v>
                </c:pt>
                <c:pt idx="22">
                  <c:v>1.6953943510075151</c:v>
                </c:pt>
                <c:pt idx="23">
                  <c:v>1.6883827789301005</c:v>
                </c:pt>
                <c:pt idx="24">
                  <c:v>1.6827857903165107</c:v>
                </c:pt>
                <c:pt idx="25">
                  <c:v>1.675920197916362</c:v>
                </c:pt>
                <c:pt idx="26">
                  <c:v>1.6713527040639871</c:v>
                </c:pt>
                <c:pt idx="27">
                  <c:v>1.6650541817140447</c:v>
                </c:pt>
                <c:pt idx="28">
                  <c:v>1.6602616360427895</c:v>
                </c:pt>
                <c:pt idx="29">
                  <c:v>1.6559224734805156</c:v>
                </c:pt>
                <c:pt idx="30">
                  <c:v>1.6520444010729822</c:v>
                </c:pt>
                <c:pt idx="31">
                  <c:v>1.6471824445074859</c:v>
                </c:pt>
                <c:pt idx="32">
                  <c:v>1.6440052600201305</c:v>
                </c:pt>
                <c:pt idx="33">
                  <c:v>1.6400741523141846</c:v>
                </c:pt>
                <c:pt idx="34">
                  <c:v>1.6383918327196674</c:v>
                </c:pt>
                <c:pt idx="35">
                  <c:v>1.6349941946049664</c:v>
                </c:pt>
                <c:pt idx="36">
                  <c:v>1.6311609239532507</c:v>
                </c:pt>
                <c:pt idx="37">
                  <c:v>1.631207647113095</c:v>
                </c:pt>
                <c:pt idx="38">
                  <c:v>1.6276380265864629</c:v>
                </c:pt>
                <c:pt idx="39">
                  <c:v>1.6287956325922881</c:v>
                </c:pt>
                <c:pt idx="40">
                  <c:v>1.6250666709351216</c:v>
                </c:pt>
                <c:pt idx="41">
                  <c:v>1.6274594089647145</c:v>
                </c:pt>
                <c:pt idx="42">
                  <c:v>1.6247839097263936</c:v>
                </c:pt>
                <c:pt idx="43">
                  <c:v>1.6260178784916341</c:v>
                </c:pt>
                <c:pt idx="44">
                  <c:v>1.6277978008624481</c:v>
                </c:pt>
                <c:pt idx="45">
                  <c:v>1.6276994362351538</c:v>
                </c:pt>
                <c:pt idx="46">
                  <c:v>1.6287378531414853</c:v>
                </c:pt>
                <c:pt idx="47">
                  <c:v>1.6310619434450055</c:v>
                </c:pt>
                <c:pt idx="48">
                  <c:v>1.6335058889999159</c:v>
                </c:pt>
                <c:pt idx="49">
                  <c:v>1.6350569762609746</c:v>
                </c:pt>
                <c:pt idx="50">
                  <c:v>1.6380154650961498</c:v>
                </c:pt>
                <c:pt idx="51">
                  <c:v>1.6424373635732774</c:v>
                </c:pt>
                <c:pt idx="52">
                  <c:v>1.6467763416603045</c:v>
                </c:pt>
                <c:pt idx="53">
                  <c:v>1.6516471006555034</c:v>
                </c:pt>
                <c:pt idx="54">
                  <c:v>1.6557344346444978</c:v>
                </c:pt>
                <c:pt idx="55">
                  <c:v>1.6594265618376358</c:v>
                </c:pt>
                <c:pt idx="56">
                  <c:v>1.6672811610577785</c:v>
                </c:pt>
                <c:pt idx="57">
                  <c:v>1.6733234494253468</c:v>
                </c:pt>
                <c:pt idx="58">
                  <c:v>1.6795837290345825</c:v>
                </c:pt>
                <c:pt idx="59">
                  <c:v>1.6862769419945534</c:v>
                </c:pt>
                <c:pt idx="60">
                  <c:v>1.695896132669011</c:v>
                </c:pt>
                <c:pt idx="61">
                  <c:v>1.7023292096450475</c:v>
                </c:pt>
                <c:pt idx="62">
                  <c:v>1.7121540374526685</c:v>
                </c:pt>
                <c:pt idx="63">
                  <c:v>1.721427694534907</c:v>
                </c:pt>
                <c:pt idx="64">
                  <c:v>1.7319868107338734</c:v>
                </c:pt>
                <c:pt idx="65">
                  <c:v>1.7408955647328825</c:v>
                </c:pt>
                <c:pt idx="66">
                  <c:v>1.7534738601418092</c:v>
                </c:pt>
                <c:pt idx="67">
                  <c:v>1.7643197281345371</c:v>
                </c:pt>
                <c:pt idx="68">
                  <c:v>1.7763820286828484</c:v>
                </c:pt>
                <c:pt idx="69">
                  <c:v>1.7901257968816753</c:v>
                </c:pt>
                <c:pt idx="70">
                  <c:v>1.8027075376525943</c:v>
                </c:pt>
                <c:pt idx="71">
                  <c:v>1.8186183839108778</c:v>
                </c:pt>
                <c:pt idx="72">
                  <c:v>1.8327357903516455</c:v>
                </c:pt>
                <c:pt idx="73">
                  <c:v>1.8475346315883618</c:v>
                </c:pt>
                <c:pt idx="74">
                  <c:v>1.862940816656619</c:v>
                </c:pt>
                <c:pt idx="75">
                  <c:v>1.8804616892911949</c:v>
                </c:pt>
                <c:pt idx="76">
                  <c:v>1.898588645789367</c:v>
                </c:pt>
                <c:pt idx="77">
                  <c:v>1.9184698927194677</c:v>
                </c:pt>
                <c:pt idx="78">
                  <c:v>1.9352694291576842</c:v>
                </c:pt>
                <c:pt idx="79">
                  <c:v>1.9557475694213</c:v>
                </c:pt>
                <c:pt idx="80">
                  <c:v>1.9771235971632719</c:v>
                </c:pt>
                <c:pt idx="81">
                  <c:v>1.9982822301097394</c:v>
                </c:pt>
                <c:pt idx="82">
                  <c:v>2.0215821039080071</c:v>
                </c:pt>
                <c:pt idx="83">
                  <c:v>2.0431085357677037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5C-40A0-9918-B10CCF069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10976"/>
        <c:axId val="488512896"/>
      </c:scatterChart>
      <c:valAx>
        <c:axId val="488510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Range,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8512896"/>
        <c:crosses val="autoZero"/>
        <c:crossBetween val="midCat"/>
      </c:valAx>
      <c:valAx>
        <c:axId val="488512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Deceleration, g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510976"/>
        <c:crosses val="autoZero"/>
        <c:crossBetween val="midCat"/>
      </c:val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Altitude 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Ephemeris'!$A$8:$A$91</c:f>
              <c:numCache>
                <c:formatCode>hh:mm:ss.0</c:formatCode>
                <c:ptCount val="84"/>
                <c:pt idx="0">
                  <c:v>0.73956019675925921</c:v>
                </c:pt>
                <c:pt idx="1">
                  <c:v>0.73957177083333336</c:v>
                </c:pt>
                <c:pt idx="2">
                  <c:v>0.73958334490740751</c:v>
                </c:pt>
                <c:pt idx="3">
                  <c:v>0.73959491898148144</c:v>
                </c:pt>
                <c:pt idx="4">
                  <c:v>0.73960646990740742</c:v>
                </c:pt>
                <c:pt idx="5">
                  <c:v>0.73961805555555549</c:v>
                </c:pt>
                <c:pt idx="6">
                  <c:v>0.73962965277777781</c:v>
                </c:pt>
                <c:pt idx="7">
                  <c:v>0.73964122685185185</c:v>
                </c:pt>
                <c:pt idx="8">
                  <c:v>0.73965277777777771</c:v>
                </c:pt>
                <c:pt idx="9">
                  <c:v>0.73966435185185186</c:v>
                </c:pt>
                <c:pt idx="10">
                  <c:v>0.73967594907407408</c:v>
                </c:pt>
                <c:pt idx="11">
                  <c:v>0.73968754629629629</c:v>
                </c:pt>
                <c:pt idx="12">
                  <c:v>0.7396991087962963</c:v>
                </c:pt>
                <c:pt idx="13">
                  <c:v>0.73971070601851852</c:v>
                </c:pt>
                <c:pt idx="14">
                  <c:v>0.73972221064814814</c:v>
                </c:pt>
                <c:pt idx="15">
                  <c:v>0.73973387731481477</c:v>
                </c:pt>
                <c:pt idx="16">
                  <c:v>0.7397453819444445</c:v>
                </c:pt>
                <c:pt idx="17">
                  <c:v>0.73975696759259257</c:v>
                </c:pt>
                <c:pt idx="18">
                  <c:v>0.73976853009259258</c:v>
                </c:pt>
                <c:pt idx="19">
                  <c:v>0.73978008101851855</c:v>
                </c:pt>
                <c:pt idx="20">
                  <c:v>0.73979167824074077</c:v>
                </c:pt>
                <c:pt idx="21">
                  <c:v>0.73980326388888884</c:v>
                </c:pt>
                <c:pt idx="22">
                  <c:v>0.73981480324074067</c:v>
                </c:pt>
                <c:pt idx="23">
                  <c:v>0.73982641203703714</c:v>
                </c:pt>
                <c:pt idx="24">
                  <c:v>0.73983796296296289</c:v>
                </c:pt>
                <c:pt idx="25">
                  <c:v>0.7398495254629629</c:v>
                </c:pt>
                <c:pt idx="26">
                  <c:v>0.73986113425925926</c:v>
                </c:pt>
                <c:pt idx="27">
                  <c:v>0.73987269675925926</c:v>
                </c:pt>
                <c:pt idx="28">
                  <c:v>0.73988424768518524</c:v>
                </c:pt>
                <c:pt idx="29">
                  <c:v>0.73989583333333331</c:v>
                </c:pt>
                <c:pt idx="30">
                  <c:v>0.73990740740740746</c:v>
                </c:pt>
                <c:pt idx="31">
                  <c:v>0.73991900462962956</c:v>
                </c:pt>
                <c:pt idx="32">
                  <c:v>0.7399305439814815</c:v>
                </c:pt>
                <c:pt idx="33">
                  <c:v>0.73994214120370361</c:v>
                </c:pt>
                <c:pt idx="34">
                  <c:v>0.7399537268518519</c:v>
                </c:pt>
                <c:pt idx="35">
                  <c:v>0.73996526620370373</c:v>
                </c:pt>
                <c:pt idx="36">
                  <c:v>0.73997684027777788</c:v>
                </c:pt>
                <c:pt idx="37">
                  <c:v>0.73998841435185181</c:v>
                </c:pt>
                <c:pt idx="38">
                  <c:v>0.74000002314814817</c:v>
                </c:pt>
                <c:pt idx="39">
                  <c:v>0.74001158564814817</c:v>
                </c:pt>
                <c:pt idx="40">
                  <c:v>0.74002313657407404</c:v>
                </c:pt>
                <c:pt idx="41">
                  <c:v>0.74003474537037039</c:v>
                </c:pt>
                <c:pt idx="42">
                  <c:v>0.7400463078703704</c:v>
                </c:pt>
                <c:pt idx="43">
                  <c:v>0.74005788194444444</c:v>
                </c:pt>
                <c:pt idx="44">
                  <c:v>0.7400694328703703</c:v>
                </c:pt>
                <c:pt idx="45">
                  <c:v>0.74008100694444445</c:v>
                </c:pt>
                <c:pt idx="46">
                  <c:v>0.74009259259259252</c:v>
                </c:pt>
                <c:pt idx="47">
                  <c:v>0.74010416666666667</c:v>
                </c:pt>
                <c:pt idx="48">
                  <c:v>0.74011575231481475</c:v>
                </c:pt>
                <c:pt idx="49">
                  <c:v>0.7401273263888889</c:v>
                </c:pt>
                <c:pt idx="50">
                  <c:v>0.74013888888888879</c:v>
                </c:pt>
                <c:pt idx="51">
                  <c:v>0.74015047453703708</c:v>
                </c:pt>
                <c:pt idx="52">
                  <c:v>0.74016202546296295</c:v>
                </c:pt>
                <c:pt idx="53">
                  <c:v>0.74017361111111113</c:v>
                </c:pt>
                <c:pt idx="54">
                  <c:v>0.74018517361111114</c:v>
                </c:pt>
                <c:pt idx="55">
                  <c:v>0.74019674768518529</c:v>
                </c:pt>
                <c:pt idx="56">
                  <c:v>0.74020832175925921</c:v>
                </c:pt>
                <c:pt idx="57">
                  <c:v>0.74021993055555557</c:v>
                </c:pt>
                <c:pt idx="58">
                  <c:v>0.7402314699074074</c:v>
                </c:pt>
                <c:pt idx="59">
                  <c:v>0.74024306712962973</c:v>
                </c:pt>
                <c:pt idx="60">
                  <c:v>0.74025462962962962</c:v>
                </c:pt>
                <c:pt idx="61">
                  <c:v>0.74026621527777781</c:v>
                </c:pt>
                <c:pt idx="62">
                  <c:v>0.7402777777777777</c:v>
                </c:pt>
                <c:pt idx="63">
                  <c:v>0.74028935185185185</c:v>
                </c:pt>
                <c:pt idx="64">
                  <c:v>0.74030097222222224</c:v>
                </c:pt>
                <c:pt idx="65">
                  <c:v>0.74031251157407407</c:v>
                </c:pt>
                <c:pt idx="66">
                  <c:v>0.74032408564814822</c:v>
                </c:pt>
                <c:pt idx="67">
                  <c:v>0.74033564814814812</c:v>
                </c:pt>
                <c:pt idx="68">
                  <c:v>0.7403472337962963</c:v>
                </c:pt>
                <c:pt idx="69">
                  <c:v>0.74035880787037034</c:v>
                </c:pt>
                <c:pt idx="70">
                  <c:v>0.74037035879629631</c:v>
                </c:pt>
                <c:pt idx="71">
                  <c:v>0.74038193287037035</c:v>
                </c:pt>
                <c:pt idx="72">
                  <c:v>0.74039350694444439</c:v>
                </c:pt>
                <c:pt idx="73">
                  <c:v>0.74040508101851854</c:v>
                </c:pt>
                <c:pt idx="74">
                  <c:v>0.74041665509259269</c:v>
                </c:pt>
                <c:pt idx="75">
                  <c:v>0.74042826388888894</c:v>
                </c:pt>
                <c:pt idx="76">
                  <c:v>0.74043981481481491</c:v>
                </c:pt>
                <c:pt idx="77">
                  <c:v>0.74045138888888884</c:v>
                </c:pt>
                <c:pt idx="78">
                  <c:v>0.74046295138888896</c:v>
                </c:pt>
                <c:pt idx="79">
                  <c:v>0.74047452546296288</c:v>
                </c:pt>
                <c:pt idx="80">
                  <c:v>0.74048611111111118</c:v>
                </c:pt>
                <c:pt idx="81">
                  <c:v>0.74049767361111118</c:v>
                </c:pt>
                <c:pt idx="82">
                  <c:v>0.74050925925925926</c:v>
                </c:pt>
                <c:pt idx="83">
                  <c:v>0.7405208680555555</c:v>
                </c:pt>
              </c:numCache>
            </c:numRef>
          </c:xVal>
          <c:yVal>
            <c:numRef>
              <c:f>'Compute Ephemeris'!$D$8:$D$91</c:f>
              <c:numCache>
                <c:formatCode>#,##0.00</c:formatCode>
                <c:ptCount val="84"/>
                <c:pt idx="0">
                  <c:v>85.141068091922534</c:v>
                </c:pt>
                <c:pt idx="1">
                  <c:v>85.146152396613616</c:v>
                </c:pt>
                <c:pt idx="2">
                  <c:v>85.151087765895682</c:v>
                </c:pt>
                <c:pt idx="3">
                  <c:v>85.155835669121188</c:v>
                </c:pt>
                <c:pt idx="4">
                  <c:v>85.160343676497178</c:v>
                </c:pt>
                <c:pt idx="5">
                  <c:v>85.164587719649717</c:v>
                </c:pt>
                <c:pt idx="6">
                  <c:v>85.168517733787667</c:v>
                </c:pt>
                <c:pt idx="7">
                  <c:v>85.172076487504455</c:v>
                </c:pt>
                <c:pt idx="8">
                  <c:v>85.175225640362441</c:v>
                </c:pt>
                <c:pt idx="9">
                  <c:v>85.177939822688131</c:v>
                </c:pt>
                <c:pt idx="10">
                  <c:v>85.180173471835587</c:v>
                </c:pt>
                <c:pt idx="11">
                  <c:v>85.181878352769672</c:v>
                </c:pt>
                <c:pt idx="12">
                  <c:v>85.183013662243866</c:v>
                </c:pt>
                <c:pt idx="13">
                  <c:v>85.183545676012727</c:v>
                </c:pt>
                <c:pt idx="14">
                  <c:v>85.183434872338694</c:v>
                </c:pt>
                <c:pt idx="15">
                  <c:v>85.182632700608337</c:v>
                </c:pt>
                <c:pt idx="16">
                  <c:v>85.181124379086214</c:v>
                </c:pt>
                <c:pt idx="17">
                  <c:v>85.178848725914577</c:v>
                </c:pt>
                <c:pt idx="18">
                  <c:v>85.175778975849425</c:v>
                </c:pt>
                <c:pt idx="19">
                  <c:v>85.171880770017196</c:v>
                </c:pt>
                <c:pt idx="20">
                  <c:v>85.167091116754818</c:v>
                </c:pt>
                <c:pt idx="21">
                  <c:v>85.161401501763066</c:v>
                </c:pt>
                <c:pt idx="22">
                  <c:v>85.154788571100653</c:v>
                </c:pt>
                <c:pt idx="23">
                  <c:v>85.147153914160299</c:v>
                </c:pt>
                <c:pt idx="24">
                  <c:v>85.138538919558414</c:v>
                </c:pt>
                <c:pt idx="25">
                  <c:v>85.128870927055686</c:v>
                </c:pt>
                <c:pt idx="26">
                  <c:v>85.118065964419657</c:v>
                </c:pt>
                <c:pt idx="27">
                  <c:v>85.106188374306839</c:v>
                </c:pt>
                <c:pt idx="28">
                  <c:v>85.093168780636006</c:v>
                </c:pt>
                <c:pt idx="29">
                  <c:v>85.078915507119746</c:v>
                </c:pt>
                <c:pt idx="30">
                  <c:v>85.063445632050389</c:v>
                </c:pt>
                <c:pt idx="31">
                  <c:v>85.046689602309016</c:v>
                </c:pt>
                <c:pt idx="32">
                  <c:v>85.028723339379212</c:v>
                </c:pt>
                <c:pt idx="33">
                  <c:v>85.009345236935587</c:v>
                </c:pt>
                <c:pt idx="34">
                  <c:v>84.988606583000546</c:v>
                </c:pt>
                <c:pt idx="35">
                  <c:v>84.966572243084556</c:v>
                </c:pt>
                <c:pt idx="36">
                  <c:v>84.943070546602939</c:v>
                </c:pt>
                <c:pt idx="37">
                  <c:v>84.918081645053462</c:v>
                </c:pt>
                <c:pt idx="38">
                  <c:v>84.891552430301999</c:v>
                </c:pt>
                <c:pt idx="39">
                  <c:v>84.863566707876998</c:v>
                </c:pt>
                <c:pt idx="40">
                  <c:v>84.834111145079987</c:v>
                </c:pt>
                <c:pt idx="41">
                  <c:v>84.802862902604829</c:v>
                </c:pt>
                <c:pt idx="42">
                  <c:v>84.770172135335997</c:v>
                </c:pt>
                <c:pt idx="43">
                  <c:v>84.735782367363754</c:v>
                </c:pt>
                <c:pt idx="44">
                  <c:v>84.699761761595255</c:v>
                </c:pt>
                <c:pt idx="45">
                  <c:v>84.661985405914493</c:v>
                </c:pt>
                <c:pt idx="46">
                  <c:v>84.622437995394648</c:v>
                </c:pt>
                <c:pt idx="47">
                  <c:v>84.581146547940079</c:v>
                </c:pt>
                <c:pt idx="48">
                  <c:v>84.538004334121979</c:v>
                </c:pt>
                <c:pt idx="49">
                  <c:v>84.493103468888876</c:v>
                </c:pt>
                <c:pt idx="50">
                  <c:v>84.446394422635422</c:v>
                </c:pt>
                <c:pt idx="51">
                  <c:v>84.397673562696582</c:v>
                </c:pt>
                <c:pt idx="52">
                  <c:v>84.347170876446398</c:v>
                </c:pt>
                <c:pt idx="53">
                  <c:v>84.294549155552886</c:v>
                </c:pt>
                <c:pt idx="54">
                  <c:v>84.240078915987397</c:v>
                </c:pt>
                <c:pt idx="55">
                  <c:v>84.183602561162843</c:v>
                </c:pt>
                <c:pt idx="56">
                  <c:v>84.125018253809685</c:v>
                </c:pt>
                <c:pt idx="57">
                  <c:v>84.064189925581559</c:v>
                </c:pt>
                <c:pt idx="58">
                  <c:v>84.001654767286709</c:v>
                </c:pt>
                <c:pt idx="59">
                  <c:v>83.936701319287749</c:v>
                </c:pt>
                <c:pt idx="60">
                  <c:v>83.869718829471822</c:v>
                </c:pt>
                <c:pt idx="61">
                  <c:v>83.800493533371991</c:v>
                </c:pt>
                <c:pt idx="62">
                  <c:v>83.729159052249997</c:v>
                </c:pt>
                <c:pt idx="63">
                  <c:v>83.655520381442329</c:v>
                </c:pt>
                <c:pt idx="64">
                  <c:v>83.579280499069682</c:v>
                </c:pt>
                <c:pt idx="65">
                  <c:v>83.501354853819976</c:v>
                </c:pt>
                <c:pt idx="66">
                  <c:v>83.420808031631168</c:v>
                </c:pt>
                <c:pt idx="67">
                  <c:v>83.338033536640978</c:v>
                </c:pt>
                <c:pt idx="68">
                  <c:v>83.252724791157561</c:v>
                </c:pt>
                <c:pt idx="69">
                  <c:v>83.165054912684354</c:v>
                </c:pt>
                <c:pt idx="70">
                  <c:v>83.075182158712778</c:v>
                </c:pt>
                <c:pt idx="71">
                  <c:v>82.982583994677952</c:v>
                </c:pt>
                <c:pt idx="72">
                  <c:v>82.887535439655039</c:v>
                </c:pt>
                <c:pt idx="73">
                  <c:v>82.790011546209826</c:v>
                </c:pt>
                <c:pt idx="74">
                  <c:v>82.689992200344932</c:v>
                </c:pt>
                <c:pt idx="75">
                  <c:v>82.587065535275542</c:v>
                </c:pt>
                <c:pt idx="76">
                  <c:v>82.482038325439134</c:v>
                </c:pt>
                <c:pt idx="77">
                  <c:v>82.374099565446159</c:v>
                </c:pt>
                <c:pt idx="78">
                  <c:v>82.263760903177172</c:v>
                </c:pt>
                <c:pt idx="79">
                  <c:v>82.150612583124712</c:v>
                </c:pt>
                <c:pt idx="80">
                  <c:v>82.034615142939401</c:v>
                </c:pt>
                <c:pt idx="81">
                  <c:v>81.916155059772791</c:v>
                </c:pt>
                <c:pt idx="82">
                  <c:v>81.794655474926003</c:v>
                </c:pt>
                <c:pt idx="83">
                  <c:v>81.670237150454341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1-403E-9F95-CF1542F2D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42592"/>
        <c:axId val="488544512"/>
      </c:scatterChart>
      <c:valAx>
        <c:axId val="48854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88544512"/>
        <c:crosses val="autoZero"/>
        <c:crossBetween val="midCat"/>
        <c:majorUnit val="2.0833330000000006E-3"/>
      </c:valAx>
      <c:valAx>
        <c:axId val="488544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Altitude,</a:t>
                </a:r>
                <a:r>
                  <a:rPr lang="en-CA" baseline="0"/>
                  <a:t> km</a:t>
                </a:r>
                <a:endParaRPr lang="en-CA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542592"/>
        <c:crosses val="autoZero"/>
        <c:crossBetween val="midCat"/>
      </c:valAx>
    </c:plotArea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Range 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Ephemeris'!$A$8:$A$91</c:f>
              <c:numCache>
                <c:formatCode>hh:mm:ss.0</c:formatCode>
                <c:ptCount val="84"/>
                <c:pt idx="0">
                  <c:v>0.73956019675925921</c:v>
                </c:pt>
                <c:pt idx="1">
                  <c:v>0.73957177083333336</c:v>
                </c:pt>
                <c:pt idx="2">
                  <c:v>0.73958334490740751</c:v>
                </c:pt>
                <c:pt idx="3">
                  <c:v>0.73959491898148144</c:v>
                </c:pt>
                <c:pt idx="4">
                  <c:v>0.73960646990740742</c:v>
                </c:pt>
                <c:pt idx="5">
                  <c:v>0.73961805555555549</c:v>
                </c:pt>
                <c:pt idx="6">
                  <c:v>0.73962965277777781</c:v>
                </c:pt>
                <c:pt idx="7">
                  <c:v>0.73964122685185185</c:v>
                </c:pt>
                <c:pt idx="8">
                  <c:v>0.73965277777777771</c:v>
                </c:pt>
                <c:pt idx="9">
                  <c:v>0.73966435185185186</c:v>
                </c:pt>
                <c:pt idx="10">
                  <c:v>0.73967594907407408</c:v>
                </c:pt>
                <c:pt idx="11">
                  <c:v>0.73968754629629629</c:v>
                </c:pt>
                <c:pt idx="12">
                  <c:v>0.7396991087962963</c:v>
                </c:pt>
                <c:pt idx="13">
                  <c:v>0.73971070601851852</c:v>
                </c:pt>
                <c:pt idx="14">
                  <c:v>0.73972221064814814</c:v>
                </c:pt>
                <c:pt idx="15">
                  <c:v>0.73973387731481477</c:v>
                </c:pt>
                <c:pt idx="16">
                  <c:v>0.7397453819444445</c:v>
                </c:pt>
                <c:pt idx="17">
                  <c:v>0.73975696759259257</c:v>
                </c:pt>
                <c:pt idx="18">
                  <c:v>0.73976853009259258</c:v>
                </c:pt>
                <c:pt idx="19">
                  <c:v>0.73978008101851855</c:v>
                </c:pt>
                <c:pt idx="20">
                  <c:v>0.73979167824074077</c:v>
                </c:pt>
                <c:pt idx="21">
                  <c:v>0.73980326388888884</c:v>
                </c:pt>
                <c:pt idx="22">
                  <c:v>0.73981480324074067</c:v>
                </c:pt>
                <c:pt idx="23">
                  <c:v>0.73982641203703714</c:v>
                </c:pt>
                <c:pt idx="24">
                  <c:v>0.73983796296296289</c:v>
                </c:pt>
                <c:pt idx="25">
                  <c:v>0.7398495254629629</c:v>
                </c:pt>
                <c:pt idx="26">
                  <c:v>0.73986113425925926</c:v>
                </c:pt>
                <c:pt idx="27">
                  <c:v>0.73987269675925926</c:v>
                </c:pt>
                <c:pt idx="28">
                  <c:v>0.73988424768518524</c:v>
                </c:pt>
                <c:pt idx="29">
                  <c:v>0.73989583333333331</c:v>
                </c:pt>
                <c:pt idx="30">
                  <c:v>0.73990740740740746</c:v>
                </c:pt>
                <c:pt idx="31">
                  <c:v>0.73991900462962956</c:v>
                </c:pt>
                <c:pt idx="32">
                  <c:v>0.7399305439814815</c:v>
                </c:pt>
                <c:pt idx="33">
                  <c:v>0.73994214120370361</c:v>
                </c:pt>
                <c:pt idx="34">
                  <c:v>0.7399537268518519</c:v>
                </c:pt>
                <c:pt idx="35">
                  <c:v>0.73996526620370373</c:v>
                </c:pt>
                <c:pt idx="36">
                  <c:v>0.73997684027777788</c:v>
                </c:pt>
                <c:pt idx="37">
                  <c:v>0.73998841435185181</c:v>
                </c:pt>
                <c:pt idx="38">
                  <c:v>0.74000002314814817</c:v>
                </c:pt>
                <c:pt idx="39">
                  <c:v>0.74001158564814817</c:v>
                </c:pt>
                <c:pt idx="40">
                  <c:v>0.74002313657407404</c:v>
                </c:pt>
                <c:pt idx="41">
                  <c:v>0.74003474537037039</c:v>
                </c:pt>
                <c:pt idx="42">
                  <c:v>0.7400463078703704</c:v>
                </c:pt>
                <c:pt idx="43">
                  <c:v>0.74005788194444444</c:v>
                </c:pt>
                <c:pt idx="44">
                  <c:v>0.7400694328703703</c:v>
                </c:pt>
                <c:pt idx="45">
                  <c:v>0.74008100694444445</c:v>
                </c:pt>
                <c:pt idx="46">
                  <c:v>0.74009259259259252</c:v>
                </c:pt>
                <c:pt idx="47">
                  <c:v>0.74010416666666667</c:v>
                </c:pt>
                <c:pt idx="48">
                  <c:v>0.74011575231481475</c:v>
                </c:pt>
                <c:pt idx="49">
                  <c:v>0.7401273263888889</c:v>
                </c:pt>
                <c:pt idx="50">
                  <c:v>0.74013888888888879</c:v>
                </c:pt>
                <c:pt idx="51">
                  <c:v>0.74015047453703708</c:v>
                </c:pt>
                <c:pt idx="52">
                  <c:v>0.74016202546296295</c:v>
                </c:pt>
                <c:pt idx="53">
                  <c:v>0.74017361111111113</c:v>
                </c:pt>
                <c:pt idx="54">
                  <c:v>0.74018517361111114</c:v>
                </c:pt>
                <c:pt idx="55">
                  <c:v>0.74019674768518529</c:v>
                </c:pt>
                <c:pt idx="56">
                  <c:v>0.74020832175925921</c:v>
                </c:pt>
                <c:pt idx="57">
                  <c:v>0.74021993055555557</c:v>
                </c:pt>
                <c:pt idx="58">
                  <c:v>0.7402314699074074</c:v>
                </c:pt>
                <c:pt idx="59">
                  <c:v>0.74024306712962973</c:v>
                </c:pt>
                <c:pt idx="60">
                  <c:v>0.74025462962962962</c:v>
                </c:pt>
                <c:pt idx="61">
                  <c:v>0.74026621527777781</c:v>
                </c:pt>
                <c:pt idx="62">
                  <c:v>0.7402777777777777</c:v>
                </c:pt>
                <c:pt idx="63">
                  <c:v>0.74028935185185185</c:v>
                </c:pt>
                <c:pt idx="64">
                  <c:v>0.74030097222222224</c:v>
                </c:pt>
                <c:pt idx="65">
                  <c:v>0.74031251157407407</c:v>
                </c:pt>
                <c:pt idx="66">
                  <c:v>0.74032408564814822</c:v>
                </c:pt>
                <c:pt idx="67">
                  <c:v>0.74033564814814812</c:v>
                </c:pt>
                <c:pt idx="68">
                  <c:v>0.7403472337962963</c:v>
                </c:pt>
                <c:pt idx="69">
                  <c:v>0.74035880787037034</c:v>
                </c:pt>
                <c:pt idx="70">
                  <c:v>0.74037035879629631</c:v>
                </c:pt>
                <c:pt idx="71">
                  <c:v>0.74038193287037035</c:v>
                </c:pt>
                <c:pt idx="72">
                  <c:v>0.74039350694444439</c:v>
                </c:pt>
                <c:pt idx="73">
                  <c:v>0.74040508101851854</c:v>
                </c:pt>
                <c:pt idx="74">
                  <c:v>0.74041665509259269</c:v>
                </c:pt>
                <c:pt idx="75">
                  <c:v>0.74042826388888894</c:v>
                </c:pt>
                <c:pt idx="76">
                  <c:v>0.74043981481481491</c:v>
                </c:pt>
                <c:pt idx="77">
                  <c:v>0.74045138888888884</c:v>
                </c:pt>
                <c:pt idx="78">
                  <c:v>0.74046295138888896</c:v>
                </c:pt>
                <c:pt idx="79">
                  <c:v>0.74047452546296288</c:v>
                </c:pt>
                <c:pt idx="80">
                  <c:v>0.74048611111111118</c:v>
                </c:pt>
                <c:pt idx="81">
                  <c:v>0.74049767361111118</c:v>
                </c:pt>
                <c:pt idx="82">
                  <c:v>0.74050925925925926</c:v>
                </c:pt>
                <c:pt idx="83">
                  <c:v>0.7405208680555555</c:v>
                </c:pt>
              </c:numCache>
            </c:numRef>
          </c:xVal>
          <c:yVal>
            <c:numRef>
              <c:f>'Compute Ephemeris'!$AI$8:$AI$91</c:f>
              <c:numCache>
                <c:formatCode>0.0</c:formatCode>
                <c:ptCount val="84"/>
                <c:pt idx="0">
                  <c:v>12.886873194226837</c:v>
                </c:pt>
                <c:pt idx="1">
                  <c:v>20.254501586010139</c:v>
                </c:pt>
                <c:pt idx="2">
                  <c:v>27.598883060703795</c:v>
                </c:pt>
                <c:pt idx="3">
                  <c:v>34.928446249952707</c:v>
                </c:pt>
                <c:pt idx="4">
                  <c:v>42.228806437223959</c:v>
                </c:pt>
                <c:pt idx="5">
                  <c:v>49.531206961314474</c:v>
                </c:pt>
                <c:pt idx="6">
                  <c:v>56.826310966434171</c:v>
                </c:pt>
                <c:pt idx="7">
                  <c:v>64.085097858678196</c:v>
                </c:pt>
                <c:pt idx="8">
                  <c:v>71.308946459993493</c:v>
                </c:pt>
                <c:pt idx="9">
                  <c:v>78.535046498590788</c:v>
                </c:pt>
                <c:pt idx="10">
                  <c:v>85.759774429983707</c:v>
                </c:pt>
                <c:pt idx="11">
                  <c:v>92.961955866526793</c:v>
                </c:pt>
                <c:pt idx="12">
                  <c:v>100.12765723850711</c:v>
                </c:pt>
                <c:pt idx="13">
                  <c:v>107.29202146526885</c:v>
                </c:pt>
                <c:pt idx="14">
                  <c:v>114.39072181648402</c:v>
                </c:pt>
                <c:pt idx="15">
                  <c:v>121.57238567080346</c:v>
                </c:pt>
                <c:pt idx="16">
                  <c:v>128.63263871611619</c:v>
                </c:pt>
                <c:pt idx="17">
                  <c:v>135.72173501660879</c:v>
                </c:pt>
                <c:pt idx="18">
                  <c:v>142.78709405889015</c:v>
                </c:pt>
                <c:pt idx="19">
                  <c:v>149.82777467465795</c:v>
                </c:pt>
                <c:pt idx="20">
                  <c:v>156.8831562859163</c:v>
                </c:pt>
                <c:pt idx="21">
                  <c:v>163.9066298474915</c:v>
                </c:pt>
                <c:pt idx="22">
                  <c:v>170.89197565031813</c:v>
                </c:pt>
                <c:pt idx="23">
                  <c:v>177.900681561803</c:v>
                </c:pt>
                <c:pt idx="24">
                  <c:v>184.86078774984179</c:v>
                </c:pt>
                <c:pt idx="25">
                  <c:v>191.80745382234548</c:v>
                </c:pt>
                <c:pt idx="26">
                  <c:v>198.77022666495606</c:v>
                </c:pt>
                <c:pt idx="27">
                  <c:v>205.68476978842443</c:v>
                </c:pt>
                <c:pt idx="28">
                  <c:v>212.57718748640144</c:v>
                </c:pt>
                <c:pt idx="29">
                  <c:v>219.47573080670588</c:v>
                </c:pt>
                <c:pt idx="30">
                  <c:v>226.35348556985025</c:v>
                </c:pt>
                <c:pt idx="31">
                  <c:v>233.2253869450108</c:v>
                </c:pt>
                <c:pt idx="32">
                  <c:v>240.04943104526663</c:v>
                </c:pt>
                <c:pt idx="33">
                  <c:v>246.88934702783453</c:v>
                </c:pt>
                <c:pt idx="34">
                  <c:v>253.71247592373297</c:v>
                </c:pt>
                <c:pt idx="35">
                  <c:v>260.48950928882476</c:v>
                </c:pt>
                <c:pt idx="36">
                  <c:v>267.2646697250542</c:v>
                </c:pt>
                <c:pt idx="37">
                  <c:v>274.03295396093699</c:v>
                </c:pt>
                <c:pt idx="38">
                  <c:v>280.79730644679546</c:v>
                </c:pt>
                <c:pt idx="39">
                  <c:v>287.52950909551225</c:v>
                </c:pt>
                <c:pt idx="40">
                  <c:v>294.22709329909873</c:v>
                </c:pt>
                <c:pt idx="41">
                  <c:v>300.95518982719057</c:v>
                </c:pt>
                <c:pt idx="42">
                  <c:v>307.62987376727989</c:v>
                </c:pt>
                <c:pt idx="43">
                  <c:v>314.29990912197695</c:v>
                </c:pt>
                <c:pt idx="44">
                  <c:v>320.94593835974507</c:v>
                </c:pt>
                <c:pt idx="45">
                  <c:v>327.58483511289495</c:v>
                </c:pt>
                <c:pt idx="46">
                  <c:v>334.21304233620759</c:v>
                </c:pt>
                <c:pt idx="47">
                  <c:v>340.82104393132016</c:v>
                </c:pt>
                <c:pt idx="48">
                  <c:v>347.42077745799759</c:v>
                </c:pt>
                <c:pt idx="49">
                  <c:v>353.99348207775176</c:v>
                </c:pt>
                <c:pt idx="50">
                  <c:v>360.5433696439199</c:v>
                </c:pt>
                <c:pt idx="51">
                  <c:v>367.09436800336942</c:v>
                </c:pt>
                <c:pt idx="52">
                  <c:v>373.61151242907164</c:v>
                </c:pt>
                <c:pt idx="53">
                  <c:v>380.13426838377467</c:v>
                </c:pt>
                <c:pt idx="54">
                  <c:v>386.62485162932245</c:v>
                </c:pt>
                <c:pt idx="55">
                  <c:v>393.09926529064222</c:v>
                </c:pt>
                <c:pt idx="56">
                  <c:v>399.56606938531456</c:v>
                </c:pt>
                <c:pt idx="57">
                  <c:v>406.03506309331664</c:v>
                </c:pt>
                <c:pt idx="58">
                  <c:v>412.4471658286152</c:v>
                </c:pt>
                <c:pt idx="59">
                  <c:v>418.87287148488133</c:v>
                </c:pt>
                <c:pt idx="60">
                  <c:v>425.2703170067889</c:v>
                </c:pt>
                <c:pt idx="61">
                  <c:v>431.65673009386842</c:v>
                </c:pt>
                <c:pt idx="62">
                  <c:v>438.01782414993528</c:v>
                </c:pt>
                <c:pt idx="63">
                  <c:v>444.36832689231738</c:v>
                </c:pt>
                <c:pt idx="64">
                  <c:v>450.72979244890843</c:v>
                </c:pt>
                <c:pt idx="65">
                  <c:v>457.02409402996756</c:v>
                </c:pt>
                <c:pt idx="66">
                  <c:v>463.32626766204419</c:v>
                </c:pt>
                <c:pt idx="67">
                  <c:v>469.60209914748765</c:v>
                </c:pt>
                <c:pt idx="68">
                  <c:v>475.87262415534627</c:v>
                </c:pt>
                <c:pt idx="69">
                  <c:v>482.12278876516575</c:v>
                </c:pt>
                <c:pt idx="70">
                  <c:v>488.33977794203707</c:v>
                </c:pt>
                <c:pt idx="71">
                  <c:v>494.55810128496842</c:v>
                </c:pt>
                <c:pt idx="72">
                  <c:v>500.75618134677387</c:v>
                </c:pt>
                <c:pt idx="73">
                  <c:v>506.93396612984287</c:v>
                </c:pt>
                <c:pt idx="74">
                  <c:v>513.09109380236032</c:v>
                </c:pt>
                <c:pt idx="75">
                  <c:v>519.25061109789226</c:v>
                </c:pt>
                <c:pt idx="76">
                  <c:v>525.36284471488034</c:v>
                </c:pt>
                <c:pt idx="77">
                  <c:v>531.4739704017843</c:v>
                </c:pt>
                <c:pt idx="78">
                  <c:v>537.55256372944461</c:v>
                </c:pt>
                <c:pt idx="79">
                  <c:v>543.62032521322988</c:v>
                </c:pt>
                <c:pt idx="80">
                  <c:v>549.67717695710257</c:v>
                </c:pt>
                <c:pt idx="81">
                  <c:v>555.70144858656147</c:v>
                </c:pt>
                <c:pt idx="82">
                  <c:v>561.72114105540356</c:v>
                </c:pt>
                <c:pt idx="83">
                  <c:v>567.72753575282809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85-4BCB-9743-56CC1F89C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557568"/>
        <c:axId val="488793216"/>
      </c:scatterChart>
      <c:valAx>
        <c:axId val="488557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88793216"/>
        <c:crosses val="autoZero"/>
        <c:crossBetween val="midCat"/>
        <c:majorUnit val="2.0833330000000006E-3"/>
      </c:valAx>
      <c:valAx>
        <c:axId val="4887932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Range,</a:t>
                </a:r>
                <a:r>
                  <a:rPr lang="en-CA" baseline="0"/>
                  <a:t> km</a:t>
                </a:r>
                <a:endParaRPr lang="en-CA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557568"/>
        <c:crosses val="autoZero"/>
        <c:crossBetween val="midCat"/>
      </c:valAx>
    </c:plotArea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Deceleration</a:t>
            </a:r>
            <a:r>
              <a:rPr lang="en-US" baseline="0"/>
              <a:t> </a:t>
            </a:r>
            <a:r>
              <a:rPr lang="en-US"/>
              <a:t>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Ephemeris'!$A$8:$A$91</c:f>
              <c:numCache>
                <c:formatCode>hh:mm:ss.0</c:formatCode>
                <c:ptCount val="84"/>
                <c:pt idx="0">
                  <c:v>0.73956019675925921</c:v>
                </c:pt>
                <c:pt idx="1">
                  <c:v>0.73957177083333336</c:v>
                </c:pt>
                <c:pt idx="2">
                  <c:v>0.73958334490740751</c:v>
                </c:pt>
                <c:pt idx="3">
                  <c:v>0.73959491898148144</c:v>
                </c:pt>
                <c:pt idx="4">
                  <c:v>0.73960646990740742</c:v>
                </c:pt>
                <c:pt idx="5">
                  <c:v>0.73961805555555549</c:v>
                </c:pt>
                <c:pt idx="6">
                  <c:v>0.73962965277777781</c:v>
                </c:pt>
                <c:pt idx="7">
                  <c:v>0.73964122685185185</c:v>
                </c:pt>
                <c:pt idx="8">
                  <c:v>0.73965277777777771</c:v>
                </c:pt>
                <c:pt idx="9">
                  <c:v>0.73966435185185186</c:v>
                </c:pt>
                <c:pt idx="10">
                  <c:v>0.73967594907407408</c:v>
                </c:pt>
                <c:pt idx="11">
                  <c:v>0.73968754629629629</c:v>
                </c:pt>
                <c:pt idx="12">
                  <c:v>0.7396991087962963</c:v>
                </c:pt>
                <c:pt idx="13">
                  <c:v>0.73971070601851852</c:v>
                </c:pt>
                <c:pt idx="14">
                  <c:v>0.73972221064814814</c:v>
                </c:pt>
                <c:pt idx="15">
                  <c:v>0.73973387731481477</c:v>
                </c:pt>
                <c:pt idx="16">
                  <c:v>0.7397453819444445</c:v>
                </c:pt>
                <c:pt idx="17">
                  <c:v>0.73975696759259257</c:v>
                </c:pt>
                <c:pt idx="18">
                  <c:v>0.73976853009259258</c:v>
                </c:pt>
                <c:pt idx="19">
                  <c:v>0.73978008101851855</c:v>
                </c:pt>
                <c:pt idx="20">
                  <c:v>0.73979167824074077</c:v>
                </c:pt>
                <c:pt idx="21">
                  <c:v>0.73980326388888884</c:v>
                </c:pt>
                <c:pt idx="22">
                  <c:v>0.73981480324074067</c:v>
                </c:pt>
                <c:pt idx="23">
                  <c:v>0.73982641203703714</c:v>
                </c:pt>
                <c:pt idx="24">
                  <c:v>0.73983796296296289</c:v>
                </c:pt>
                <c:pt idx="25">
                  <c:v>0.7398495254629629</c:v>
                </c:pt>
                <c:pt idx="26">
                  <c:v>0.73986113425925926</c:v>
                </c:pt>
                <c:pt idx="27">
                  <c:v>0.73987269675925926</c:v>
                </c:pt>
                <c:pt idx="28">
                  <c:v>0.73988424768518524</c:v>
                </c:pt>
                <c:pt idx="29">
                  <c:v>0.73989583333333331</c:v>
                </c:pt>
                <c:pt idx="30">
                  <c:v>0.73990740740740746</c:v>
                </c:pt>
                <c:pt idx="31">
                  <c:v>0.73991900462962956</c:v>
                </c:pt>
                <c:pt idx="32">
                  <c:v>0.7399305439814815</c:v>
                </c:pt>
                <c:pt idx="33">
                  <c:v>0.73994214120370361</c:v>
                </c:pt>
                <c:pt idx="34">
                  <c:v>0.7399537268518519</c:v>
                </c:pt>
                <c:pt idx="35">
                  <c:v>0.73996526620370373</c:v>
                </c:pt>
                <c:pt idx="36">
                  <c:v>0.73997684027777788</c:v>
                </c:pt>
                <c:pt idx="37">
                  <c:v>0.73998841435185181</c:v>
                </c:pt>
                <c:pt idx="38">
                  <c:v>0.74000002314814817</c:v>
                </c:pt>
                <c:pt idx="39">
                  <c:v>0.74001158564814817</c:v>
                </c:pt>
                <c:pt idx="40">
                  <c:v>0.74002313657407404</c:v>
                </c:pt>
                <c:pt idx="41">
                  <c:v>0.74003474537037039</c:v>
                </c:pt>
                <c:pt idx="42">
                  <c:v>0.7400463078703704</c:v>
                </c:pt>
                <c:pt idx="43">
                  <c:v>0.74005788194444444</c:v>
                </c:pt>
                <c:pt idx="44">
                  <c:v>0.7400694328703703</c:v>
                </c:pt>
                <c:pt idx="45">
                  <c:v>0.74008100694444445</c:v>
                </c:pt>
                <c:pt idx="46">
                  <c:v>0.74009259259259252</c:v>
                </c:pt>
                <c:pt idx="47">
                  <c:v>0.74010416666666667</c:v>
                </c:pt>
                <c:pt idx="48">
                  <c:v>0.74011575231481475</c:v>
                </c:pt>
                <c:pt idx="49">
                  <c:v>0.7401273263888889</c:v>
                </c:pt>
                <c:pt idx="50">
                  <c:v>0.74013888888888879</c:v>
                </c:pt>
                <c:pt idx="51">
                  <c:v>0.74015047453703708</c:v>
                </c:pt>
                <c:pt idx="52">
                  <c:v>0.74016202546296295</c:v>
                </c:pt>
                <c:pt idx="53">
                  <c:v>0.74017361111111113</c:v>
                </c:pt>
                <c:pt idx="54">
                  <c:v>0.74018517361111114</c:v>
                </c:pt>
                <c:pt idx="55">
                  <c:v>0.74019674768518529</c:v>
                </c:pt>
                <c:pt idx="56">
                  <c:v>0.74020832175925921</c:v>
                </c:pt>
                <c:pt idx="57">
                  <c:v>0.74021993055555557</c:v>
                </c:pt>
                <c:pt idx="58">
                  <c:v>0.7402314699074074</c:v>
                </c:pt>
                <c:pt idx="59">
                  <c:v>0.74024306712962973</c:v>
                </c:pt>
                <c:pt idx="60">
                  <c:v>0.74025462962962962</c:v>
                </c:pt>
                <c:pt idx="61">
                  <c:v>0.74026621527777781</c:v>
                </c:pt>
                <c:pt idx="62">
                  <c:v>0.7402777777777777</c:v>
                </c:pt>
                <c:pt idx="63">
                  <c:v>0.74028935185185185</c:v>
                </c:pt>
                <c:pt idx="64">
                  <c:v>0.74030097222222224</c:v>
                </c:pt>
                <c:pt idx="65">
                  <c:v>0.74031251157407407</c:v>
                </c:pt>
                <c:pt idx="66">
                  <c:v>0.74032408564814822</c:v>
                </c:pt>
                <c:pt idx="67">
                  <c:v>0.74033564814814812</c:v>
                </c:pt>
                <c:pt idx="68">
                  <c:v>0.7403472337962963</c:v>
                </c:pt>
                <c:pt idx="69">
                  <c:v>0.74035880787037034</c:v>
                </c:pt>
                <c:pt idx="70">
                  <c:v>0.74037035879629631</c:v>
                </c:pt>
                <c:pt idx="71">
                  <c:v>0.74038193287037035</c:v>
                </c:pt>
                <c:pt idx="72">
                  <c:v>0.74039350694444439</c:v>
                </c:pt>
                <c:pt idx="73">
                  <c:v>0.74040508101851854</c:v>
                </c:pt>
                <c:pt idx="74">
                  <c:v>0.74041665509259269</c:v>
                </c:pt>
                <c:pt idx="75">
                  <c:v>0.74042826388888894</c:v>
                </c:pt>
                <c:pt idx="76">
                  <c:v>0.74043981481481491</c:v>
                </c:pt>
                <c:pt idx="77">
                  <c:v>0.74045138888888884</c:v>
                </c:pt>
                <c:pt idx="78">
                  <c:v>0.74046295138888896</c:v>
                </c:pt>
                <c:pt idx="79">
                  <c:v>0.74047452546296288</c:v>
                </c:pt>
                <c:pt idx="80">
                  <c:v>0.74048611111111118</c:v>
                </c:pt>
                <c:pt idx="81">
                  <c:v>0.74049767361111118</c:v>
                </c:pt>
                <c:pt idx="82">
                  <c:v>0.74050925925925926</c:v>
                </c:pt>
                <c:pt idx="83">
                  <c:v>0.7405208680555555</c:v>
                </c:pt>
              </c:numCache>
            </c:numRef>
          </c:xVal>
          <c:yVal>
            <c:numRef>
              <c:f>'Compute Ephemeris'!$AB$8:$AB$91</c:f>
              <c:numCache>
                <c:formatCode>0.000</c:formatCode>
                <c:ptCount val="84"/>
                <c:pt idx="0">
                  <c:v>1.9004902717780954</c:v>
                </c:pt>
                <c:pt idx="1">
                  <c:v>1.8882457431321227</c:v>
                </c:pt>
                <c:pt idx="2">
                  <c:v>1.8758565956320199</c:v>
                </c:pt>
                <c:pt idx="3">
                  <c:v>1.8656446247966283</c:v>
                </c:pt>
                <c:pt idx="4">
                  <c:v>1.8556178379164319</c:v>
                </c:pt>
                <c:pt idx="5">
                  <c:v>1.8444329010567968</c:v>
                </c:pt>
                <c:pt idx="6">
                  <c:v>1.8346690947715578</c:v>
                </c:pt>
                <c:pt idx="7">
                  <c:v>1.8233306491738657</c:v>
                </c:pt>
                <c:pt idx="8">
                  <c:v>1.8124911821731537</c:v>
                </c:pt>
                <c:pt idx="9">
                  <c:v>1.8037924331923989</c:v>
                </c:pt>
                <c:pt idx="10">
                  <c:v>1.7944075990177863</c:v>
                </c:pt>
                <c:pt idx="11">
                  <c:v>1.783615798456873</c:v>
                </c:pt>
                <c:pt idx="12">
                  <c:v>1.7748300446909633</c:v>
                </c:pt>
                <c:pt idx="13">
                  <c:v>1.7643914292742862</c:v>
                </c:pt>
                <c:pt idx="14">
                  <c:v>1.7575450530096093</c:v>
                </c:pt>
                <c:pt idx="15">
                  <c:v>1.7489314999723615</c:v>
                </c:pt>
                <c:pt idx="16">
                  <c:v>1.7393955519147366</c:v>
                </c:pt>
                <c:pt idx="17">
                  <c:v>1.7303391239234713</c:v>
                </c:pt>
                <c:pt idx="18">
                  <c:v>1.7241381549399588</c:v>
                </c:pt>
                <c:pt idx="19">
                  <c:v>1.7163098510500252</c:v>
                </c:pt>
                <c:pt idx="20">
                  <c:v>1.7096912265885886</c:v>
                </c:pt>
                <c:pt idx="21">
                  <c:v>1.7006988072202973</c:v>
                </c:pt>
                <c:pt idx="22">
                  <c:v>1.6953943510075151</c:v>
                </c:pt>
                <c:pt idx="23">
                  <c:v>1.6883827789301005</c:v>
                </c:pt>
                <c:pt idx="24">
                  <c:v>1.6827857903165107</c:v>
                </c:pt>
                <c:pt idx="25">
                  <c:v>1.675920197916362</c:v>
                </c:pt>
                <c:pt idx="26">
                  <c:v>1.6713527040639871</c:v>
                </c:pt>
                <c:pt idx="27">
                  <c:v>1.6650541817140447</c:v>
                </c:pt>
                <c:pt idx="28">
                  <c:v>1.6602616360427895</c:v>
                </c:pt>
                <c:pt idx="29">
                  <c:v>1.6559224734805156</c:v>
                </c:pt>
                <c:pt idx="30">
                  <c:v>1.6520444010729822</c:v>
                </c:pt>
                <c:pt idx="31">
                  <c:v>1.6471824445074859</c:v>
                </c:pt>
                <c:pt idx="32">
                  <c:v>1.6440052600201305</c:v>
                </c:pt>
                <c:pt idx="33">
                  <c:v>1.6400741523141846</c:v>
                </c:pt>
                <c:pt idx="34">
                  <c:v>1.6383918327196674</c:v>
                </c:pt>
                <c:pt idx="35">
                  <c:v>1.6349941946049664</c:v>
                </c:pt>
                <c:pt idx="36">
                  <c:v>1.6311609239532507</c:v>
                </c:pt>
                <c:pt idx="37">
                  <c:v>1.631207647113095</c:v>
                </c:pt>
                <c:pt idx="38">
                  <c:v>1.6276380265864629</c:v>
                </c:pt>
                <c:pt idx="39">
                  <c:v>1.6287956325922881</c:v>
                </c:pt>
                <c:pt idx="40">
                  <c:v>1.6250666709351216</c:v>
                </c:pt>
                <c:pt idx="41">
                  <c:v>1.6274594089647145</c:v>
                </c:pt>
                <c:pt idx="42">
                  <c:v>1.6247839097263936</c:v>
                </c:pt>
                <c:pt idx="43">
                  <c:v>1.6260178784916341</c:v>
                </c:pt>
                <c:pt idx="44">
                  <c:v>1.6277978008624481</c:v>
                </c:pt>
                <c:pt idx="45">
                  <c:v>1.6276994362351538</c:v>
                </c:pt>
                <c:pt idx="46">
                  <c:v>1.6287378531414853</c:v>
                </c:pt>
                <c:pt idx="47">
                  <c:v>1.6310619434450055</c:v>
                </c:pt>
                <c:pt idx="48">
                  <c:v>1.6335058889999159</c:v>
                </c:pt>
                <c:pt idx="49">
                  <c:v>1.6350569762609746</c:v>
                </c:pt>
                <c:pt idx="50">
                  <c:v>1.6380154650961498</c:v>
                </c:pt>
                <c:pt idx="51">
                  <c:v>1.6424373635732774</c:v>
                </c:pt>
                <c:pt idx="52">
                  <c:v>1.6467763416603045</c:v>
                </c:pt>
                <c:pt idx="53">
                  <c:v>1.6516471006555034</c:v>
                </c:pt>
                <c:pt idx="54">
                  <c:v>1.6557344346444978</c:v>
                </c:pt>
                <c:pt idx="55">
                  <c:v>1.6594265618376358</c:v>
                </c:pt>
                <c:pt idx="56">
                  <c:v>1.6672811610577785</c:v>
                </c:pt>
                <c:pt idx="57">
                  <c:v>1.6733234494253468</c:v>
                </c:pt>
                <c:pt idx="58">
                  <c:v>1.6795837290345825</c:v>
                </c:pt>
                <c:pt idx="59">
                  <c:v>1.6862769419945534</c:v>
                </c:pt>
                <c:pt idx="60">
                  <c:v>1.695896132669011</c:v>
                </c:pt>
                <c:pt idx="61">
                  <c:v>1.7023292096450475</c:v>
                </c:pt>
                <c:pt idx="62">
                  <c:v>1.7121540374526685</c:v>
                </c:pt>
                <c:pt idx="63">
                  <c:v>1.721427694534907</c:v>
                </c:pt>
                <c:pt idx="64">
                  <c:v>1.7319868107338734</c:v>
                </c:pt>
                <c:pt idx="65">
                  <c:v>1.7408955647328825</c:v>
                </c:pt>
                <c:pt idx="66">
                  <c:v>1.7534738601418092</c:v>
                </c:pt>
                <c:pt idx="67">
                  <c:v>1.7643197281345371</c:v>
                </c:pt>
                <c:pt idx="68">
                  <c:v>1.7763820286828484</c:v>
                </c:pt>
                <c:pt idx="69">
                  <c:v>1.7901257968816753</c:v>
                </c:pt>
                <c:pt idx="70">
                  <c:v>1.8027075376525943</c:v>
                </c:pt>
                <c:pt idx="71">
                  <c:v>1.8186183839108778</c:v>
                </c:pt>
                <c:pt idx="72">
                  <c:v>1.8327357903516455</c:v>
                </c:pt>
                <c:pt idx="73">
                  <c:v>1.8475346315883618</c:v>
                </c:pt>
                <c:pt idx="74">
                  <c:v>1.862940816656619</c:v>
                </c:pt>
                <c:pt idx="75">
                  <c:v>1.8804616892911949</c:v>
                </c:pt>
                <c:pt idx="76">
                  <c:v>1.898588645789367</c:v>
                </c:pt>
                <c:pt idx="77">
                  <c:v>1.9184698927194677</c:v>
                </c:pt>
                <c:pt idx="78">
                  <c:v>1.9352694291576842</c:v>
                </c:pt>
                <c:pt idx="79">
                  <c:v>1.9557475694213</c:v>
                </c:pt>
                <c:pt idx="80">
                  <c:v>1.9771235971632719</c:v>
                </c:pt>
                <c:pt idx="81">
                  <c:v>1.9982822301097394</c:v>
                </c:pt>
                <c:pt idx="82">
                  <c:v>2.0215821039080071</c:v>
                </c:pt>
                <c:pt idx="83">
                  <c:v>2.0431085357677037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8-4EA0-9118-81C88119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851328"/>
        <c:axId val="488857600"/>
      </c:scatterChart>
      <c:valAx>
        <c:axId val="48885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88857600"/>
        <c:crosses val="autoZero"/>
        <c:crossBetween val="midCat"/>
        <c:majorUnit val="2.0833330000000006E-3"/>
      </c:valAx>
      <c:valAx>
        <c:axId val="488857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Deceleration, g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851328"/>
        <c:crosses val="autoZero"/>
        <c:crossBetween val="midCat"/>
      </c:valAx>
    </c:plotArea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Deceleration vs. Altitude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Ephemeris'!$D$8:$D$91</c:f>
              <c:numCache>
                <c:formatCode>#,##0.00</c:formatCode>
                <c:ptCount val="84"/>
                <c:pt idx="0">
                  <c:v>85.141068091922534</c:v>
                </c:pt>
                <c:pt idx="1">
                  <c:v>85.146152396613616</c:v>
                </c:pt>
                <c:pt idx="2">
                  <c:v>85.151087765895682</c:v>
                </c:pt>
                <c:pt idx="3">
                  <c:v>85.155835669121188</c:v>
                </c:pt>
                <c:pt idx="4">
                  <c:v>85.160343676497178</c:v>
                </c:pt>
                <c:pt idx="5">
                  <c:v>85.164587719649717</c:v>
                </c:pt>
                <c:pt idx="6">
                  <c:v>85.168517733787667</c:v>
                </c:pt>
                <c:pt idx="7">
                  <c:v>85.172076487504455</c:v>
                </c:pt>
                <c:pt idx="8">
                  <c:v>85.175225640362441</c:v>
                </c:pt>
                <c:pt idx="9">
                  <c:v>85.177939822688131</c:v>
                </c:pt>
                <c:pt idx="10">
                  <c:v>85.180173471835587</c:v>
                </c:pt>
                <c:pt idx="11">
                  <c:v>85.181878352769672</c:v>
                </c:pt>
                <c:pt idx="12">
                  <c:v>85.183013662243866</c:v>
                </c:pt>
                <c:pt idx="13">
                  <c:v>85.183545676012727</c:v>
                </c:pt>
                <c:pt idx="14">
                  <c:v>85.183434872338694</c:v>
                </c:pt>
                <c:pt idx="15">
                  <c:v>85.182632700608337</c:v>
                </c:pt>
                <c:pt idx="16">
                  <c:v>85.181124379086214</c:v>
                </c:pt>
                <c:pt idx="17">
                  <c:v>85.178848725914577</c:v>
                </c:pt>
                <c:pt idx="18">
                  <c:v>85.175778975849425</c:v>
                </c:pt>
                <c:pt idx="19">
                  <c:v>85.171880770017196</c:v>
                </c:pt>
                <c:pt idx="20">
                  <c:v>85.167091116754818</c:v>
                </c:pt>
                <c:pt idx="21">
                  <c:v>85.161401501763066</c:v>
                </c:pt>
                <c:pt idx="22">
                  <c:v>85.154788571100653</c:v>
                </c:pt>
                <c:pt idx="23">
                  <c:v>85.147153914160299</c:v>
                </c:pt>
                <c:pt idx="24">
                  <c:v>85.138538919558414</c:v>
                </c:pt>
                <c:pt idx="25">
                  <c:v>85.128870927055686</c:v>
                </c:pt>
                <c:pt idx="26">
                  <c:v>85.118065964419657</c:v>
                </c:pt>
                <c:pt idx="27">
                  <c:v>85.106188374306839</c:v>
                </c:pt>
                <c:pt idx="28">
                  <c:v>85.093168780636006</c:v>
                </c:pt>
                <c:pt idx="29">
                  <c:v>85.078915507119746</c:v>
                </c:pt>
                <c:pt idx="30">
                  <c:v>85.063445632050389</c:v>
                </c:pt>
                <c:pt idx="31">
                  <c:v>85.046689602309016</c:v>
                </c:pt>
                <c:pt idx="32">
                  <c:v>85.028723339379212</c:v>
                </c:pt>
                <c:pt idx="33">
                  <c:v>85.009345236935587</c:v>
                </c:pt>
                <c:pt idx="34">
                  <c:v>84.988606583000546</c:v>
                </c:pt>
                <c:pt idx="35">
                  <c:v>84.966572243084556</c:v>
                </c:pt>
                <c:pt idx="36">
                  <c:v>84.943070546602939</c:v>
                </c:pt>
                <c:pt idx="37">
                  <c:v>84.918081645053462</c:v>
                </c:pt>
                <c:pt idx="38">
                  <c:v>84.891552430301999</c:v>
                </c:pt>
                <c:pt idx="39">
                  <c:v>84.863566707876998</c:v>
                </c:pt>
                <c:pt idx="40">
                  <c:v>84.834111145079987</c:v>
                </c:pt>
                <c:pt idx="41">
                  <c:v>84.802862902604829</c:v>
                </c:pt>
                <c:pt idx="42">
                  <c:v>84.770172135335997</c:v>
                </c:pt>
                <c:pt idx="43">
                  <c:v>84.735782367363754</c:v>
                </c:pt>
                <c:pt idx="44">
                  <c:v>84.699761761595255</c:v>
                </c:pt>
                <c:pt idx="45">
                  <c:v>84.661985405914493</c:v>
                </c:pt>
                <c:pt idx="46">
                  <c:v>84.622437995394648</c:v>
                </c:pt>
                <c:pt idx="47">
                  <c:v>84.581146547940079</c:v>
                </c:pt>
                <c:pt idx="48">
                  <c:v>84.538004334121979</c:v>
                </c:pt>
                <c:pt idx="49">
                  <c:v>84.493103468888876</c:v>
                </c:pt>
                <c:pt idx="50">
                  <c:v>84.446394422635422</c:v>
                </c:pt>
                <c:pt idx="51">
                  <c:v>84.397673562696582</c:v>
                </c:pt>
                <c:pt idx="52">
                  <c:v>84.347170876446398</c:v>
                </c:pt>
                <c:pt idx="53">
                  <c:v>84.294549155552886</c:v>
                </c:pt>
                <c:pt idx="54">
                  <c:v>84.240078915987397</c:v>
                </c:pt>
                <c:pt idx="55">
                  <c:v>84.183602561162843</c:v>
                </c:pt>
                <c:pt idx="56">
                  <c:v>84.125018253809685</c:v>
                </c:pt>
                <c:pt idx="57">
                  <c:v>84.064189925581559</c:v>
                </c:pt>
                <c:pt idx="58">
                  <c:v>84.001654767286709</c:v>
                </c:pt>
                <c:pt idx="59">
                  <c:v>83.936701319287749</c:v>
                </c:pt>
                <c:pt idx="60">
                  <c:v>83.869718829471822</c:v>
                </c:pt>
                <c:pt idx="61">
                  <c:v>83.800493533371991</c:v>
                </c:pt>
                <c:pt idx="62">
                  <c:v>83.729159052249997</c:v>
                </c:pt>
                <c:pt idx="63">
                  <c:v>83.655520381442329</c:v>
                </c:pt>
                <c:pt idx="64">
                  <c:v>83.579280499069682</c:v>
                </c:pt>
                <c:pt idx="65">
                  <c:v>83.501354853819976</c:v>
                </c:pt>
                <c:pt idx="66">
                  <c:v>83.420808031631168</c:v>
                </c:pt>
                <c:pt idx="67">
                  <c:v>83.338033536640978</c:v>
                </c:pt>
                <c:pt idx="68">
                  <c:v>83.252724791157561</c:v>
                </c:pt>
                <c:pt idx="69">
                  <c:v>83.165054912684354</c:v>
                </c:pt>
                <c:pt idx="70">
                  <c:v>83.075182158712778</c:v>
                </c:pt>
                <c:pt idx="71">
                  <c:v>82.982583994677952</c:v>
                </c:pt>
                <c:pt idx="72">
                  <c:v>82.887535439655039</c:v>
                </c:pt>
                <c:pt idx="73">
                  <c:v>82.790011546209826</c:v>
                </c:pt>
                <c:pt idx="74">
                  <c:v>82.689992200344932</c:v>
                </c:pt>
                <c:pt idx="75">
                  <c:v>82.587065535275542</c:v>
                </c:pt>
                <c:pt idx="76">
                  <c:v>82.482038325439134</c:v>
                </c:pt>
                <c:pt idx="77">
                  <c:v>82.374099565446159</c:v>
                </c:pt>
                <c:pt idx="78">
                  <c:v>82.263760903177172</c:v>
                </c:pt>
                <c:pt idx="79">
                  <c:v>82.150612583124712</c:v>
                </c:pt>
                <c:pt idx="80">
                  <c:v>82.034615142939401</c:v>
                </c:pt>
                <c:pt idx="81">
                  <c:v>81.916155059772791</c:v>
                </c:pt>
                <c:pt idx="82">
                  <c:v>81.794655474926003</c:v>
                </c:pt>
                <c:pt idx="83">
                  <c:v>81.670237150454341</c:v>
                </c:pt>
              </c:numCache>
            </c:numRef>
          </c:xVal>
          <c:yVal>
            <c:numRef>
              <c:f>'Compute Ephemeris'!$AB$8:$AB$91</c:f>
              <c:numCache>
                <c:formatCode>0.000</c:formatCode>
                <c:ptCount val="84"/>
                <c:pt idx="0">
                  <c:v>1.9004902717780954</c:v>
                </c:pt>
                <c:pt idx="1">
                  <c:v>1.8882457431321227</c:v>
                </c:pt>
                <c:pt idx="2">
                  <c:v>1.8758565956320199</c:v>
                </c:pt>
                <c:pt idx="3">
                  <c:v>1.8656446247966283</c:v>
                </c:pt>
                <c:pt idx="4">
                  <c:v>1.8556178379164319</c:v>
                </c:pt>
                <c:pt idx="5">
                  <c:v>1.8444329010567968</c:v>
                </c:pt>
                <c:pt idx="6">
                  <c:v>1.8346690947715578</c:v>
                </c:pt>
                <c:pt idx="7">
                  <c:v>1.8233306491738657</c:v>
                </c:pt>
                <c:pt idx="8">
                  <c:v>1.8124911821731537</c:v>
                </c:pt>
                <c:pt idx="9">
                  <c:v>1.8037924331923989</c:v>
                </c:pt>
                <c:pt idx="10">
                  <c:v>1.7944075990177863</c:v>
                </c:pt>
                <c:pt idx="11">
                  <c:v>1.783615798456873</c:v>
                </c:pt>
                <c:pt idx="12">
                  <c:v>1.7748300446909633</c:v>
                </c:pt>
                <c:pt idx="13">
                  <c:v>1.7643914292742862</c:v>
                </c:pt>
                <c:pt idx="14">
                  <c:v>1.7575450530096093</c:v>
                </c:pt>
                <c:pt idx="15">
                  <c:v>1.7489314999723615</c:v>
                </c:pt>
                <c:pt idx="16">
                  <c:v>1.7393955519147366</c:v>
                </c:pt>
                <c:pt idx="17">
                  <c:v>1.7303391239234713</c:v>
                </c:pt>
                <c:pt idx="18">
                  <c:v>1.7241381549399588</c:v>
                </c:pt>
                <c:pt idx="19">
                  <c:v>1.7163098510500252</c:v>
                </c:pt>
                <c:pt idx="20">
                  <c:v>1.7096912265885886</c:v>
                </c:pt>
                <c:pt idx="21">
                  <c:v>1.7006988072202973</c:v>
                </c:pt>
                <c:pt idx="22">
                  <c:v>1.6953943510075151</c:v>
                </c:pt>
                <c:pt idx="23">
                  <c:v>1.6883827789301005</c:v>
                </c:pt>
                <c:pt idx="24">
                  <c:v>1.6827857903165107</c:v>
                </c:pt>
                <c:pt idx="25">
                  <c:v>1.675920197916362</c:v>
                </c:pt>
                <c:pt idx="26">
                  <c:v>1.6713527040639871</c:v>
                </c:pt>
                <c:pt idx="27">
                  <c:v>1.6650541817140447</c:v>
                </c:pt>
                <c:pt idx="28">
                  <c:v>1.6602616360427895</c:v>
                </c:pt>
                <c:pt idx="29">
                  <c:v>1.6559224734805156</c:v>
                </c:pt>
                <c:pt idx="30">
                  <c:v>1.6520444010729822</c:v>
                </c:pt>
                <c:pt idx="31">
                  <c:v>1.6471824445074859</c:v>
                </c:pt>
                <c:pt idx="32">
                  <c:v>1.6440052600201305</c:v>
                </c:pt>
                <c:pt idx="33">
                  <c:v>1.6400741523141846</c:v>
                </c:pt>
                <c:pt idx="34">
                  <c:v>1.6383918327196674</c:v>
                </c:pt>
                <c:pt idx="35">
                  <c:v>1.6349941946049664</c:v>
                </c:pt>
                <c:pt idx="36">
                  <c:v>1.6311609239532507</c:v>
                </c:pt>
                <c:pt idx="37">
                  <c:v>1.631207647113095</c:v>
                </c:pt>
                <c:pt idx="38">
                  <c:v>1.6276380265864629</c:v>
                </c:pt>
                <c:pt idx="39">
                  <c:v>1.6287956325922881</c:v>
                </c:pt>
                <c:pt idx="40">
                  <c:v>1.6250666709351216</c:v>
                </c:pt>
                <c:pt idx="41">
                  <c:v>1.6274594089647145</c:v>
                </c:pt>
                <c:pt idx="42">
                  <c:v>1.6247839097263936</c:v>
                </c:pt>
                <c:pt idx="43">
                  <c:v>1.6260178784916341</c:v>
                </c:pt>
                <c:pt idx="44">
                  <c:v>1.6277978008624481</c:v>
                </c:pt>
                <c:pt idx="45">
                  <c:v>1.6276994362351538</c:v>
                </c:pt>
                <c:pt idx="46">
                  <c:v>1.6287378531414853</c:v>
                </c:pt>
                <c:pt idx="47">
                  <c:v>1.6310619434450055</c:v>
                </c:pt>
                <c:pt idx="48">
                  <c:v>1.6335058889999159</c:v>
                </c:pt>
                <c:pt idx="49">
                  <c:v>1.6350569762609746</c:v>
                </c:pt>
                <c:pt idx="50">
                  <c:v>1.6380154650961498</c:v>
                </c:pt>
                <c:pt idx="51">
                  <c:v>1.6424373635732774</c:v>
                </c:pt>
                <c:pt idx="52">
                  <c:v>1.6467763416603045</c:v>
                </c:pt>
                <c:pt idx="53">
                  <c:v>1.6516471006555034</c:v>
                </c:pt>
                <c:pt idx="54">
                  <c:v>1.6557344346444978</c:v>
                </c:pt>
                <c:pt idx="55">
                  <c:v>1.6594265618376358</c:v>
                </c:pt>
                <c:pt idx="56">
                  <c:v>1.6672811610577785</c:v>
                </c:pt>
                <c:pt idx="57">
                  <c:v>1.6733234494253468</c:v>
                </c:pt>
                <c:pt idx="58">
                  <c:v>1.6795837290345825</c:v>
                </c:pt>
                <c:pt idx="59">
                  <c:v>1.6862769419945534</c:v>
                </c:pt>
                <c:pt idx="60">
                  <c:v>1.695896132669011</c:v>
                </c:pt>
                <c:pt idx="61">
                  <c:v>1.7023292096450475</c:v>
                </c:pt>
                <c:pt idx="62">
                  <c:v>1.7121540374526685</c:v>
                </c:pt>
                <c:pt idx="63">
                  <c:v>1.721427694534907</c:v>
                </c:pt>
                <c:pt idx="64">
                  <c:v>1.7319868107338734</c:v>
                </c:pt>
                <c:pt idx="65">
                  <c:v>1.7408955647328825</c:v>
                </c:pt>
                <c:pt idx="66">
                  <c:v>1.7534738601418092</c:v>
                </c:pt>
                <c:pt idx="67">
                  <c:v>1.7643197281345371</c:v>
                </c:pt>
                <c:pt idx="68">
                  <c:v>1.7763820286828484</c:v>
                </c:pt>
                <c:pt idx="69">
                  <c:v>1.7901257968816753</c:v>
                </c:pt>
                <c:pt idx="70">
                  <c:v>1.8027075376525943</c:v>
                </c:pt>
                <c:pt idx="71">
                  <c:v>1.8186183839108778</c:v>
                </c:pt>
                <c:pt idx="72">
                  <c:v>1.8327357903516455</c:v>
                </c:pt>
                <c:pt idx="73">
                  <c:v>1.8475346315883618</c:v>
                </c:pt>
                <c:pt idx="74">
                  <c:v>1.862940816656619</c:v>
                </c:pt>
                <c:pt idx="75">
                  <c:v>1.8804616892911949</c:v>
                </c:pt>
                <c:pt idx="76">
                  <c:v>1.898588645789367</c:v>
                </c:pt>
                <c:pt idx="77">
                  <c:v>1.9184698927194677</c:v>
                </c:pt>
                <c:pt idx="78">
                  <c:v>1.9352694291576842</c:v>
                </c:pt>
                <c:pt idx="79">
                  <c:v>1.9557475694213</c:v>
                </c:pt>
                <c:pt idx="80">
                  <c:v>1.9771235971632719</c:v>
                </c:pt>
                <c:pt idx="81">
                  <c:v>1.9982822301097394</c:v>
                </c:pt>
                <c:pt idx="82">
                  <c:v>2.0215821039080071</c:v>
                </c:pt>
                <c:pt idx="83">
                  <c:v>2.0431085357677037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A-4A80-B225-EFF0CD094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15712"/>
        <c:axId val="488917632"/>
      </c:scatterChart>
      <c:valAx>
        <c:axId val="488915712"/>
        <c:scaling>
          <c:orientation val="maxMin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Altitude,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8917632"/>
        <c:crosses val="autoZero"/>
        <c:crossBetween val="midCat"/>
      </c:valAx>
      <c:valAx>
        <c:axId val="48891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Deceleration, g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915712"/>
        <c:crosses val="max"/>
        <c:crossBetween val="midCat"/>
      </c:valAx>
    </c:plotArea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Relative Velocity vs. Range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Ephemeris'!$AI$8:$AI$91</c:f>
              <c:numCache>
                <c:formatCode>0.0</c:formatCode>
                <c:ptCount val="84"/>
                <c:pt idx="0">
                  <c:v>12.886873194226837</c:v>
                </c:pt>
                <c:pt idx="1">
                  <c:v>20.254501586010139</c:v>
                </c:pt>
                <c:pt idx="2">
                  <c:v>27.598883060703795</c:v>
                </c:pt>
                <c:pt idx="3">
                  <c:v>34.928446249952707</c:v>
                </c:pt>
                <c:pt idx="4">
                  <c:v>42.228806437223959</c:v>
                </c:pt>
                <c:pt idx="5">
                  <c:v>49.531206961314474</c:v>
                </c:pt>
                <c:pt idx="6">
                  <c:v>56.826310966434171</c:v>
                </c:pt>
                <c:pt idx="7">
                  <c:v>64.085097858678196</c:v>
                </c:pt>
                <c:pt idx="8">
                  <c:v>71.308946459993493</c:v>
                </c:pt>
                <c:pt idx="9">
                  <c:v>78.535046498590788</c:v>
                </c:pt>
                <c:pt idx="10">
                  <c:v>85.759774429983707</c:v>
                </c:pt>
                <c:pt idx="11">
                  <c:v>92.961955866526793</c:v>
                </c:pt>
                <c:pt idx="12">
                  <c:v>100.12765723850711</c:v>
                </c:pt>
                <c:pt idx="13">
                  <c:v>107.29202146526885</c:v>
                </c:pt>
                <c:pt idx="14">
                  <c:v>114.39072181648402</c:v>
                </c:pt>
                <c:pt idx="15">
                  <c:v>121.57238567080346</c:v>
                </c:pt>
                <c:pt idx="16">
                  <c:v>128.63263871611619</c:v>
                </c:pt>
                <c:pt idx="17">
                  <c:v>135.72173501660879</c:v>
                </c:pt>
                <c:pt idx="18">
                  <c:v>142.78709405889015</c:v>
                </c:pt>
                <c:pt idx="19">
                  <c:v>149.82777467465795</c:v>
                </c:pt>
                <c:pt idx="20">
                  <c:v>156.8831562859163</c:v>
                </c:pt>
                <c:pt idx="21">
                  <c:v>163.9066298474915</c:v>
                </c:pt>
                <c:pt idx="22">
                  <c:v>170.89197565031813</c:v>
                </c:pt>
                <c:pt idx="23">
                  <c:v>177.900681561803</c:v>
                </c:pt>
                <c:pt idx="24">
                  <c:v>184.86078774984179</c:v>
                </c:pt>
                <c:pt idx="25">
                  <c:v>191.80745382234548</c:v>
                </c:pt>
                <c:pt idx="26">
                  <c:v>198.77022666495606</c:v>
                </c:pt>
                <c:pt idx="27">
                  <c:v>205.68476978842443</c:v>
                </c:pt>
                <c:pt idx="28">
                  <c:v>212.57718748640144</c:v>
                </c:pt>
                <c:pt idx="29">
                  <c:v>219.47573080670588</c:v>
                </c:pt>
                <c:pt idx="30">
                  <c:v>226.35348556985025</c:v>
                </c:pt>
                <c:pt idx="31">
                  <c:v>233.2253869450108</c:v>
                </c:pt>
                <c:pt idx="32">
                  <c:v>240.04943104526663</c:v>
                </c:pt>
                <c:pt idx="33">
                  <c:v>246.88934702783453</c:v>
                </c:pt>
                <c:pt idx="34">
                  <c:v>253.71247592373297</c:v>
                </c:pt>
                <c:pt idx="35">
                  <c:v>260.48950928882476</c:v>
                </c:pt>
                <c:pt idx="36">
                  <c:v>267.2646697250542</c:v>
                </c:pt>
                <c:pt idx="37">
                  <c:v>274.03295396093699</c:v>
                </c:pt>
                <c:pt idx="38">
                  <c:v>280.79730644679546</c:v>
                </c:pt>
                <c:pt idx="39">
                  <c:v>287.52950909551225</c:v>
                </c:pt>
                <c:pt idx="40">
                  <c:v>294.22709329909873</c:v>
                </c:pt>
                <c:pt idx="41">
                  <c:v>300.95518982719057</c:v>
                </c:pt>
                <c:pt idx="42">
                  <c:v>307.62987376727989</c:v>
                </c:pt>
                <c:pt idx="43">
                  <c:v>314.29990912197695</c:v>
                </c:pt>
                <c:pt idx="44">
                  <c:v>320.94593835974507</c:v>
                </c:pt>
                <c:pt idx="45">
                  <c:v>327.58483511289495</c:v>
                </c:pt>
                <c:pt idx="46">
                  <c:v>334.21304233620759</c:v>
                </c:pt>
                <c:pt idx="47">
                  <c:v>340.82104393132016</c:v>
                </c:pt>
                <c:pt idx="48">
                  <c:v>347.42077745799759</c:v>
                </c:pt>
                <c:pt idx="49">
                  <c:v>353.99348207775176</c:v>
                </c:pt>
                <c:pt idx="50">
                  <c:v>360.5433696439199</c:v>
                </c:pt>
                <c:pt idx="51">
                  <c:v>367.09436800336942</c:v>
                </c:pt>
                <c:pt idx="52">
                  <c:v>373.61151242907164</c:v>
                </c:pt>
                <c:pt idx="53">
                  <c:v>380.13426838377467</c:v>
                </c:pt>
                <c:pt idx="54">
                  <c:v>386.62485162932245</c:v>
                </c:pt>
                <c:pt idx="55">
                  <c:v>393.09926529064222</c:v>
                </c:pt>
                <c:pt idx="56">
                  <c:v>399.56606938531456</c:v>
                </c:pt>
                <c:pt idx="57">
                  <c:v>406.03506309331664</c:v>
                </c:pt>
                <c:pt idx="58">
                  <c:v>412.4471658286152</c:v>
                </c:pt>
                <c:pt idx="59">
                  <c:v>418.87287148488133</c:v>
                </c:pt>
                <c:pt idx="60">
                  <c:v>425.2703170067889</c:v>
                </c:pt>
                <c:pt idx="61">
                  <c:v>431.65673009386842</c:v>
                </c:pt>
                <c:pt idx="62">
                  <c:v>438.01782414993528</c:v>
                </c:pt>
                <c:pt idx="63">
                  <c:v>444.36832689231738</c:v>
                </c:pt>
                <c:pt idx="64">
                  <c:v>450.72979244890843</c:v>
                </c:pt>
                <c:pt idx="65">
                  <c:v>457.02409402996756</c:v>
                </c:pt>
                <c:pt idx="66">
                  <c:v>463.32626766204419</c:v>
                </c:pt>
                <c:pt idx="67">
                  <c:v>469.60209914748765</c:v>
                </c:pt>
                <c:pt idx="68">
                  <c:v>475.87262415534627</c:v>
                </c:pt>
                <c:pt idx="69">
                  <c:v>482.12278876516575</c:v>
                </c:pt>
                <c:pt idx="70">
                  <c:v>488.33977794203707</c:v>
                </c:pt>
                <c:pt idx="71">
                  <c:v>494.55810128496842</c:v>
                </c:pt>
                <c:pt idx="72">
                  <c:v>500.75618134677387</c:v>
                </c:pt>
                <c:pt idx="73">
                  <c:v>506.93396612984287</c:v>
                </c:pt>
                <c:pt idx="74">
                  <c:v>513.09109380236032</c:v>
                </c:pt>
                <c:pt idx="75">
                  <c:v>519.25061109789226</c:v>
                </c:pt>
                <c:pt idx="76">
                  <c:v>525.36284471488034</c:v>
                </c:pt>
                <c:pt idx="77">
                  <c:v>531.4739704017843</c:v>
                </c:pt>
                <c:pt idx="78">
                  <c:v>537.55256372944461</c:v>
                </c:pt>
                <c:pt idx="79">
                  <c:v>543.62032521322988</c:v>
                </c:pt>
                <c:pt idx="80">
                  <c:v>549.67717695710257</c:v>
                </c:pt>
                <c:pt idx="81">
                  <c:v>555.70144858656147</c:v>
                </c:pt>
                <c:pt idx="82">
                  <c:v>561.72114105540356</c:v>
                </c:pt>
                <c:pt idx="83">
                  <c:v>567.72753575282809</c:v>
                </c:pt>
              </c:numCache>
            </c:numRef>
          </c:xVal>
          <c:yVal>
            <c:numRef>
              <c:f>'Compute Ephemeris'!$AC$8:$AC$91</c:f>
              <c:numCache>
                <c:formatCode>0.000</c:formatCode>
                <c:ptCount val="84"/>
                <c:pt idx="0">
                  <c:v>7.4898049204673205</c:v>
                </c:pt>
                <c:pt idx="1">
                  <c:v>7.4712887827100456</c:v>
                </c:pt>
                <c:pt idx="2">
                  <c:v>7.4528941329331575</c:v>
                </c:pt>
                <c:pt idx="3">
                  <c:v>7.4345996217426329</c:v>
                </c:pt>
                <c:pt idx="4">
                  <c:v>7.4164398256009862</c:v>
                </c:pt>
                <c:pt idx="5">
                  <c:v>7.3983352300643155</c:v>
                </c:pt>
                <c:pt idx="6">
                  <c:v>7.3803084833905377</c:v>
                </c:pt>
                <c:pt idx="7">
                  <c:v>7.3624289030447931</c:v>
                </c:pt>
                <c:pt idx="8">
                  <c:v>7.3446911610895649</c:v>
                </c:pt>
                <c:pt idx="9">
                  <c:v>7.3270031724895643</c:v>
                </c:pt>
                <c:pt idx="10">
                  <c:v>7.3093720196517751</c:v>
                </c:pt>
                <c:pt idx="11">
                  <c:v>7.2918469028590787</c:v>
                </c:pt>
                <c:pt idx="12">
                  <c:v>7.2744603234242478</c:v>
                </c:pt>
                <c:pt idx="13">
                  <c:v>7.2571240978240841</c:v>
                </c:pt>
                <c:pt idx="14">
                  <c:v>7.2399930179550225</c:v>
                </c:pt>
                <c:pt idx="15">
                  <c:v>7.2227057954880349</c:v>
                </c:pt>
                <c:pt idx="16">
                  <c:v>7.2057516217824995</c:v>
                </c:pt>
                <c:pt idx="17">
                  <c:v>7.1887669486279693</c:v>
                </c:pt>
                <c:pt idx="18">
                  <c:v>7.1718769567793661</c:v>
                </c:pt>
                <c:pt idx="19">
                  <c:v>7.1550804826486987</c:v>
                </c:pt>
                <c:pt idx="20">
                  <c:v>7.1382817200164457</c:v>
                </c:pt>
                <c:pt idx="21">
                  <c:v>7.1215879904604504</c:v>
                </c:pt>
                <c:pt idx="22">
                  <c:v>7.1050128285655196</c:v>
                </c:pt>
                <c:pt idx="23">
                  <c:v>7.0884068781904928</c:v>
                </c:pt>
                <c:pt idx="24">
                  <c:v>7.071938483525817</c:v>
                </c:pt>
                <c:pt idx="25">
                  <c:v>7.0555208441385009</c:v>
                </c:pt>
                <c:pt idx="26">
                  <c:v>7.0390823916685132</c:v>
                </c:pt>
                <c:pt idx="27">
                  <c:v>7.0227711978839222</c:v>
                </c:pt>
                <c:pt idx="28">
                  <c:v>7.0065232333320253</c:v>
                </c:pt>
                <c:pt idx="29">
                  <c:v>6.9902690195814081</c:v>
                </c:pt>
                <c:pt idx="30">
                  <c:v>6.9740690721843803</c:v>
                </c:pt>
                <c:pt idx="31">
                  <c:v>6.9578844965916034</c:v>
                </c:pt>
                <c:pt idx="32">
                  <c:v>6.9418117443584606</c:v>
                </c:pt>
                <c:pt idx="33">
                  <c:v>6.9256970120867569</c:v>
                </c:pt>
                <c:pt idx="34">
                  <c:v>6.9096148757045945</c:v>
                </c:pt>
                <c:pt idx="35">
                  <c:v>6.893630220891545</c:v>
                </c:pt>
                <c:pt idx="36">
                  <c:v>6.8776350568711546</c:v>
                </c:pt>
                <c:pt idx="37">
                  <c:v>6.8616394346837657</c:v>
                </c:pt>
                <c:pt idx="38">
                  <c:v>6.845630934339507</c:v>
                </c:pt>
                <c:pt idx="39">
                  <c:v>6.8296749363362714</c:v>
                </c:pt>
                <c:pt idx="40">
                  <c:v>6.8137714033687189</c:v>
                </c:pt>
                <c:pt idx="41">
                  <c:v>6.7977646598034323</c:v>
                </c:pt>
                <c:pt idx="42">
                  <c:v>6.7818479614156653</c:v>
                </c:pt>
                <c:pt idx="43">
                  <c:v>6.7659032300992248</c:v>
                </c:pt>
                <c:pt idx="44">
                  <c:v>6.7499729692345252</c:v>
                </c:pt>
                <c:pt idx="45">
                  <c:v>6.7340117485626987</c:v>
                </c:pt>
                <c:pt idx="46">
                  <c:v>6.7180243737715113</c:v>
                </c:pt>
                <c:pt idx="47">
                  <c:v>6.7020301803539848</c:v>
                </c:pt>
                <c:pt idx="48">
                  <c:v>6.6859960034478103</c:v>
                </c:pt>
                <c:pt idx="49">
                  <c:v>6.6699626347384902</c:v>
                </c:pt>
                <c:pt idx="50">
                  <c:v>6.6539163174675533</c:v>
                </c:pt>
                <c:pt idx="51">
                  <c:v>6.6377944709393644</c:v>
                </c:pt>
                <c:pt idx="52">
                  <c:v>6.6216784787107441</c:v>
                </c:pt>
                <c:pt idx="53">
                  <c:v>6.6054662311901993</c:v>
                </c:pt>
                <c:pt idx="54">
                  <c:v>6.5892463354559325</c:v>
                </c:pt>
                <c:pt idx="55">
                  <c:v>6.5729739985904461</c:v>
                </c:pt>
                <c:pt idx="56">
                  <c:v>6.55662463952532</c:v>
                </c:pt>
                <c:pt idx="57">
                  <c:v>6.5401668039509318</c:v>
                </c:pt>
                <c:pt idx="58">
                  <c:v>6.52374621589819</c:v>
                </c:pt>
                <c:pt idx="59">
                  <c:v>6.5071775129414569</c:v>
                </c:pt>
                <c:pt idx="60">
                  <c:v>6.4905641854221319</c:v>
                </c:pt>
                <c:pt idx="61">
                  <c:v>6.4738544521520733</c:v>
                </c:pt>
                <c:pt idx="62">
                  <c:v>6.4570818590434556</c:v>
                </c:pt>
                <c:pt idx="63">
                  <c:v>6.4402015390707357</c:v>
                </c:pt>
                <c:pt idx="64">
                  <c:v>6.4231497409539848</c:v>
                </c:pt>
                <c:pt idx="65">
                  <c:v>6.4061297327119693</c:v>
                </c:pt>
                <c:pt idx="66">
                  <c:v>6.3889351680393061</c:v>
                </c:pt>
                <c:pt idx="67">
                  <c:v>6.3716515497046293</c:v>
                </c:pt>
                <c:pt idx="68">
                  <c:v>6.3542149283291405</c:v>
                </c:pt>
                <c:pt idx="69">
                  <c:v>6.3366609547649722</c:v>
                </c:pt>
                <c:pt idx="70">
                  <c:v>6.3190189593509061</c:v>
                </c:pt>
                <c:pt idx="71">
                  <c:v>6.3011855874783302</c:v>
                </c:pt>
                <c:pt idx="72">
                  <c:v>6.2832137803181967</c:v>
                </c:pt>
                <c:pt idx="73">
                  <c:v>6.2650968557207225</c:v>
                </c:pt>
                <c:pt idx="74">
                  <c:v>6.246828858072468</c:v>
                </c:pt>
                <c:pt idx="75">
                  <c:v>6.2283337313253808</c:v>
                </c:pt>
                <c:pt idx="76">
                  <c:v>6.2097534061852144</c:v>
                </c:pt>
                <c:pt idx="77">
                  <c:v>6.190940890417445</c:v>
                </c:pt>
                <c:pt idx="78">
                  <c:v>6.1719826156469546</c:v>
                </c:pt>
                <c:pt idx="79">
                  <c:v>6.1528045549814516</c:v>
                </c:pt>
                <c:pt idx="80">
                  <c:v>6.1333974933134314</c:v>
                </c:pt>
                <c:pt idx="81">
                  <c:v>6.113821932920513</c:v>
                </c:pt>
                <c:pt idx="82">
                  <c:v>6.0939784751756116</c:v>
                </c:pt>
                <c:pt idx="83">
                  <c:v>6.0738836487070529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7-4CD1-A48F-AF81958F4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47072"/>
        <c:axId val="488953344"/>
      </c:scatterChart>
      <c:valAx>
        <c:axId val="488947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Range,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88953344"/>
        <c:crosses val="autoZero"/>
        <c:crossBetween val="midCat"/>
      </c:valAx>
      <c:valAx>
        <c:axId val="488953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Relative Velocity, km/s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88947072"/>
        <c:crosses val="autoZero"/>
        <c:crossBetween val="midCat"/>
      </c:valAx>
    </c:plotArea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Relative</a:t>
            </a:r>
            <a:r>
              <a:rPr lang="en-US" baseline="0"/>
              <a:t> </a:t>
            </a:r>
            <a:r>
              <a:rPr lang="en-US"/>
              <a:t>Velocity vs. Altitude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xVal>
            <c:numRef>
              <c:f>'Compute Ephemeris'!$D$8:$D$91</c:f>
              <c:numCache>
                <c:formatCode>#,##0.00</c:formatCode>
                <c:ptCount val="84"/>
                <c:pt idx="0">
                  <c:v>85.141068091922534</c:v>
                </c:pt>
                <c:pt idx="1">
                  <c:v>85.146152396613616</c:v>
                </c:pt>
                <c:pt idx="2">
                  <c:v>85.151087765895682</c:v>
                </c:pt>
                <c:pt idx="3">
                  <c:v>85.155835669121188</c:v>
                </c:pt>
                <c:pt idx="4">
                  <c:v>85.160343676497178</c:v>
                </c:pt>
                <c:pt idx="5">
                  <c:v>85.164587719649717</c:v>
                </c:pt>
                <c:pt idx="6">
                  <c:v>85.168517733787667</c:v>
                </c:pt>
                <c:pt idx="7">
                  <c:v>85.172076487504455</c:v>
                </c:pt>
                <c:pt idx="8">
                  <c:v>85.175225640362441</c:v>
                </c:pt>
                <c:pt idx="9">
                  <c:v>85.177939822688131</c:v>
                </c:pt>
                <c:pt idx="10">
                  <c:v>85.180173471835587</c:v>
                </c:pt>
                <c:pt idx="11">
                  <c:v>85.181878352769672</c:v>
                </c:pt>
                <c:pt idx="12">
                  <c:v>85.183013662243866</c:v>
                </c:pt>
                <c:pt idx="13">
                  <c:v>85.183545676012727</c:v>
                </c:pt>
                <c:pt idx="14">
                  <c:v>85.183434872338694</c:v>
                </c:pt>
                <c:pt idx="15">
                  <c:v>85.182632700608337</c:v>
                </c:pt>
                <c:pt idx="16">
                  <c:v>85.181124379086214</c:v>
                </c:pt>
                <c:pt idx="17">
                  <c:v>85.178848725914577</c:v>
                </c:pt>
                <c:pt idx="18">
                  <c:v>85.175778975849425</c:v>
                </c:pt>
                <c:pt idx="19">
                  <c:v>85.171880770017196</c:v>
                </c:pt>
                <c:pt idx="20">
                  <c:v>85.167091116754818</c:v>
                </c:pt>
                <c:pt idx="21">
                  <c:v>85.161401501763066</c:v>
                </c:pt>
                <c:pt idx="22">
                  <c:v>85.154788571100653</c:v>
                </c:pt>
                <c:pt idx="23">
                  <c:v>85.147153914160299</c:v>
                </c:pt>
                <c:pt idx="24">
                  <c:v>85.138538919558414</c:v>
                </c:pt>
                <c:pt idx="25">
                  <c:v>85.128870927055686</c:v>
                </c:pt>
                <c:pt idx="26">
                  <c:v>85.118065964419657</c:v>
                </c:pt>
                <c:pt idx="27">
                  <c:v>85.106188374306839</c:v>
                </c:pt>
                <c:pt idx="28">
                  <c:v>85.093168780636006</c:v>
                </c:pt>
                <c:pt idx="29">
                  <c:v>85.078915507119746</c:v>
                </c:pt>
                <c:pt idx="30">
                  <c:v>85.063445632050389</c:v>
                </c:pt>
                <c:pt idx="31">
                  <c:v>85.046689602309016</c:v>
                </c:pt>
                <c:pt idx="32">
                  <c:v>85.028723339379212</c:v>
                </c:pt>
                <c:pt idx="33">
                  <c:v>85.009345236935587</c:v>
                </c:pt>
                <c:pt idx="34">
                  <c:v>84.988606583000546</c:v>
                </c:pt>
                <c:pt idx="35">
                  <c:v>84.966572243084556</c:v>
                </c:pt>
                <c:pt idx="36">
                  <c:v>84.943070546602939</c:v>
                </c:pt>
                <c:pt idx="37">
                  <c:v>84.918081645053462</c:v>
                </c:pt>
                <c:pt idx="38">
                  <c:v>84.891552430301999</c:v>
                </c:pt>
                <c:pt idx="39">
                  <c:v>84.863566707876998</c:v>
                </c:pt>
                <c:pt idx="40">
                  <c:v>84.834111145079987</c:v>
                </c:pt>
                <c:pt idx="41">
                  <c:v>84.802862902604829</c:v>
                </c:pt>
                <c:pt idx="42">
                  <c:v>84.770172135335997</c:v>
                </c:pt>
                <c:pt idx="43">
                  <c:v>84.735782367363754</c:v>
                </c:pt>
                <c:pt idx="44">
                  <c:v>84.699761761595255</c:v>
                </c:pt>
                <c:pt idx="45">
                  <c:v>84.661985405914493</c:v>
                </c:pt>
                <c:pt idx="46">
                  <c:v>84.622437995394648</c:v>
                </c:pt>
                <c:pt idx="47">
                  <c:v>84.581146547940079</c:v>
                </c:pt>
                <c:pt idx="48">
                  <c:v>84.538004334121979</c:v>
                </c:pt>
                <c:pt idx="49">
                  <c:v>84.493103468888876</c:v>
                </c:pt>
                <c:pt idx="50">
                  <c:v>84.446394422635422</c:v>
                </c:pt>
                <c:pt idx="51">
                  <c:v>84.397673562696582</c:v>
                </c:pt>
                <c:pt idx="52">
                  <c:v>84.347170876446398</c:v>
                </c:pt>
                <c:pt idx="53">
                  <c:v>84.294549155552886</c:v>
                </c:pt>
                <c:pt idx="54">
                  <c:v>84.240078915987397</c:v>
                </c:pt>
                <c:pt idx="55">
                  <c:v>84.183602561162843</c:v>
                </c:pt>
                <c:pt idx="56">
                  <c:v>84.125018253809685</c:v>
                </c:pt>
                <c:pt idx="57">
                  <c:v>84.064189925581559</c:v>
                </c:pt>
                <c:pt idx="58">
                  <c:v>84.001654767286709</c:v>
                </c:pt>
                <c:pt idx="59">
                  <c:v>83.936701319287749</c:v>
                </c:pt>
                <c:pt idx="60">
                  <c:v>83.869718829471822</c:v>
                </c:pt>
                <c:pt idx="61">
                  <c:v>83.800493533371991</c:v>
                </c:pt>
                <c:pt idx="62">
                  <c:v>83.729159052249997</c:v>
                </c:pt>
                <c:pt idx="63">
                  <c:v>83.655520381442329</c:v>
                </c:pt>
                <c:pt idx="64">
                  <c:v>83.579280499069682</c:v>
                </c:pt>
                <c:pt idx="65">
                  <c:v>83.501354853819976</c:v>
                </c:pt>
                <c:pt idx="66">
                  <c:v>83.420808031631168</c:v>
                </c:pt>
                <c:pt idx="67">
                  <c:v>83.338033536640978</c:v>
                </c:pt>
                <c:pt idx="68">
                  <c:v>83.252724791157561</c:v>
                </c:pt>
                <c:pt idx="69">
                  <c:v>83.165054912684354</c:v>
                </c:pt>
                <c:pt idx="70">
                  <c:v>83.075182158712778</c:v>
                </c:pt>
                <c:pt idx="71">
                  <c:v>82.982583994677952</c:v>
                </c:pt>
                <c:pt idx="72">
                  <c:v>82.887535439655039</c:v>
                </c:pt>
                <c:pt idx="73">
                  <c:v>82.790011546209826</c:v>
                </c:pt>
                <c:pt idx="74">
                  <c:v>82.689992200344932</c:v>
                </c:pt>
                <c:pt idx="75">
                  <c:v>82.587065535275542</c:v>
                </c:pt>
                <c:pt idx="76">
                  <c:v>82.482038325439134</c:v>
                </c:pt>
                <c:pt idx="77">
                  <c:v>82.374099565446159</c:v>
                </c:pt>
                <c:pt idx="78">
                  <c:v>82.263760903177172</c:v>
                </c:pt>
                <c:pt idx="79">
                  <c:v>82.150612583124712</c:v>
                </c:pt>
                <c:pt idx="80">
                  <c:v>82.034615142939401</c:v>
                </c:pt>
                <c:pt idx="81">
                  <c:v>81.916155059772791</c:v>
                </c:pt>
                <c:pt idx="82">
                  <c:v>81.794655474926003</c:v>
                </c:pt>
                <c:pt idx="83">
                  <c:v>81.670237150454341</c:v>
                </c:pt>
              </c:numCache>
            </c:numRef>
          </c:xVal>
          <c:yVal>
            <c:numRef>
              <c:f>'Compute Ephemeris'!$AC$8:$AC$91</c:f>
              <c:numCache>
                <c:formatCode>0.000</c:formatCode>
                <c:ptCount val="84"/>
                <c:pt idx="0">
                  <c:v>7.4898049204673205</c:v>
                </c:pt>
                <c:pt idx="1">
                  <c:v>7.4712887827100456</c:v>
                </c:pt>
                <c:pt idx="2">
                  <c:v>7.4528941329331575</c:v>
                </c:pt>
                <c:pt idx="3">
                  <c:v>7.4345996217426329</c:v>
                </c:pt>
                <c:pt idx="4">
                  <c:v>7.4164398256009862</c:v>
                </c:pt>
                <c:pt idx="5">
                  <c:v>7.3983352300643155</c:v>
                </c:pt>
                <c:pt idx="6">
                  <c:v>7.3803084833905377</c:v>
                </c:pt>
                <c:pt idx="7">
                  <c:v>7.3624289030447931</c:v>
                </c:pt>
                <c:pt idx="8">
                  <c:v>7.3446911610895649</c:v>
                </c:pt>
                <c:pt idx="9">
                  <c:v>7.3270031724895643</c:v>
                </c:pt>
                <c:pt idx="10">
                  <c:v>7.3093720196517751</c:v>
                </c:pt>
                <c:pt idx="11">
                  <c:v>7.2918469028590787</c:v>
                </c:pt>
                <c:pt idx="12">
                  <c:v>7.2744603234242478</c:v>
                </c:pt>
                <c:pt idx="13">
                  <c:v>7.2571240978240841</c:v>
                </c:pt>
                <c:pt idx="14">
                  <c:v>7.2399930179550225</c:v>
                </c:pt>
                <c:pt idx="15">
                  <c:v>7.2227057954880349</c:v>
                </c:pt>
                <c:pt idx="16">
                  <c:v>7.2057516217824995</c:v>
                </c:pt>
                <c:pt idx="17">
                  <c:v>7.1887669486279693</c:v>
                </c:pt>
                <c:pt idx="18">
                  <c:v>7.1718769567793661</c:v>
                </c:pt>
                <c:pt idx="19">
                  <c:v>7.1550804826486987</c:v>
                </c:pt>
                <c:pt idx="20">
                  <c:v>7.1382817200164457</c:v>
                </c:pt>
                <c:pt idx="21">
                  <c:v>7.1215879904604504</c:v>
                </c:pt>
                <c:pt idx="22">
                  <c:v>7.1050128285655196</c:v>
                </c:pt>
                <c:pt idx="23">
                  <c:v>7.0884068781904928</c:v>
                </c:pt>
                <c:pt idx="24">
                  <c:v>7.071938483525817</c:v>
                </c:pt>
                <c:pt idx="25">
                  <c:v>7.0555208441385009</c:v>
                </c:pt>
                <c:pt idx="26">
                  <c:v>7.0390823916685132</c:v>
                </c:pt>
                <c:pt idx="27">
                  <c:v>7.0227711978839222</c:v>
                </c:pt>
                <c:pt idx="28">
                  <c:v>7.0065232333320253</c:v>
                </c:pt>
                <c:pt idx="29">
                  <c:v>6.9902690195814081</c:v>
                </c:pt>
                <c:pt idx="30">
                  <c:v>6.9740690721843803</c:v>
                </c:pt>
                <c:pt idx="31">
                  <c:v>6.9578844965916034</c:v>
                </c:pt>
                <c:pt idx="32">
                  <c:v>6.9418117443584606</c:v>
                </c:pt>
                <c:pt idx="33">
                  <c:v>6.9256970120867569</c:v>
                </c:pt>
                <c:pt idx="34">
                  <c:v>6.9096148757045945</c:v>
                </c:pt>
                <c:pt idx="35">
                  <c:v>6.893630220891545</c:v>
                </c:pt>
                <c:pt idx="36">
                  <c:v>6.8776350568711546</c:v>
                </c:pt>
                <c:pt idx="37">
                  <c:v>6.8616394346837657</c:v>
                </c:pt>
                <c:pt idx="38">
                  <c:v>6.845630934339507</c:v>
                </c:pt>
                <c:pt idx="39">
                  <c:v>6.8296749363362714</c:v>
                </c:pt>
                <c:pt idx="40">
                  <c:v>6.8137714033687189</c:v>
                </c:pt>
                <c:pt idx="41">
                  <c:v>6.7977646598034323</c:v>
                </c:pt>
                <c:pt idx="42">
                  <c:v>6.7818479614156653</c:v>
                </c:pt>
                <c:pt idx="43">
                  <c:v>6.7659032300992248</c:v>
                </c:pt>
                <c:pt idx="44">
                  <c:v>6.7499729692345252</c:v>
                </c:pt>
                <c:pt idx="45">
                  <c:v>6.7340117485626987</c:v>
                </c:pt>
                <c:pt idx="46">
                  <c:v>6.7180243737715113</c:v>
                </c:pt>
                <c:pt idx="47">
                  <c:v>6.7020301803539848</c:v>
                </c:pt>
                <c:pt idx="48">
                  <c:v>6.6859960034478103</c:v>
                </c:pt>
                <c:pt idx="49">
                  <c:v>6.6699626347384902</c:v>
                </c:pt>
                <c:pt idx="50">
                  <c:v>6.6539163174675533</c:v>
                </c:pt>
                <c:pt idx="51">
                  <c:v>6.6377944709393644</c:v>
                </c:pt>
                <c:pt idx="52">
                  <c:v>6.6216784787107441</c:v>
                </c:pt>
                <c:pt idx="53">
                  <c:v>6.6054662311901993</c:v>
                </c:pt>
                <c:pt idx="54">
                  <c:v>6.5892463354559325</c:v>
                </c:pt>
                <c:pt idx="55">
                  <c:v>6.5729739985904461</c:v>
                </c:pt>
                <c:pt idx="56">
                  <c:v>6.55662463952532</c:v>
                </c:pt>
                <c:pt idx="57">
                  <c:v>6.5401668039509318</c:v>
                </c:pt>
                <c:pt idx="58">
                  <c:v>6.52374621589819</c:v>
                </c:pt>
                <c:pt idx="59">
                  <c:v>6.5071775129414569</c:v>
                </c:pt>
                <c:pt idx="60">
                  <c:v>6.4905641854221319</c:v>
                </c:pt>
                <c:pt idx="61">
                  <c:v>6.4738544521520733</c:v>
                </c:pt>
                <c:pt idx="62">
                  <c:v>6.4570818590434556</c:v>
                </c:pt>
                <c:pt idx="63">
                  <c:v>6.4402015390707357</c:v>
                </c:pt>
                <c:pt idx="64">
                  <c:v>6.4231497409539848</c:v>
                </c:pt>
                <c:pt idx="65">
                  <c:v>6.4061297327119693</c:v>
                </c:pt>
                <c:pt idx="66">
                  <c:v>6.3889351680393061</c:v>
                </c:pt>
                <c:pt idx="67">
                  <c:v>6.3716515497046293</c:v>
                </c:pt>
                <c:pt idx="68">
                  <c:v>6.3542149283291405</c:v>
                </c:pt>
                <c:pt idx="69">
                  <c:v>6.3366609547649722</c:v>
                </c:pt>
                <c:pt idx="70">
                  <c:v>6.3190189593509061</c:v>
                </c:pt>
                <c:pt idx="71">
                  <c:v>6.3011855874783302</c:v>
                </c:pt>
                <c:pt idx="72">
                  <c:v>6.2832137803181967</c:v>
                </c:pt>
                <c:pt idx="73">
                  <c:v>6.2650968557207225</c:v>
                </c:pt>
                <c:pt idx="74">
                  <c:v>6.246828858072468</c:v>
                </c:pt>
                <c:pt idx="75">
                  <c:v>6.2283337313253808</c:v>
                </c:pt>
                <c:pt idx="76">
                  <c:v>6.2097534061852144</c:v>
                </c:pt>
                <c:pt idx="77">
                  <c:v>6.190940890417445</c:v>
                </c:pt>
                <c:pt idx="78">
                  <c:v>6.1719826156469546</c:v>
                </c:pt>
                <c:pt idx="79">
                  <c:v>6.1528045549814516</c:v>
                </c:pt>
                <c:pt idx="80">
                  <c:v>6.1333974933134314</c:v>
                </c:pt>
                <c:pt idx="81">
                  <c:v>6.113821932920513</c:v>
                </c:pt>
                <c:pt idx="82">
                  <c:v>6.0939784751756116</c:v>
                </c:pt>
                <c:pt idx="83">
                  <c:v>6.0738836487070529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3F-4F2C-A722-74919AEF5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88704"/>
        <c:axId val="490099072"/>
      </c:scatterChart>
      <c:valAx>
        <c:axId val="490088704"/>
        <c:scaling>
          <c:orientation val="maxMin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Altitude, km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90099072"/>
        <c:crosses val="autoZero"/>
        <c:crossBetween val="midCat"/>
      </c:valAx>
      <c:valAx>
        <c:axId val="49009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Relative Velocity, km/s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90088704"/>
        <c:crosses val="max"/>
        <c:crossBetween val="midCat"/>
      </c:valAx>
    </c:plotArea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Relative Velocity 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Altitude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'Compute Ephemeris'!$A$8:$A$91</c:f>
              <c:numCache>
                <c:formatCode>hh:mm:ss.0</c:formatCode>
                <c:ptCount val="84"/>
                <c:pt idx="0">
                  <c:v>0.73956019675925921</c:v>
                </c:pt>
                <c:pt idx="1">
                  <c:v>0.73957177083333336</c:v>
                </c:pt>
                <c:pt idx="2">
                  <c:v>0.73958334490740751</c:v>
                </c:pt>
                <c:pt idx="3">
                  <c:v>0.73959491898148144</c:v>
                </c:pt>
                <c:pt idx="4">
                  <c:v>0.73960646990740742</c:v>
                </c:pt>
                <c:pt idx="5">
                  <c:v>0.73961805555555549</c:v>
                </c:pt>
                <c:pt idx="6">
                  <c:v>0.73962965277777781</c:v>
                </c:pt>
                <c:pt idx="7">
                  <c:v>0.73964122685185185</c:v>
                </c:pt>
                <c:pt idx="8">
                  <c:v>0.73965277777777771</c:v>
                </c:pt>
                <c:pt idx="9">
                  <c:v>0.73966435185185186</c:v>
                </c:pt>
                <c:pt idx="10">
                  <c:v>0.73967594907407408</c:v>
                </c:pt>
                <c:pt idx="11">
                  <c:v>0.73968754629629629</c:v>
                </c:pt>
                <c:pt idx="12">
                  <c:v>0.7396991087962963</c:v>
                </c:pt>
                <c:pt idx="13">
                  <c:v>0.73971070601851852</c:v>
                </c:pt>
                <c:pt idx="14">
                  <c:v>0.73972221064814814</c:v>
                </c:pt>
                <c:pt idx="15">
                  <c:v>0.73973387731481477</c:v>
                </c:pt>
                <c:pt idx="16">
                  <c:v>0.7397453819444445</c:v>
                </c:pt>
                <c:pt idx="17">
                  <c:v>0.73975696759259257</c:v>
                </c:pt>
                <c:pt idx="18">
                  <c:v>0.73976853009259258</c:v>
                </c:pt>
                <c:pt idx="19">
                  <c:v>0.73978008101851855</c:v>
                </c:pt>
                <c:pt idx="20">
                  <c:v>0.73979167824074077</c:v>
                </c:pt>
                <c:pt idx="21">
                  <c:v>0.73980326388888884</c:v>
                </c:pt>
                <c:pt idx="22">
                  <c:v>0.73981480324074067</c:v>
                </c:pt>
                <c:pt idx="23">
                  <c:v>0.73982641203703714</c:v>
                </c:pt>
                <c:pt idx="24">
                  <c:v>0.73983796296296289</c:v>
                </c:pt>
                <c:pt idx="25">
                  <c:v>0.7398495254629629</c:v>
                </c:pt>
                <c:pt idx="26">
                  <c:v>0.73986113425925926</c:v>
                </c:pt>
                <c:pt idx="27">
                  <c:v>0.73987269675925926</c:v>
                </c:pt>
                <c:pt idx="28">
                  <c:v>0.73988424768518524</c:v>
                </c:pt>
                <c:pt idx="29">
                  <c:v>0.73989583333333331</c:v>
                </c:pt>
                <c:pt idx="30">
                  <c:v>0.73990740740740746</c:v>
                </c:pt>
                <c:pt idx="31">
                  <c:v>0.73991900462962956</c:v>
                </c:pt>
                <c:pt idx="32">
                  <c:v>0.7399305439814815</c:v>
                </c:pt>
                <c:pt idx="33">
                  <c:v>0.73994214120370361</c:v>
                </c:pt>
                <c:pt idx="34">
                  <c:v>0.7399537268518519</c:v>
                </c:pt>
                <c:pt idx="35">
                  <c:v>0.73996526620370373</c:v>
                </c:pt>
                <c:pt idx="36">
                  <c:v>0.73997684027777788</c:v>
                </c:pt>
                <c:pt idx="37">
                  <c:v>0.73998841435185181</c:v>
                </c:pt>
                <c:pt idx="38">
                  <c:v>0.74000002314814817</c:v>
                </c:pt>
                <c:pt idx="39">
                  <c:v>0.74001158564814817</c:v>
                </c:pt>
                <c:pt idx="40">
                  <c:v>0.74002313657407404</c:v>
                </c:pt>
                <c:pt idx="41">
                  <c:v>0.74003474537037039</c:v>
                </c:pt>
                <c:pt idx="42">
                  <c:v>0.7400463078703704</c:v>
                </c:pt>
                <c:pt idx="43">
                  <c:v>0.74005788194444444</c:v>
                </c:pt>
                <c:pt idx="44">
                  <c:v>0.7400694328703703</c:v>
                </c:pt>
                <c:pt idx="45">
                  <c:v>0.74008100694444445</c:v>
                </c:pt>
                <c:pt idx="46">
                  <c:v>0.74009259259259252</c:v>
                </c:pt>
                <c:pt idx="47">
                  <c:v>0.74010416666666667</c:v>
                </c:pt>
                <c:pt idx="48">
                  <c:v>0.74011575231481475</c:v>
                </c:pt>
                <c:pt idx="49">
                  <c:v>0.7401273263888889</c:v>
                </c:pt>
                <c:pt idx="50">
                  <c:v>0.74013888888888879</c:v>
                </c:pt>
                <c:pt idx="51">
                  <c:v>0.74015047453703708</c:v>
                </c:pt>
                <c:pt idx="52">
                  <c:v>0.74016202546296295</c:v>
                </c:pt>
                <c:pt idx="53">
                  <c:v>0.74017361111111113</c:v>
                </c:pt>
                <c:pt idx="54">
                  <c:v>0.74018517361111114</c:v>
                </c:pt>
                <c:pt idx="55">
                  <c:v>0.74019674768518529</c:v>
                </c:pt>
                <c:pt idx="56">
                  <c:v>0.74020832175925921</c:v>
                </c:pt>
                <c:pt idx="57">
                  <c:v>0.74021993055555557</c:v>
                </c:pt>
                <c:pt idx="58">
                  <c:v>0.7402314699074074</c:v>
                </c:pt>
                <c:pt idx="59">
                  <c:v>0.74024306712962973</c:v>
                </c:pt>
                <c:pt idx="60">
                  <c:v>0.74025462962962962</c:v>
                </c:pt>
                <c:pt idx="61">
                  <c:v>0.74026621527777781</c:v>
                </c:pt>
                <c:pt idx="62">
                  <c:v>0.7402777777777777</c:v>
                </c:pt>
                <c:pt idx="63">
                  <c:v>0.74028935185185185</c:v>
                </c:pt>
                <c:pt idx="64">
                  <c:v>0.74030097222222224</c:v>
                </c:pt>
                <c:pt idx="65">
                  <c:v>0.74031251157407407</c:v>
                </c:pt>
                <c:pt idx="66">
                  <c:v>0.74032408564814822</c:v>
                </c:pt>
                <c:pt idx="67">
                  <c:v>0.74033564814814812</c:v>
                </c:pt>
                <c:pt idx="68">
                  <c:v>0.7403472337962963</c:v>
                </c:pt>
                <c:pt idx="69">
                  <c:v>0.74035880787037034</c:v>
                </c:pt>
                <c:pt idx="70">
                  <c:v>0.74037035879629631</c:v>
                </c:pt>
                <c:pt idx="71">
                  <c:v>0.74038193287037035</c:v>
                </c:pt>
                <c:pt idx="72">
                  <c:v>0.74039350694444439</c:v>
                </c:pt>
                <c:pt idx="73">
                  <c:v>0.74040508101851854</c:v>
                </c:pt>
                <c:pt idx="74">
                  <c:v>0.74041665509259269</c:v>
                </c:pt>
                <c:pt idx="75">
                  <c:v>0.74042826388888894</c:v>
                </c:pt>
                <c:pt idx="76">
                  <c:v>0.74043981481481491</c:v>
                </c:pt>
                <c:pt idx="77">
                  <c:v>0.74045138888888884</c:v>
                </c:pt>
                <c:pt idx="78">
                  <c:v>0.74046295138888896</c:v>
                </c:pt>
                <c:pt idx="79">
                  <c:v>0.74047452546296288</c:v>
                </c:pt>
                <c:pt idx="80">
                  <c:v>0.74048611111111118</c:v>
                </c:pt>
                <c:pt idx="81">
                  <c:v>0.74049767361111118</c:v>
                </c:pt>
                <c:pt idx="82">
                  <c:v>0.74050925925925926</c:v>
                </c:pt>
                <c:pt idx="83">
                  <c:v>0.7405208680555555</c:v>
                </c:pt>
              </c:numCache>
            </c:numRef>
          </c:xVal>
          <c:yVal>
            <c:numRef>
              <c:f>'Compute Ephemeris'!$AC$8:$AC$91</c:f>
              <c:numCache>
                <c:formatCode>0.000</c:formatCode>
                <c:ptCount val="84"/>
                <c:pt idx="0">
                  <c:v>7.4898049204673205</c:v>
                </c:pt>
                <c:pt idx="1">
                  <c:v>7.4712887827100456</c:v>
                </c:pt>
                <c:pt idx="2">
                  <c:v>7.4528941329331575</c:v>
                </c:pt>
                <c:pt idx="3">
                  <c:v>7.4345996217426329</c:v>
                </c:pt>
                <c:pt idx="4">
                  <c:v>7.4164398256009862</c:v>
                </c:pt>
                <c:pt idx="5">
                  <c:v>7.3983352300643155</c:v>
                </c:pt>
                <c:pt idx="6">
                  <c:v>7.3803084833905377</c:v>
                </c:pt>
                <c:pt idx="7">
                  <c:v>7.3624289030447931</c:v>
                </c:pt>
                <c:pt idx="8">
                  <c:v>7.3446911610895649</c:v>
                </c:pt>
                <c:pt idx="9">
                  <c:v>7.3270031724895643</c:v>
                </c:pt>
                <c:pt idx="10">
                  <c:v>7.3093720196517751</c:v>
                </c:pt>
                <c:pt idx="11">
                  <c:v>7.2918469028590787</c:v>
                </c:pt>
                <c:pt idx="12">
                  <c:v>7.2744603234242478</c:v>
                </c:pt>
                <c:pt idx="13">
                  <c:v>7.2571240978240841</c:v>
                </c:pt>
                <c:pt idx="14">
                  <c:v>7.2399930179550225</c:v>
                </c:pt>
                <c:pt idx="15">
                  <c:v>7.2227057954880349</c:v>
                </c:pt>
                <c:pt idx="16">
                  <c:v>7.2057516217824995</c:v>
                </c:pt>
                <c:pt idx="17">
                  <c:v>7.1887669486279693</c:v>
                </c:pt>
                <c:pt idx="18">
                  <c:v>7.1718769567793661</c:v>
                </c:pt>
                <c:pt idx="19">
                  <c:v>7.1550804826486987</c:v>
                </c:pt>
                <c:pt idx="20">
                  <c:v>7.1382817200164457</c:v>
                </c:pt>
                <c:pt idx="21">
                  <c:v>7.1215879904604504</c:v>
                </c:pt>
                <c:pt idx="22">
                  <c:v>7.1050128285655196</c:v>
                </c:pt>
                <c:pt idx="23">
                  <c:v>7.0884068781904928</c:v>
                </c:pt>
                <c:pt idx="24">
                  <c:v>7.071938483525817</c:v>
                </c:pt>
                <c:pt idx="25">
                  <c:v>7.0555208441385009</c:v>
                </c:pt>
                <c:pt idx="26">
                  <c:v>7.0390823916685132</c:v>
                </c:pt>
                <c:pt idx="27">
                  <c:v>7.0227711978839222</c:v>
                </c:pt>
                <c:pt idx="28">
                  <c:v>7.0065232333320253</c:v>
                </c:pt>
                <c:pt idx="29">
                  <c:v>6.9902690195814081</c:v>
                </c:pt>
                <c:pt idx="30">
                  <c:v>6.9740690721843803</c:v>
                </c:pt>
                <c:pt idx="31">
                  <c:v>6.9578844965916034</c:v>
                </c:pt>
                <c:pt idx="32">
                  <c:v>6.9418117443584606</c:v>
                </c:pt>
                <c:pt idx="33">
                  <c:v>6.9256970120867569</c:v>
                </c:pt>
                <c:pt idx="34">
                  <c:v>6.9096148757045945</c:v>
                </c:pt>
                <c:pt idx="35">
                  <c:v>6.893630220891545</c:v>
                </c:pt>
                <c:pt idx="36">
                  <c:v>6.8776350568711546</c:v>
                </c:pt>
                <c:pt idx="37">
                  <c:v>6.8616394346837657</c:v>
                </c:pt>
                <c:pt idx="38">
                  <c:v>6.845630934339507</c:v>
                </c:pt>
                <c:pt idx="39">
                  <c:v>6.8296749363362714</c:v>
                </c:pt>
                <c:pt idx="40">
                  <c:v>6.8137714033687189</c:v>
                </c:pt>
                <c:pt idx="41">
                  <c:v>6.7977646598034323</c:v>
                </c:pt>
                <c:pt idx="42">
                  <c:v>6.7818479614156653</c:v>
                </c:pt>
                <c:pt idx="43">
                  <c:v>6.7659032300992248</c:v>
                </c:pt>
                <c:pt idx="44">
                  <c:v>6.7499729692345252</c:v>
                </c:pt>
                <c:pt idx="45">
                  <c:v>6.7340117485626987</c:v>
                </c:pt>
                <c:pt idx="46">
                  <c:v>6.7180243737715113</c:v>
                </c:pt>
                <c:pt idx="47">
                  <c:v>6.7020301803539848</c:v>
                </c:pt>
                <c:pt idx="48">
                  <c:v>6.6859960034478103</c:v>
                </c:pt>
                <c:pt idx="49">
                  <c:v>6.6699626347384902</c:v>
                </c:pt>
                <c:pt idx="50">
                  <c:v>6.6539163174675533</c:v>
                </c:pt>
                <c:pt idx="51">
                  <c:v>6.6377944709393644</c:v>
                </c:pt>
                <c:pt idx="52">
                  <c:v>6.6216784787107441</c:v>
                </c:pt>
                <c:pt idx="53">
                  <c:v>6.6054662311901993</c:v>
                </c:pt>
                <c:pt idx="54">
                  <c:v>6.5892463354559325</c:v>
                </c:pt>
                <c:pt idx="55">
                  <c:v>6.5729739985904461</c:v>
                </c:pt>
                <c:pt idx="56">
                  <c:v>6.55662463952532</c:v>
                </c:pt>
                <c:pt idx="57">
                  <c:v>6.5401668039509318</c:v>
                </c:pt>
                <c:pt idx="58">
                  <c:v>6.52374621589819</c:v>
                </c:pt>
                <c:pt idx="59">
                  <c:v>6.5071775129414569</c:v>
                </c:pt>
                <c:pt idx="60">
                  <c:v>6.4905641854221319</c:v>
                </c:pt>
                <c:pt idx="61">
                  <c:v>6.4738544521520733</c:v>
                </c:pt>
                <c:pt idx="62">
                  <c:v>6.4570818590434556</c:v>
                </c:pt>
                <c:pt idx="63">
                  <c:v>6.4402015390707357</c:v>
                </c:pt>
                <c:pt idx="64">
                  <c:v>6.4231497409539848</c:v>
                </c:pt>
                <c:pt idx="65">
                  <c:v>6.4061297327119693</c:v>
                </c:pt>
                <c:pt idx="66">
                  <c:v>6.3889351680393061</c:v>
                </c:pt>
                <c:pt idx="67">
                  <c:v>6.3716515497046293</c:v>
                </c:pt>
                <c:pt idx="68">
                  <c:v>6.3542149283291405</c:v>
                </c:pt>
                <c:pt idx="69">
                  <c:v>6.3366609547649722</c:v>
                </c:pt>
                <c:pt idx="70">
                  <c:v>6.3190189593509061</c:v>
                </c:pt>
                <c:pt idx="71">
                  <c:v>6.3011855874783302</c:v>
                </c:pt>
                <c:pt idx="72">
                  <c:v>6.2832137803181967</c:v>
                </c:pt>
                <c:pt idx="73">
                  <c:v>6.2650968557207225</c:v>
                </c:pt>
                <c:pt idx="74">
                  <c:v>6.246828858072468</c:v>
                </c:pt>
                <c:pt idx="75">
                  <c:v>6.2283337313253808</c:v>
                </c:pt>
                <c:pt idx="76">
                  <c:v>6.2097534061852144</c:v>
                </c:pt>
                <c:pt idx="77">
                  <c:v>6.190940890417445</c:v>
                </c:pt>
                <c:pt idx="78">
                  <c:v>6.1719826156469546</c:v>
                </c:pt>
                <c:pt idx="79">
                  <c:v>6.1528045549814516</c:v>
                </c:pt>
                <c:pt idx="80">
                  <c:v>6.1333974933134314</c:v>
                </c:pt>
                <c:pt idx="81">
                  <c:v>6.113821932920513</c:v>
                </c:pt>
                <c:pt idx="82">
                  <c:v>6.0939784751756116</c:v>
                </c:pt>
                <c:pt idx="83">
                  <c:v>6.0738836487070529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AC-4A7C-B621-0233A6D09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119936"/>
        <c:axId val="490122240"/>
      </c:scatterChart>
      <c:valAx>
        <c:axId val="490119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 baseline="0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90122240"/>
        <c:crosses val="autoZero"/>
        <c:crossBetween val="midCat"/>
        <c:majorUnit val="2.0833330000000006E-3"/>
      </c:valAx>
      <c:valAx>
        <c:axId val="490122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400"/>
                  <a:t>Relative Velocity,</a:t>
                </a:r>
                <a:r>
                  <a:rPr lang="en-CA" sz="1400" baseline="0"/>
                  <a:t> km/s</a:t>
                </a:r>
                <a:endParaRPr lang="en-CA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90119936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>
      <a:noFill/>
    </a:ln>
  </c:sp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2020-087A</a:t>
            </a:r>
            <a:r>
              <a:rPr lang="en-US"/>
              <a:t> Re-entry</a:t>
            </a:r>
          </a:p>
          <a:p>
            <a:pPr>
              <a:defRPr/>
            </a:pPr>
            <a:r>
              <a:rPr lang="en-US"/>
              <a:t>Relative Velocity and Altitude vs.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Velocity</c:v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'Compute Ephemeris'!$A$8:$A$91</c:f>
              <c:numCache>
                <c:formatCode>hh:mm:ss.0</c:formatCode>
                <c:ptCount val="84"/>
                <c:pt idx="0">
                  <c:v>0.73956019675925921</c:v>
                </c:pt>
                <c:pt idx="1">
                  <c:v>0.73957177083333336</c:v>
                </c:pt>
                <c:pt idx="2">
                  <c:v>0.73958334490740751</c:v>
                </c:pt>
                <c:pt idx="3">
                  <c:v>0.73959491898148144</c:v>
                </c:pt>
                <c:pt idx="4">
                  <c:v>0.73960646990740742</c:v>
                </c:pt>
                <c:pt idx="5">
                  <c:v>0.73961805555555549</c:v>
                </c:pt>
                <c:pt idx="6">
                  <c:v>0.73962965277777781</c:v>
                </c:pt>
                <c:pt idx="7">
                  <c:v>0.73964122685185185</c:v>
                </c:pt>
                <c:pt idx="8">
                  <c:v>0.73965277777777771</c:v>
                </c:pt>
                <c:pt idx="9">
                  <c:v>0.73966435185185186</c:v>
                </c:pt>
                <c:pt idx="10">
                  <c:v>0.73967594907407408</c:v>
                </c:pt>
                <c:pt idx="11">
                  <c:v>0.73968754629629629</c:v>
                </c:pt>
                <c:pt idx="12">
                  <c:v>0.7396991087962963</c:v>
                </c:pt>
                <c:pt idx="13">
                  <c:v>0.73971070601851852</c:v>
                </c:pt>
                <c:pt idx="14">
                  <c:v>0.73972221064814814</c:v>
                </c:pt>
                <c:pt idx="15">
                  <c:v>0.73973387731481477</c:v>
                </c:pt>
                <c:pt idx="16">
                  <c:v>0.7397453819444445</c:v>
                </c:pt>
                <c:pt idx="17">
                  <c:v>0.73975696759259257</c:v>
                </c:pt>
                <c:pt idx="18">
                  <c:v>0.73976853009259258</c:v>
                </c:pt>
                <c:pt idx="19">
                  <c:v>0.73978008101851855</c:v>
                </c:pt>
                <c:pt idx="20">
                  <c:v>0.73979167824074077</c:v>
                </c:pt>
                <c:pt idx="21">
                  <c:v>0.73980326388888884</c:v>
                </c:pt>
                <c:pt idx="22">
                  <c:v>0.73981480324074067</c:v>
                </c:pt>
                <c:pt idx="23">
                  <c:v>0.73982641203703714</c:v>
                </c:pt>
                <c:pt idx="24">
                  <c:v>0.73983796296296289</c:v>
                </c:pt>
                <c:pt idx="25">
                  <c:v>0.7398495254629629</c:v>
                </c:pt>
                <c:pt idx="26">
                  <c:v>0.73986113425925926</c:v>
                </c:pt>
                <c:pt idx="27">
                  <c:v>0.73987269675925926</c:v>
                </c:pt>
                <c:pt idx="28">
                  <c:v>0.73988424768518524</c:v>
                </c:pt>
                <c:pt idx="29">
                  <c:v>0.73989583333333331</c:v>
                </c:pt>
                <c:pt idx="30">
                  <c:v>0.73990740740740746</c:v>
                </c:pt>
                <c:pt idx="31">
                  <c:v>0.73991900462962956</c:v>
                </c:pt>
                <c:pt idx="32">
                  <c:v>0.7399305439814815</c:v>
                </c:pt>
                <c:pt idx="33">
                  <c:v>0.73994214120370361</c:v>
                </c:pt>
                <c:pt idx="34">
                  <c:v>0.7399537268518519</c:v>
                </c:pt>
                <c:pt idx="35">
                  <c:v>0.73996526620370373</c:v>
                </c:pt>
                <c:pt idx="36">
                  <c:v>0.73997684027777788</c:v>
                </c:pt>
                <c:pt idx="37">
                  <c:v>0.73998841435185181</c:v>
                </c:pt>
                <c:pt idx="38">
                  <c:v>0.74000002314814817</c:v>
                </c:pt>
                <c:pt idx="39">
                  <c:v>0.74001158564814817</c:v>
                </c:pt>
                <c:pt idx="40">
                  <c:v>0.74002313657407404</c:v>
                </c:pt>
                <c:pt idx="41">
                  <c:v>0.74003474537037039</c:v>
                </c:pt>
                <c:pt idx="42">
                  <c:v>0.7400463078703704</c:v>
                </c:pt>
                <c:pt idx="43">
                  <c:v>0.74005788194444444</c:v>
                </c:pt>
                <c:pt idx="44">
                  <c:v>0.7400694328703703</c:v>
                </c:pt>
                <c:pt idx="45">
                  <c:v>0.74008100694444445</c:v>
                </c:pt>
                <c:pt idx="46">
                  <c:v>0.74009259259259252</c:v>
                </c:pt>
                <c:pt idx="47">
                  <c:v>0.74010416666666667</c:v>
                </c:pt>
                <c:pt idx="48">
                  <c:v>0.74011575231481475</c:v>
                </c:pt>
                <c:pt idx="49">
                  <c:v>0.7401273263888889</c:v>
                </c:pt>
                <c:pt idx="50">
                  <c:v>0.74013888888888879</c:v>
                </c:pt>
                <c:pt idx="51">
                  <c:v>0.74015047453703708</c:v>
                </c:pt>
                <c:pt idx="52">
                  <c:v>0.74016202546296295</c:v>
                </c:pt>
                <c:pt idx="53">
                  <c:v>0.74017361111111113</c:v>
                </c:pt>
                <c:pt idx="54">
                  <c:v>0.74018517361111114</c:v>
                </c:pt>
                <c:pt idx="55">
                  <c:v>0.74019674768518529</c:v>
                </c:pt>
                <c:pt idx="56">
                  <c:v>0.74020832175925921</c:v>
                </c:pt>
                <c:pt idx="57">
                  <c:v>0.74021993055555557</c:v>
                </c:pt>
                <c:pt idx="58">
                  <c:v>0.7402314699074074</c:v>
                </c:pt>
                <c:pt idx="59">
                  <c:v>0.74024306712962973</c:v>
                </c:pt>
                <c:pt idx="60">
                  <c:v>0.74025462962962962</c:v>
                </c:pt>
                <c:pt idx="61">
                  <c:v>0.74026621527777781</c:v>
                </c:pt>
                <c:pt idx="62">
                  <c:v>0.7402777777777777</c:v>
                </c:pt>
                <c:pt idx="63">
                  <c:v>0.74028935185185185</c:v>
                </c:pt>
                <c:pt idx="64">
                  <c:v>0.74030097222222224</c:v>
                </c:pt>
                <c:pt idx="65">
                  <c:v>0.74031251157407407</c:v>
                </c:pt>
                <c:pt idx="66">
                  <c:v>0.74032408564814822</c:v>
                </c:pt>
                <c:pt idx="67">
                  <c:v>0.74033564814814812</c:v>
                </c:pt>
                <c:pt idx="68">
                  <c:v>0.7403472337962963</c:v>
                </c:pt>
                <c:pt idx="69">
                  <c:v>0.74035880787037034</c:v>
                </c:pt>
                <c:pt idx="70">
                  <c:v>0.74037035879629631</c:v>
                </c:pt>
                <c:pt idx="71">
                  <c:v>0.74038193287037035</c:v>
                </c:pt>
                <c:pt idx="72">
                  <c:v>0.74039350694444439</c:v>
                </c:pt>
                <c:pt idx="73">
                  <c:v>0.74040508101851854</c:v>
                </c:pt>
                <c:pt idx="74">
                  <c:v>0.74041665509259269</c:v>
                </c:pt>
                <c:pt idx="75">
                  <c:v>0.74042826388888894</c:v>
                </c:pt>
                <c:pt idx="76">
                  <c:v>0.74043981481481491</c:v>
                </c:pt>
                <c:pt idx="77">
                  <c:v>0.74045138888888884</c:v>
                </c:pt>
                <c:pt idx="78">
                  <c:v>0.74046295138888896</c:v>
                </c:pt>
                <c:pt idx="79">
                  <c:v>0.74047452546296288</c:v>
                </c:pt>
                <c:pt idx="80">
                  <c:v>0.74048611111111118</c:v>
                </c:pt>
                <c:pt idx="81">
                  <c:v>0.74049767361111118</c:v>
                </c:pt>
                <c:pt idx="82">
                  <c:v>0.74050925925925926</c:v>
                </c:pt>
                <c:pt idx="83">
                  <c:v>0.7405208680555555</c:v>
                </c:pt>
              </c:numCache>
            </c:numRef>
          </c:xVal>
          <c:yVal>
            <c:numRef>
              <c:f>'Compute Ephemeris'!$AC$8:$AC$91</c:f>
              <c:numCache>
                <c:formatCode>0.000</c:formatCode>
                <c:ptCount val="84"/>
                <c:pt idx="0">
                  <c:v>7.4898049204673205</c:v>
                </c:pt>
                <c:pt idx="1">
                  <c:v>7.4712887827100456</c:v>
                </c:pt>
                <c:pt idx="2">
                  <c:v>7.4528941329331575</c:v>
                </c:pt>
                <c:pt idx="3">
                  <c:v>7.4345996217426329</c:v>
                </c:pt>
                <c:pt idx="4">
                  <c:v>7.4164398256009862</c:v>
                </c:pt>
                <c:pt idx="5">
                  <c:v>7.3983352300643155</c:v>
                </c:pt>
                <c:pt idx="6">
                  <c:v>7.3803084833905377</c:v>
                </c:pt>
                <c:pt idx="7">
                  <c:v>7.3624289030447931</c:v>
                </c:pt>
                <c:pt idx="8">
                  <c:v>7.3446911610895649</c:v>
                </c:pt>
                <c:pt idx="9">
                  <c:v>7.3270031724895643</c:v>
                </c:pt>
                <c:pt idx="10">
                  <c:v>7.3093720196517751</c:v>
                </c:pt>
                <c:pt idx="11">
                  <c:v>7.2918469028590787</c:v>
                </c:pt>
                <c:pt idx="12">
                  <c:v>7.2744603234242478</c:v>
                </c:pt>
                <c:pt idx="13">
                  <c:v>7.2571240978240841</c:v>
                </c:pt>
                <c:pt idx="14">
                  <c:v>7.2399930179550225</c:v>
                </c:pt>
                <c:pt idx="15">
                  <c:v>7.2227057954880349</c:v>
                </c:pt>
                <c:pt idx="16">
                  <c:v>7.2057516217824995</c:v>
                </c:pt>
                <c:pt idx="17">
                  <c:v>7.1887669486279693</c:v>
                </c:pt>
                <c:pt idx="18">
                  <c:v>7.1718769567793661</c:v>
                </c:pt>
                <c:pt idx="19">
                  <c:v>7.1550804826486987</c:v>
                </c:pt>
                <c:pt idx="20">
                  <c:v>7.1382817200164457</c:v>
                </c:pt>
                <c:pt idx="21">
                  <c:v>7.1215879904604504</c:v>
                </c:pt>
                <c:pt idx="22">
                  <c:v>7.1050128285655196</c:v>
                </c:pt>
                <c:pt idx="23">
                  <c:v>7.0884068781904928</c:v>
                </c:pt>
                <c:pt idx="24">
                  <c:v>7.071938483525817</c:v>
                </c:pt>
                <c:pt idx="25">
                  <c:v>7.0555208441385009</c:v>
                </c:pt>
                <c:pt idx="26">
                  <c:v>7.0390823916685132</c:v>
                </c:pt>
                <c:pt idx="27">
                  <c:v>7.0227711978839222</c:v>
                </c:pt>
                <c:pt idx="28">
                  <c:v>7.0065232333320253</c:v>
                </c:pt>
                <c:pt idx="29">
                  <c:v>6.9902690195814081</c:v>
                </c:pt>
                <c:pt idx="30">
                  <c:v>6.9740690721843803</c:v>
                </c:pt>
                <c:pt idx="31">
                  <c:v>6.9578844965916034</c:v>
                </c:pt>
                <c:pt idx="32">
                  <c:v>6.9418117443584606</c:v>
                </c:pt>
                <c:pt idx="33">
                  <c:v>6.9256970120867569</c:v>
                </c:pt>
                <c:pt idx="34">
                  <c:v>6.9096148757045945</c:v>
                </c:pt>
                <c:pt idx="35">
                  <c:v>6.893630220891545</c:v>
                </c:pt>
                <c:pt idx="36">
                  <c:v>6.8776350568711546</c:v>
                </c:pt>
                <c:pt idx="37">
                  <c:v>6.8616394346837657</c:v>
                </c:pt>
                <c:pt idx="38">
                  <c:v>6.845630934339507</c:v>
                </c:pt>
                <c:pt idx="39">
                  <c:v>6.8296749363362714</c:v>
                </c:pt>
                <c:pt idx="40">
                  <c:v>6.8137714033687189</c:v>
                </c:pt>
                <c:pt idx="41">
                  <c:v>6.7977646598034323</c:v>
                </c:pt>
                <c:pt idx="42">
                  <c:v>6.7818479614156653</c:v>
                </c:pt>
                <c:pt idx="43">
                  <c:v>6.7659032300992248</c:v>
                </c:pt>
                <c:pt idx="44">
                  <c:v>6.7499729692345252</c:v>
                </c:pt>
                <c:pt idx="45">
                  <c:v>6.7340117485626987</c:v>
                </c:pt>
                <c:pt idx="46">
                  <c:v>6.7180243737715113</c:v>
                </c:pt>
                <c:pt idx="47">
                  <c:v>6.7020301803539848</c:v>
                </c:pt>
                <c:pt idx="48">
                  <c:v>6.6859960034478103</c:v>
                </c:pt>
                <c:pt idx="49">
                  <c:v>6.6699626347384902</c:v>
                </c:pt>
                <c:pt idx="50">
                  <c:v>6.6539163174675533</c:v>
                </c:pt>
                <c:pt idx="51">
                  <c:v>6.6377944709393644</c:v>
                </c:pt>
                <c:pt idx="52">
                  <c:v>6.6216784787107441</c:v>
                </c:pt>
                <c:pt idx="53">
                  <c:v>6.6054662311901993</c:v>
                </c:pt>
                <c:pt idx="54">
                  <c:v>6.5892463354559325</c:v>
                </c:pt>
                <c:pt idx="55">
                  <c:v>6.5729739985904461</c:v>
                </c:pt>
                <c:pt idx="56">
                  <c:v>6.55662463952532</c:v>
                </c:pt>
                <c:pt idx="57">
                  <c:v>6.5401668039509318</c:v>
                </c:pt>
                <c:pt idx="58">
                  <c:v>6.52374621589819</c:v>
                </c:pt>
                <c:pt idx="59">
                  <c:v>6.5071775129414569</c:v>
                </c:pt>
                <c:pt idx="60">
                  <c:v>6.4905641854221319</c:v>
                </c:pt>
                <c:pt idx="61">
                  <c:v>6.4738544521520733</c:v>
                </c:pt>
                <c:pt idx="62">
                  <c:v>6.4570818590434556</c:v>
                </c:pt>
                <c:pt idx="63">
                  <c:v>6.4402015390707357</c:v>
                </c:pt>
                <c:pt idx="64">
                  <c:v>6.4231497409539848</c:v>
                </c:pt>
                <c:pt idx="65">
                  <c:v>6.4061297327119693</c:v>
                </c:pt>
                <c:pt idx="66">
                  <c:v>6.3889351680393061</c:v>
                </c:pt>
                <c:pt idx="67">
                  <c:v>6.3716515497046293</c:v>
                </c:pt>
                <c:pt idx="68">
                  <c:v>6.3542149283291405</c:v>
                </c:pt>
                <c:pt idx="69">
                  <c:v>6.3366609547649722</c:v>
                </c:pt>
                <c:pt idx="70">
                  <c:v>6.3190189593509061</c:v>
                </c:pt>
                <c:pt idx="71">
                  <c:v>6.3011855874783302</c:v>
                </c:pt>
                <c:pt idx="72">
                  <c:v>6.2832137803181967</c:v>
                </c:pt>
                <c:pt idx="73">
                  <c:v>6.2650968557207225</c:v>
                </c:pt>
                <c:pt idx="74">
                  <c:v>6.246828858072468</c:v>
                </c:pt>
                <c:pt idx="75">
                  <c:v>6.2283337313253808</c:v>
                </c:pt>
                <c:pt idx="76">
                  <c:v>6.2097534061852144</c:v>
                </c:pt>
                <c:pt idx="77">
                  <c:v>6.190940890417445</c:v>
                </c:pt>
                <c:pt idx="78">
                  <c:v>6.1719826156469546</c:v>
                </c:pt>
                <c:pt idx="79">
                  <c:v>6.1528045549814516</c:v>
                </c:pt>
                <c:pt idx="80">
                  <c:v>6.1333974933134314</c:v>
                </c:pt>
                <c:pt idx="81">
                  <c:v>6.113821932920513</c:v>
                </c:pt>
                <c:pt idx="82">
                  <c:v>6.0939784751756116</c:v>
                </c:pt>
                <c:pt idx="83">
                  <c:v>6.0738836487070529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29F-B624-3E1984AEB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272256"/>
        <c:axId val="490356736"/>
      </c:scatterChart>
      <c:scatterChart>
        <c:scatterStyle val="lineMarker"/>
        <c:varyColors val="0"/>
        <c:ser>
          <c:idx val="1"/>
          <c:order val="1"/>
          <c:tx>
            <c:v>Altitude</c:v>
          </c:tx>
          <c:spPr>
            <a:ln w="28575">
              <a:noFill/>
            </a:ln>
          </c:spPr>
          <c:marker>
            <c:symbol val="triangle"/>
            <c:size val="6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'Compute Ephemeris'!$A$6:$A$91</c:f>
              <c:numCache>
                <c:formatCode>hh:mm:ss.0</c:formatCode>
                <c:ptCount val="86"/>
                <c:pt idx="0">
                  <c:v>0.73954002314814815</c:v>
                </c:pt>
                <c:pt idx="1">
                  <c:v>0.739548599537037</c:v>
                </c:pt>
                <c:pt idx="2">
                  <c:v>0.73956019675925921</c:v>
                </c:pt>
                <c:pt idx="3">
                  <c:v>0.73957177083333336</c:v>
                </c:pt>
                <c:pt idx="4">
                  <c:v>0.73958334490740751</c:v>
                </c:pt>
                <c:pt idx="5">
                  <c:v>0.73959491898148144</c:v>
                </c:pt>
                <c:pt idx="6">
                  <c:v>0.73960646990740742</c:v>
                </c:pt>
                <c:pt idx="7">
                  <c:v>0.73961805555555549</c:v>
                </c:pt>
                <c:pt idx="8">
                  <c:v>0.73962965277777781</c:v>
                </c:pt>
                <c:pt idx="9">
                  <c:v>0.73964122685185185</c:v>
                </c:pt>
                <c:pt idx="10">
                  <c:v>0.73965277777777771</c:v>
                </c:pt>
                <c:pt idx="11">
                  <c:v>0.73966435185185186</c:v>
                </c:pt>
                <c:pt idx="12">
                  <c:v>0.73967594907407408</c:v>
                </c:pt>
                <c:pt idx="13">
                  <c:v>0.73968754629629629</c:v>
                </c:pt>
                <c:pt idx="14">
                  <c:v>0.7396991087962963</c:v>
                </c:pt>
                <c:pt idx="15">
                  <c:v>0.73971070601851852</c:v>
                </c:pt>
                <c:pt idx="16">
                  <c:v>0.73972221064814814</c:v>
                </c:pt>
                <c:pt idx="17">
                  <c:v>0.73973387731481477</c:v>
                </c:pt>
                <c:pt idx="18">
                  <c:v>0.7397453819444445</c:v>
                </c:pt>
                <c:pt idx="19">
                  <c:v>0.73975696759259257</c:v>
                </c:pt>
                <c:pt idx="20">
                  <c:v>0.73976853009259258</c:v>
                </c:pt>
                <c:pt idx="21">
                  <c:v>0.73978008101851855</c:v>
                </c:pt>
                <c:pt idx="22">
                  <c:v>0.73979167824074077</c:v>
                </c:pt>
                <c:pt idx="23">
                  <c:v>0.73980326388888884</c:v>
                </c:pt>
                <c:pt idx="24">
                  <c:v>0.73981480324074067</c:v>
                </c:pt>
                <c:pt idx="25">
                  <c:v>0.73982641203703714</c:v>
                </c:pt>
                <c:pt idx="26">
                  <c:v>0.73983796296296289</c:v>
                </c:pt>
                <c:pt idx="27">
                  <c:v>0.7398495254629629</c:v>
                </c:pt>
                <c:pt idx="28">
                  <c:v>0.73986113425925926</c:v>
                </c:pt>
                <c:pt idx="29">
                  <c:v>0.73987269675925926</c:v>
                </c:pt>
                <c:pt idx="30">
                  <c:v>0.73988424768518524</c:v>
                </c:pt>
                <c:pt idx="31">
                  <c:v>0.73989583333333331</c:v>
                </c:pt>
                <c:pt idx="32">
                  <c:v>0.73990740740740746</c:v>
                </c:pt>
                <c:pt idx="33">
                  <c:v>0.73991900462962956</c:v>
                </c:pt>
                <c:pt idx="34">
                  <c:v>0.7399305439814815</c:v>
                </c:pt>
                <c:pt idx="35">
                  <c:v>0.73994214120370361</c:v>
                </c:pt>
                <c:pt idx="36">
                  <c:v>0.7399537268518519</c:v>
                </c:pt>
                <c:pt idx="37">
                  <c:v>0.73996526620370373</c:v>
                </c:pt>
                <c:pt idx="38">
                  <c:v>0.73997684027777788</c:v>
                </c:pt>
                <c:pt idx="39">
                  <c:v>0.73998841435185181</c:v>
                </c:pt>
                <c:pt idx="40">
                  <c:v>0.74000002314814817</c:v>
                </c:pt>
                <c:pt idx="41">
                  <c:v>0.74001158564814817</c:v>
                </c:pt>
                <c:pt idx="42">
                  <c:v>0.74002313657407404</c:v>
                </c:pt>
                <c:pt idx="43">
                  <c:v>0.74003474537037039</c:v>
                </c:pt>
                <c:pt idx="44">
                  <c:v>0.7400463078703704</c:v>
                </c:pt>
                <c:pt idx="45">
                  <c:v>0.74005788194444444</c:v>
                </c:pt>
                <c:pt idx="46">
                  <c:v>0.7400694328703703</c:v>
                </c:pt>
                <c:pt idx="47">
                  <c:v>0.74008100694444445</c:v>
                </c:pt>
                <c:pt idx="48">
                  <c:v>0.74009259259259252</c:v>
                </c:pt>
                <c:pt idx="49">
                  <c:v>0.74010416666666667</c:v>
                </c:pt>
                <c:pt idx="50">
                  <c:v>0.74011575231481475</c:v>
                </c:pt>
                <c:pt idx="51">
                  <c:v>0.7401273263888889</c:v>
                </c:pt>
                <c:pt idx="52">
                  <c:v>0.74013888888888879</c:v>
                </c:pt>
                <c:pt idx="53">
                  <c:v>0.74015047453703708</c:v>
                </c:pt>
                <c:pt idx="54">
                  <c:v>0.74016202546296295</c:v>
                </c:pt>
                <c:pt idx="55">
                  <c:v>0.74017361111111113</c:v>
                </c:pt>
                <c:pt idx="56">
                  <c:v>0.74018517361111114</c:v>
                </c:pt>
                <c:pt idx="57">
                  <c:v>0.74019674768518529</c:v>
                </c:pt>
                <c:pt idx="58">
                  <c:v>0.74020832175925921</c:v>
                </c:pt>
                <c:pt idx="59">
                  <c:v>0.74021993055555557</c:v>
                </c:pt>
                <c:pt idx="60">
                  <c:v>0.7402314699074074</c:v>
                </c:pt>
                <c:pt idx="61">
                  <c:v>0.74024306712962973</c:v>
                </c:pt>
                <c:pt idx="62">
                  <c:v>0.74025462962962962</c:v>
                </c:pt>
                <c:pt idx="63">
                  <c:v>0.74026621527777781</c:v>
                </c:pt>
                <c:pt idx="64">
                  <c:v>0.7402777777777777</c:v>
                </c:pt>
                <c:pt idx="65">
                  <c:v>0.74028935185185185</c:v>
                </c:pt>
                <c:pt idx="66">
                  <c:v>0.74030097222222224</c:v>
                </c:pt>
                <c:pt idx="67">
                  <c:v>0.74031251157407407</c:v>
                </c:pt>
                <c:pt idx="68">
                  <c:v>0.74032408564814822</c:v>
                </c:pt>
                <c:pt idx="69">
                  <c:v>0.74033564814814812</c:v>
                </c:pt>
                <c:pt idx="70">
                  <c:v>0.7403472337962963</c:v>
                </c:pt>
                <c:pt idx="71">
                  <c:v>0.74035880787037034</c:v>
                </c:pt>
                <c:pt idx="72">
                  <c:v>0.74037035879629631</c:v>
                </c:pt>
                <c:pt idx="73">
                  <c:v>0.74038193287037035</c:v>
                </c:pt>
                <c:pt idx="74">
                  <c:v>0.74039350694444439</c:v>
                </c:pt>
                <c:pt idx="75">
                  <c:v>0.74040508101851854</c:v>
                </c:pt>
                <c:pt idx="76">
                  <c:v>0.74041665509259269</c:v>
                </c:pt>
                <c:pt idx="77">
                  <c:v>0.74042826388888894</c:v>
                </c:pt>
                <c:pt idx="78">
                  <c:v>0.74043981481481491</c:v>
                </c:pt>
                <c:pt idx="79">
                  <c:v>0.74045138888888884</c:v>
                </c:pt>
                <c:pt idx="80">
                  <c:v>0.74046295138888896</c:v>
                </c:pt>
                <c:pt idx="81">
                  <c:v>0.74047452546296288</c:v>
                </c:pt>
                <c:pt idx="82">
                  <c:v>0.74048611111111118</c:v>
                </c:pt>
                <c:pt idx="83">
                  <c:v>0.74049767361111118</c:v>
                </c:pt>
                <c:pt idx="84">
                  <c:v>0.74050925925925926</c:v>
                </c:pt>
                <c:pt idx="85">
                  <c:v>0.7405208680555555</c:v>
                </c:pt>
              </c:numCache>
            </c:numRef>
          </c:xVal>
          <c:yVal>
            <c:numRef>
              <c:f>'Compute Ephemeris'!$D$6:$D$91</c:f>
              <c:numCache>
                <c:formatCode>#,##0.00</c:formatCode>
                <c:ptCount val="86"/>
                <c:pt idx="0">
                  <c:v>85.131989711944698</c:v>
                </c:pt>
                <c:pt idx="1">
                  <c:v>85.135869452755287</c:v>
                </c:pt>
                <c:pt idx="2">
                  <c:v>85.141068091922534</c:v>
                </c:pt>
                <c:pt idx="3">
                  <c:v>85.146152396613616</c:v>
                </c:pt>
                <c:pt idx="4">
                  <c:v>85.151087765895682</c:v>
                </c:pt>
                <c:pt idx="5">
                  <c:v>85.155835669121188</c:v>
                </c:pt>
                <c:pt idx="6">
                  <c:v>85.160343676497178</c:v>
                </c:pt>
                <c:pt idx="7">
                  <c:v>85.164587719649717</c:v>
                </c:pt>
                <c:pt idx="8">
                  <c:v>85.168517733787667</c:v>
                </c:pt>
                <c:pt idx="9">
                  <c:v>85.172076487504455</c:v>
                </c:pt>
                <c:pt idx="10">
                  <c:v>85.175225640362441</c:v>
                </c:pt>
                <c:pt idx="11">
                  <c:v>85.177939822688131</c:v>
                </c:pt>
                <c:pt idx="12">
                  <c:v>85.180173471835587</c:v>
                </c:pt>
                <c:pt idx="13">
                  <c:v>85.181878352769672</c:v>
                </c:pt>
                <c:pt idx="14">
                  <c:v>85.183013662243866</c:v>
                </c:pt>
                <c:pt idx="15">
                  <c:v>85.183545676012727</c:v>
                </c:pt>
                <c:pt idx="16">
                  <c:v>85.183434872338694</c:v>
                </c:pt>
                <c:pt idx="17">
                  <c:v>85.182632700608337</c:v>
                </c:pt>
                <c:pt idx="18">
                  <c:v>85.181124379086214</c:v>
                </c:pt>
                <c:pt idx="19">
                  <c:v>85.178848725914577</c:v>
                </c:pt>
                <c:pt idx="20">
                  <c:v>85.175778975849425</c:v>
                </c:pt>
                <c:pt idx="21">
                  <c:v>85.171880770017196</c:v>
                </c:pt>
                <c:pt idx="22">
                  <c:v>85.167091116754818</c:v>
                </c:pt>
                <c:pt idx="23">
                  <c:v>85.161401501763066</c:v>
                </c:pt>
                <c:pt idx="24">
                  <c:v>85.154788571100653</c:v>
                </c:pt>
                <c:pt idx="25">
                  <c:v>85.147153914160299</c:v>
                </c:pt>
                <c:pt idx="26">
                  <c:v>85.138538919558414</c:v>
                </c:pt>
                <c:pt idx="27">
                  <c:v>85.128870927055686</c:v>
                </c:pt>
                <c:pt idx="28">
                  <c:v>85.118065964419657</c:v>
                </c:pt>
                <c:pt idx="29">
                  <c:v>85.106188374306839</c:v>
                </c:pt>
                <c:pt idx="30">
                  <c:v>85.093168780636006</c:v>
                </c:pt>
                <c:pt idx="31">
                  <c:v>85.078915507119746</c:v>
                </c:pt>
                <c:pt idx="32">
                  <c:v>85.063445632050389</c:v>
                </c:pt>
                <c:pt idx="33">
                  <c:v>85.046689602309016</c:v>
                </c:pt>
                <c:pt idx="34">
                  <c:v>85.028723339379212</c:v>
                </c:pt>
                <c:pt idx="35">
                  <c:v>85.009345236935587</c:v>
                </c:pt>
                <c:pt idx="36">
                  <c:v>84.988606583000546</c:v>
                </c:pt>
                <c:pt idx="37">
                  <c:v>84.966572243084556</c:v>
                </c:pt>
                <c:pt idx="38">
                  <c:v>84.943070546602939</c:v>
                </c:pt>
                <c:pt idx="39">
                  <c:v>84.918081645053462</c:v>
                </c:pt>
                <c:pt idx="40">
                  <c:v>84.891552430301999</c:v>
                </c:pt>
                <c:pt idx="41">
                  <c:v>84.863566707876998</c:v>
                </c:pt>
                <c:pt idx="42">
                  <c:v>84.834111145079987</c:v>
                </c:pt>
                <c:pt idx="43">
                  <c:v>84.802862902604829</c:v>
                </c:pt>
                <c:pt idx="44">
                  <c:v>84.770172135335997</c:v>
                </c:pt>
                <c:pt idx="45">
                  <c:v>84.735782367363754</c:v>
                </c:pt>
                <c:pt idx="46">
                  <c:v>84.699761761595255</c:v>
                </c:pt>
                <c:pt idx="47">
                  <c:v>84.661985405914493</c:v>
                </c:pt>
                <c:pt idx="48">
                  <c:v>84.622437995394648</c:v>
                </c:pt>
                <c:pt idx="49">
                  <c:v>84.581146547940079</c:v>
                </c:pt>
                <c:pt idx="50">
                  <c:v>84.538004334121979</c:v>
                </c:pt>
                <c:pt idx="51">
                  <c:v>84.493103468888876</c:v>
                </c:pt>
                <c:pt idx="52">
                  <c:v>84.446394422635422</c:v>
                </c:pt>
                <c:pt idx="53">
                  <c:v>84.397673562696582</c:v>
                </c:pt>
                <c:pt idx="54">
                  <c:v>84.347170876446398</c:v>
                </c:pt>
                <c:pt idx="55">
                  <c:v>84.294549155552886</c:v>
                </c:pt>
                <c:pt idx="56">
                  <c:v>84.240078915987397</c:v>
                </c:pt>
                <c:pt idx="57">
                  <c:v>84.183602561162843</c:v>
                </c:pt>
                <c:pt idx="58">
                  <c:v>84.125018253809685</c:v>
                </c:pt>
                <c:pt idx="59">
                  <c:v>84.064189925581559</c:v>
                </c:pt>
                <c:pt idx="60">
                  <c:v>84.001654767286709</c:v>
                </c:pt>
                <c:pt idx="61">
                  <c:v>83.936701319287749</c:v>
                </c:pt>
                <c:pt idx="62">
                  <c:v>83.869718829471822</c:v>
                </c:pt>
                <c:pt idx="63">
                  <c:v>83.800493533371991</c:v>
                </c:pt>
                <c:pt idx="64">
                  <c:v>83.729159052249997</c:v>
                </c:pt>
                <c:pt idx="65">
                  <c:v>83.655520381442329</c:v>
                </c:pt>
                <c:pt idx="66">
                  <c:v>83.579280499069682</c:v>
                </c:pt>
                <c:pt idx="67">
                  <c:v>83.501354853819976</c:v>
                </c:pt>
                <c:pt idx="68">
                  <c:v>83.420808031631168</c:v>
                </c:pt>
                <c:pt idx="69">
                  <c:v>83.338033536640978</c:v>
                </c:pt>
                <c:pt idx="70">
                  <c:v>83.252724791157561</c:v>
                </c:pt>
                <c:pt idx="71">
                  <c:v>83.165054912684354</c:v>
                </c:pt>
                <c:pt idx="72">
                  <c:v>83.075182158712778</c:v>
                </c:pt>
                <c:pt idx="73">
                  <c:v>82.982583994677952</c:v>
                </c:pt>
                <c:pt idx="74">
                  <c:v>82.887535439655039</c:v>
                </c:pt>
                <c:pt idx="75">
                  <c:v>82.790011546209826</c:v>
                </c:pt>
                <c:pt idx="76">
                  <c:v>82.689992200344932</c:v>
                </c:pt>
                <c:pt idx="77">
                  <c:v>82.587065535275542</c:v>
                </c:pt>
                <c:pt idx="78">
                  <c:v>82.482038325439134</c:v>
                </c:pt>
                <c:pt idx="79">
                  <c:v>82.374099565446159</c:v>
                </c:pt>
                <c:pt idx="80">
                  <c:v>82.263760903177172</c:v>
                </c:pt>
                <c:pt idx="81">
                  <c:v>82.150612583124712</c:v>
                </c:pt>
                <c:pt idx="82">
                  <c:v>82.034615142939401</c:v>
                </c:pt>
                <c:pt idx="83">
                  <c:v>81.916155059772791</c:v>
                </c:pt>
                <c:pt idx="84">
                  <c:v>81.794655474926003</c:v>
                </c:pt>
                <c:pt idx="85">
                  <c:v>81.670237150454341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29F-B624-3E1984AEB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64928"/>
        <c:axId val="490358656"/>
      </c:scatterChart>
      <c:valAx>
        <c:axId val="4902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 baseline="0"/>
                  <a:t>Time, UTC</a:t>
                </a:r>
              </a:p>
            </c:rich>
          </c:tx>
          <c:overlay val="0"/>
        </c:title>
        <c:numFmt formatCode="hh:mm" sourceLinked="0"/>
        <c:majorTickMark val="out"/>
        <c:minorTickMark val="none"/>
        <c:tickLblPos val="nextTo"/>
        <c:crossAx val="490356736"/>
        <c:crosses val="autoZero"/>
        <c:crossBetween val="midCat"/>
        <c:majorUnit val="2.0833330000000006E-3"/>
      </c:valAx>
      <c:valAx>
        <c:axId val="490356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400"/>
                  <a:t>Relative Velocity,</a:t>
                </a:r>
                <a:r>
                  <a:rPr lang="en-CA" sz="1400" baseline="0"/>
                  <a:t> km/s</a:t>
                </a:r>
                <a:endParaRPr lang="en-CA" sz="1400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90272256"/>
        <c:crosses val="autoZero"/>
        <c:crossBetween val="midCat"/>
      </c:valAx>
      <c:valAx>
        <c:axId val="4903586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400" baseline="0"/>
                  <a:t>Altitude, km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90364928"/>
        <c:crosses val="max"/>
        <c:crossBetween val="midCat"/>
      </c:valAx>
      <c:valAx>
        <c:axId val="490364928"/>
        <c:scaling>
          <c:orientation val="minMax"/>
        </c:scaling>
        <c:delete val="1"/>
        <c:axPos val="b"/>
        <c:numFmt formatCode="hh:mm:ss.0" sourceLinked="1"/>
        <c:majorTickMark val="out"/>
        <c:minorTickMark val="none"/>
        <c:tickLblPos val="nextTo"/>
        <c:crossAx val="490358656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l"/>
      <c:layout>
        <c:manualLayout>
          <c:xMode val="edge"/>
          <c:yMode val="edge"/>
          <c:x val="0.83542709435825313"/>
          <c:y val="0.13907170541217173"/>
          <c:w val="7.2703738210224106E-2"/>
          <c:h val="7.3083364865006786E-2"/>
        </c:manualLayout>
      </c:layout>
      <c:overlay val="1"/>
    </c:legend>
    <c:plotVisOnly val="1"/>
    <c:dispBlanksAs val="gap"/>
    <c:showDLblsOverMax val="0"/>
  </c:chart>
  <c:spPr>
    <a:solidFill>
      <a:srgbClr val="FFFFFF"/>
    </a:solidFill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5"/>
  <sheetViews>
    <sheetView zoomScale="10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Chart6"/>
  <sheetViews>
    <sheetView zoomScale="105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Chart7"/>
  <sheetViews>
    <sheetView zoomScale="10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Chart8"/>
  <sheetViews>
    <sheetView zoomScale="105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Chart9"/>
  <sheetViews>
    <sheetView zoomScale="105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Chart10"/>
  <sheetViews>
    <sheetView zoomScale="105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Chart11"/>
  <sheetViews>
    <sheetView zoomScale="10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400-000000000000}">
  <sheetPr codeName="Chart12"/>
  <sheetViews>
    <sheetView zoomScale="105" workbookViewId="0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500-000000000000}">
  <sheetPr codeName="Chart13"/>
  <sheetViews>
    <sheetView zoomScale="10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600-000000000000}">
  <sheetPr codeName="Chart14"/>
  <sheetViews>
    <sheetView zoomScale="10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Chart15"/>
  <sheetViews>
    <sheetView zoomScale="10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0.12395</cdr:x>
      <cdr:y>0.21016</cdr:y>
    </cdr:from>
    <cdr:to>
      <cdr:x>0.18342</cdr:x>
      <cdr:y>0.2448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074058" y="1320800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92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20:49</a:t>
          </a:r>
        </a:p>
      </cdr:txBody>
    </cdr:sp>
  </cdr:relSizeAnchor>
  <cdr:relSizeAnchor xmlns:cdr="http://schemas.openxmlformats.org/drawingml/2006/chartDrawing">
    <cdr:from>
      <cdr:x>0.25879</cdr:x>
      <cdr:y>0.21016</cdr:y>
    </cdr:from>
    <cdr:to>
      <cdr:x>0.32915</cdr:x>
      <cdr:y>0.28406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2242458" y="1320799"/>
          <a:ext cx="609600" cy="464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8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20:50</a:t>
          </a:r>
        </a:p>
      </cdr:txBody>
    </cdr:sp>
  </cdr:relSizeAnchor>
  <cdr:relSizeAnchor xmlns:cdr="http://schemas.openxmlformats.org/drawingml/2006/chartDrawing">
    <cdr:from>
      <cdr:x>0.366</cdr:x>
      <cdr:y>0.25289</cdr:y>
    </cdr:from>
    <cdr:to>
      <cdr:x>0.42797</cdr:x>
      <cdr:y>0.30139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171371" y="1589315"/>
          <a:ext cx="537029" cy="304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68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20:51</a:t>
          </a:r>
        </a:p>
      </cdr:txBody>
    </cdr:sp>
  </cdr:relSizeAnchor>
  <cdr:relSizeAnchor xmlns:cdr="http://schemas.openxmlformats.org/drawingml/2006/chartDrawing">
    <cdr:from>
      <cdr:x>0.47571</cdr:x>
      <cdr:y>0.29215</cdr:y>
    </cdr:from>
    <cdr:to>
      <cdr:x>0.53518</cdr:x>
      <cdr:y>0.32679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4122057" y="1836058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5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20:52</a:t>
          </a:r>
        </a:p>
      </cdr:txBody>
    </cdr:sp>
  </cdr:relSizeAnchor>
  <cdr:relSizeAnchor xmlns:cdr="http://schemas.openxmlformats.org/drawingml/2006/chartDrawing">
    <cdr:from>
      <cdr:x>0.58124</cdr:x>
      <cdr:y>0.33487</cdr:y>
    </cdr:from>
    <cdr:to>
      <cdr:x>0.6407</cdr:x>
      <cdr:y>0.36952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5036456" y="2104572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2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20:53</a:t>
          </a:r>
        </a:p>
      </cdr:txBody>
    </cdr:sp>
  </cdr:relSizeAnchor>
  <cdr:relSizeAnchor xmlns:cdr="http://schemas.openxmlformats.org/drawingml/2006/chartDrawing">
    <cdr:from>
      <cdr:x>0.68928</cdr:x>
      <cdr:y>0.403</cdr:y>
    </cdr:from>
    <cdr:to>
      <cdr:x>0.74874</cdr:x>
      <cdr:y>0.43764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5972628" y="2532743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36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20:54</a:t>
          </a:r>
        </a:p>
      </cdr:txBody>
    </cdr:sp>
  </cdr:relSizeAnchor>
  <cdr:relSizeAnchor xmlns:cdr="http://schemas.openxmlformats.org/drawingml/2006/chartDrawing">
    <cdr:from>
      <cdr:x>0.77722</cdr:x>
      <cdr:y>0.51155</cdr:y>
    </cdr:from>
    <cdr:to>
      <cdr:x>0.83668</cdr:x>
      <cdr:y>0.54619</cdr:y>
    </cdr:to>
    <cdr:sp macro="" textlink="">
      <cdr:nvSpPr>
        <cdr:cNvPr id="11" name="TextBox 1"/>
        <cdr:cNvSpPr txBox="1"/>
      </cdr:nvSpPr>
      <cdr:spPr>
        <a:xfrm xmlns:a="http://schemas.openxmlformats.org/drawingml/2006/main">
          <a:off x="6734628" y="3214915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270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20:55</a:t>
          </a:r>
        </a:p>
      </cdr:txBody>
    </cdr:sp>
  </cdr:relSizeAnchor>
  <cdr:relSizeAnchor xmlns:cdr="http://schemas.openxmlformats.org/drawingml/2006/chartDrawing">
    <cdr:from>
      <cdr:x>0.81575</cdr:x>
      <cdr:y>0.66513</cdr:y>
    </cdr:from>
    <cdr:to>
      <cdr:x>0.87521</cdr:x>
      <cdr:y>0.69977</cdr:y>
    </cdr:to>
    <cdr:sp macro="" textlink="">
      <cdr:nvSpPr>
        <cdr:cNvPr id="13" name="TextBox 1"/>
        <cdr:cNvSpPr txBox="1"/>
      </cdr:nvSpPr>
      <cdr:spPr>
        <a:xfrm xmlns:a="http://schemas.openxmlformats.org/drawingml/2006/main">
          <a:off x="7068457" y="4180114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2000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20:56</a:t>
          </a:r>
        </a:p>
      </cdr:txBody>
    </cdr:sp>
  </cdr:relSizeAnchor>
  <cdr:relSizeAnchor xmlns:cdr="http://schemas.openxmlformats.org/drawingml/2006/chartDrawing">
    <cdr:from>
      <cdr:x>0.81993</cdr:x>
      <cdr:y>0.7552</cdr:y>
    </cdr:from>
    <cdr:to>
      <cdr:x>0.8794</cdr:x>
      <cdr:y>0.78984</cdr:y>
    </cdr:to>
    <cdr:sp macro="" textlink="">
      <cdr:nvSpPr>
        <cdr:cNvPr id="15" name="TextBox 1"/>
        <cdr:cNvSpPr txBox="1"/>
      </cdr:nvSpPr>
      <cdr:spPr>
        <a:xfrm xmlns:a="http://schemas.openxmlformats.org/drawingml/2006/main">
          <a:off x="7104744" y="4746172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20:57</a:t>
          </a:r>
        </a:p>
      </cdr:txBody>
    </cdr:sp>
  </cdr:relSizeAnchor>
  <cdr:relSizeAnchor xmlns:cdr="http://schemas.openxmlformats.org/drawingml/2006/chartDrawing">
    <cdr:from>
      <cdr:x>0.82077</cdr:x>
      <cdr:y>0.87529</cdr:y>
    </cdr:from>
    <cdr:to>
      <cdr:x>0.88023</cdr:x>
      <cdr:y>0.90993</cdr:y>
    </cdr:to>
    <cdr:sp macro="" textlink="">
      <cdr:nvSpPr>
        <cdr:cNvPr id="17" name="TextBox 1"/>
        <cdr:cNvSpPr txBox="1"/>
      </cdr:nvSpPr>
      <cdr:spPr>
        <a:xfrm xmlns:a="http://schemas.openxmlformats.org/drawingml/2006/main">
          <a:off x="7112000" y="5500915"/>
          <a:ext cx="515258" cy="2177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0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100"/>
            <a:t>21:03</a:t>
          </a:r>
        </a:p>
      </cdr:txBody>
    </cdr:sp>
  </cdr:relSizeAnchor>
  <cdr:relSizeAnchor xmlns:cdr="http://schemas.openxmlformats.org/drawingml/2006/chartDrawing">
    <cdr:from>
      <cdr:x>0.8124</cdr:x>
      <cdr:y>0.13626</cdr:y>
    </cdr:from>
    <cdr:to>
      <cdr:x>0.96482</cdr:x>
      <cdr:y>0.1709</cdr:y>
    </cdr:to>
    <cdr:sp macro="" textlink="">
      <cdr:nvSpPr>
        <cdr:cNvPr id="18" name="TextBox 17"/>
        <cdr:cNvSpPr txBox="1"/>
      </cdr:nvSpPr>
      <cdr:spPr>
        <a:xfrm xmlns:a="http://schemas.openxmlformats.org/drawingml/2006/main">
          <a:off x="7039429" y="856343"/>
          <a:ext cx="1320800" cy="2177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Time</a:t>
          </a:r>
          <a:r>
            <a:rPr lang="en-CA" sz="1100" baseline="0"/>
            <a:t> is CET (UTC+1)</a:t>
          </a:r>
          <a:endParaRPr lang="en-CA" sz="1100"/>
        </a:p>
      </cdr:txBody>
    </cdr:sp>
  </cdr:relSizeAnchor>
  <cdr:relSizeAnchor xmlns:cdr="http://schemas.openxmlformats.org/drawingml/2006/chartDrawing">
    <cdr:from>
      <cdr:x>0.13316</cdr:x>
      <cdr:y>0.30254</cdr:y>
    </cdr:from>
    <cdr:to>
      <cdr:x>0.29564</cdr:x>
      <cdr:y>0.34296</cdr:y>
    </cdr:to>
    <cdr:sp macro="" textlink="">
      <cdr:nvSpPr>
        <cdr:cNvPr id="19" name="TextBox 18"/>
        <cdr:cNvSpPr txBox="1"/>
      </cdr:nvSpPr>
      <cdr:spPr>
        <a:xfrm xmlns:a="http://schemas.openxmlformats.org/drawingml/2006/main">
          <a:off x="1153878" y="1901369"/>
          <a:ext cx="1407894" cy="25402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860000" vertOverflow="clip" wrap="square" rtlCol="0"/>
        <a:lstStyle xmlns:a="http://schemas.openxmlformats.org/drawingml/2006/main"/>
        <a:p xmlns:a="http://schemas.openxmlformats.org/drawingml/2006/main">
          <a:r>
            <a:rPr lang="en-CA" sz="1100" baseline="0"/>
            <a:t>Self-luminous</a:t>
          </a:r>
          <a:endParaRPr lang="en-CA" sz="1100"/>
        </a:p>
      </cdr:txBody>
    </cdr:sp>
  </cdr:relSizeAnchor>
  <cdr:relSizeAnchor xmlns:cdr="http://schemas.openxmlformats.org/drawingml/2006/chartDrawing">
    <cdr:from>
      <cdr:x>0.53853</cdr:x>
      <cdr:y>0.44804</cdr:y>
    </cdr:from>
    <cdr:to>
      <cdr:x>0.66332</cdr:x>
      <cdr:y>0.5</cdr:y>
    </cdr:to>
    <cdr:sp macro="" textlink="">
      <cdr:nvSpPr>
        <cdr:cNvPr id="20" name="TextBox 19"/>
        <cdr:cNvSpPr txBox="1"/>
      </cdr:nvSpPr>
      <cdr:spPr>
        <a:xfrm xmlns:a="http://schemas.openxmlformats.org/drawingml/2006/main">
          <a:off x="4666343" y="2815772"/>
          <a:ext cx="1081314" cy="3265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4200000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Main break-up</a:t>
          </a:r>
        </a:p>
      </cdr:txBody>
    </cdr:sp>
  </cdr:relSizeAnchor>
  <cdr:relSizeAnchor xmlns:cdr="http://schemas.openxmlformats.org/drawingml/2006/chartDrawing">
    <cdr:from>
      <cdr:x>0.71524</cdr:x>
      <cdr:y>0.70208</cdr:y>
    </cdr:from>
    <cdr:to>
      <cdr:x>0.8258</cdr:x>
      <cdr:y>0.73788</cdr:y>
    </cdr:to>
    <cdr:sp macro="" textlink="">
      <cdr:nvSpPr>
        <cdr:cNvPr id="21" name="TextBox 20"/>
        <cdr:cNvSpPr txBox="1"/>
      </cdr:nvSpPr>
      <cdr:spPr>
        <a:xfrm xmlns:a="http://schemas.openxmlformats.org/drawingml/2006/main">
          <a:off x="6197600" y="4412343"/>
          <a:ext cx="957943" cy="2249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Extinguished</a:t>
          </a:r>
        </a:p>
      </cdr:txBody>
    </cdr:sp>
  </cdr:relSizeAnchor>
  <cdr:relSizeAnchor xmlns:cdr="http://schemas.openxmlformats.org/drawingml/2006/chartDrawing">
    <cdr:from>
      <cdr:x>0.50838</cdr:x>
      <cdr:y>0.87298</cdr:y>
    </cdr:from>
    <cdr:to>
      <cdr:x>0.81658</cdr:x>
      <cdr:y>0.90647</cdr:y>
    </cdr:to>
    <cdr:sp macro="" textlink="">
      <cdr:nvSpPr>
        <cdr:cNvPr id="22" name="TextBox 21"/>
        <cdr:cNvSpPr txBox="1"/>
      </cdr:nvSpPr>
      <cdr:spPr>
        <a:xfrm xmlns:a="http://schemas.openxmlformats.org/drawingml/2006/main">
          <a:off x="4405086" y="5486405"/>
          <a:ext cx="2670603" cy="2104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Theoretical impact at debris footprint</a:t>
          </a:r>
          <a:r>
            <a:rPr lang="en-CA" sz="1100" baseline="0"/>
            <a:t> "toe"</a:t>
          </a:r>
          <a:endParaRPr lang="en-CA" sz="1100"/>
        </a:p>
      </cdr:txBody>
    </cdr:sp>
  </cdr:relSizeAnchor>
  <cdr:relSizeAnchor xmlns:cdr="http://schemas.openxmlformats.org/drawingml/2006/chartDrawing">
    <cdr:from>
      <cdr:x>0.66499</cdr:x>
      <cdr:y>0.58314</cdr:y>
    </cdr:from>
    <cdr:to>
      <cdr:x>0.82915</cdr:x>
      <cdr:y>0.61432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2171" y="3664857"/>
          <a:ext cx="1422400" cy="195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2700000" vertOverflow="clip" wrap="square" rtlCol="0"/>
        <a:lstStyle xmlns:a="http://schemas.openxmlformats.org/drawingml/2006/main"/>
        <a:p xmlns:a="http://schemas.openxmlformats.org/drawingml/2006/main">
          <a:r>
            <a:rPr lang="en-CA" sz="1100"/>
            <a:t>Seen from Spain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5029" cy="62846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BEDCBE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I1312"/>
  <sheetViews>
    <sheetView tabSelected="1" zoomScaleNormal="100" workbookViewId="0">
      <pane ySplit="5" topLeftCell="A6" activePane="bottomLeft" state="frozen"/>
      <selection activeCell="A4" sqref="A4"/>
      <selection pane="bottomLeft" activeCell="U1" sqref="U1"/>
    </sheetView>
  </sheetViews>
  <sheetFormatPr defaultColWidth="9.109375" defaultRowHeight="18" customHeight="1" x14ac:dyDescent="0.25"/>
  <cols>
    <col min="1" max="1" width="12.6640625" style="40" bestFit="1" customWidth="1"/>
    <col min="2" max="2" width="8.88671875" style="1" bestFit="1" customWidth="1"/>
    <col min="3" max="3" width="9.33203125" style="1" customWidth="1"/>
    <col min="4" max="4" width="8.5546875" style="1" bestFit="1" customWidth="1"/>
    <col min="5" max="5" width="10.109375" style="40" bestFit="1" customWidth="1"/>
    <col min="6" max="6" width="5.77734375" style="40" bestFit="1" customWidth="1"/>
    <col min="7" max="7" width="7.21875" style="1" customWidth="1"/>
    <col min="8" max="8" width="5.6640625" style="1" bestFit="1" customWidth="1"/>
    <col min="9" max="9" width="5.5546875" style="1" bestFit="1" customWidth="1"/>
    <col min="10" max="10" width="6.33203125" style="1" bestFit="1" customWidth="1"/>
    <col min="11" max="11" width="7.21875" style="1" bestFit="1" customWidth="1"/>
    <col min="12" max="12" width="11.88671875" style="1" bestFit="1" customWidth="1"/>
    <col min="13" max="13" width="12.77734375" style="1" bestFit="1" customWidth="1"/>
    <col min="14" max="14" width="14.88671875" style="1" customWidth="1"/>
    <col min="15" max="15" width="11.109375" style="1" bestFit="1" customWidth="1"/>
    <col min="16" max="16" width="6.88671875" style="1" customWidth="1"/>
    <col min="17" max="17" width="10.44140625" style="1" hidden="1" customWidth="1"/>
    <col min="18" max="18" width="8.88671875" style="1" bestFit="1" customWidth="1"/>
    <col min="19" max="19" width="5.5546875" style="1" customWidth="1"/>
    <col min="20" max="20" width="10.44140625" style="3" bestFit="1" customWidth="1"/>
    <col min="21" max="26" width="8.88671875" style="1" bestFit="1" customWidth="1"/>
    <col min="27" max="27" width="6" style="1" bestFit="1" customWidth="1"/>
    <col min="28" max="28" width="7.109375" style="1" bestFit="1" customWidth="1"/>
    <col min="29" max="29" width="6" style="1" bestFit="1" customWidth="1"/>
    <col min="30" max="30" width="10.44140625" style="1" bestFit="1" customWidth="1"/>
    <col min="31" max="31" width="7.77734375" style="1" bestFit="1" customWidth="1"/>
    <col min="32" max="32" width="8.88671875" style="1" bestFit="1" customWidth="1"/>
    <col min="33" max="33" width="7.6640625" style="1" bestFit="1" customWidth="1"/>
    <col min="34" max="34" width="28.33203125" style="1" bestFit="1" customWidth="1"/>
    <col min="35" max="35" width="8.21875" style="1" bestFit="1" customWidth="1"/>
    <col min="36" max="16384" width="9.109375" style="1"/>
  </cols>
  <sheetData>
    <row r="1" spans="1:35" ht="21" customHeight="1" x14ac:dyDescent="0.4">
      <c r="A1" s="64" t="str">
        <f>CONCATENATE("Re-entry of 2020-087A: ", TEXT(DATE($S$4, $S$3, $S$2),"yyyy mmm dd")," UTC")</f>
        <v>Re-entry of 2020-087A: 2020 Dec 16 UTC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71" t="s">
        <v>4</v>
      </c>
      <c r="O1" s="71"/>
      <c r="P1" s="71"/>
      <c r="Q1" s="37"/>
      <c r="R1" s="61" t="s">
        <v>32</v>
      </c>
      <c r="S1" s="61"/>
      <c r="T1" s="57" t="s">
        <v>54</v>
      </c>
      <c r="U1" s="56">
        <v>3</v>
      </c>
    </row>
    <row r="2" spans="1:35" ht="16.5" customHeight="1" thickBot="1" x14ac:dyDescent="0.3">
      <c r="A2" s="65" t="s">
        <v>55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5" t="s">
        <v>5</v>
      </c>
      <c r="O2" s="55">
        <f>VLOOKUP($U$1,Sites!$A:$C,3,0)</f>
        <v>39.346288899999998</v>
      </c>
      <c r="P2" s="4" t="s">
        <v>0</v>
      </c>
      <c r="Q2" s="31">
        <f>DEGREES(xpsiobs($O$2))</f>
        <v>39.157724946390928</v>
      </c>
      <c r="R2" s="2" t="s">
        <v>11</v>
      </c>
      <c r="S2" s="20">
        <v>16</v>
      </c>
      <c r="T2" s="53"/>
    </row>
    <row r="3" spans="1:35" ht="18" customHeight="1" x14ac:dyDescent="0.25">
      <c r="A3" s="8"/>
      <c r="B3" s="67" t="s">
        <v>8</v>
      </c>
      <c r="C3" s="68"/>
      <c r="D3" s="69"/>
      <c r="E3" s="22" t="s">
        <v>16</v>
      </c>
      <c r="F3" s="38"/>
      <c r="G3" s="67" t="str">
        <f>CONCATENATE("Sky Track at ",VLOOKUP($U$1,Sites!$A:$B,2,0))</f>
        <v>Sky Track at Xitancun 2</v>
      </c>
      <c r="H3" s="68"/>
      <c r="I3" s="68"/>
      <c r="J3" s="68"/>
      <c r="K3" s="68"/>
      <c r="L3" s="68"/>
      <c r="M3" s="70"/>
      <c r="N3" s="5" t="s">
        <v>6</v>
      </c>
      <c r="O3" s="55">
        <f>VLOOKUP($U$1,Sites!$A:$D,4,0)</f>
        <v>99.569719399999997</v>
      </c>
      <c r="P3" s="6" t="s">
        <v>33</v>
      </c>
      <c r="Q3" s="31">
        <f>xrobs($O$2)</f>
        <v>6369.5872606281282</v>
      </c>
      <c r="R3" s="2" t="s">
        <v>12</v>
      </c>
      <c r="S3" s="20">
        <v>12</v>
      </c>
      <c r="T3" s="53"/>
      <c r="U3" s="61" t="s">
        <v>39</v>
      </c>
      <c r="V3" s="61"/>
      <c r="W3" s="61"/>
      <c r="X3" s="61"/>
      <c r="Y3" s="61"/>
      <c r="Z3" s="61"/>
    </row>
    <row r="4" spans="1:35" s="2" customFormat="1" ht="18" customHeight="1" x14ac:dyDescent="0.25">
      <c r="A4" s="9" t="s">
        <v>3</v>
      </c>
      <c r="B4" s="7" t="s">
        <v>27</v>
      </c>
      <c r="C4" s="7" t="s">
        <v>28</v>
      </c>
      <c r="D4" s="14" t="s">
        <v>29</v>
      </c>
      <c r="E4" s="14" t="s">
        <v>17</v>
      </c>
      <c r="F4" s="14"/>
      <c r="G4" s="7" t="s">
        <v>21</v>
      </c>
      <c r="H4" s="62" t="s">
        <v>45</v>
      </c>
      <c r="I4" s="63"/>
      <c r="J4" s="7" t="s">
        <v>30</v>
      </c>
      <c r="K4" s="7" t="s">
        <v>20</v>
      </c>
      <c r="L4" s="7" t="s">
        <v>14</v>
      </c>
      <c r="M4" s="10" t="s">
        <v>15</v>
      </c>
      <c r="N4" s="2" t="s">
        <v>40</v>
      </c>
      <c r="O4" s="30">
        <f>VLOOKUP($U$1,Sites!$A:$E,5,0)</f>
        <v>1416</v>
      </c>
      <c r="P4" s="16" t="s">
        <v>10</v>
      </c>
      <c r="Q4" s="31">
        <f>Q$3+$O$4/1000</f>
        <v>6371.0032606281284</v>
      </c>
      <c r="R4" s="2" t="s">
        <v>13</v>
      </c>
      <c r="S4" s="20">
        <v>2020</v>
      </c>
      <c r="T4" s="52" t="s">
        <v>52</v>
      </c>
      <c r="U4" s="39" t="s">
        <v>34</v>
      </c>
      <c r="V4" s="39" t="s">
        <v>35</v>
      </c>
      <c r="W4" s="39" t="s">
        <v>7</v>
      </c>
      <c r="X4" s="39" t="s">
        <v>36</v>
      </c>
      <c r="Y4" s="39" t="s">
        <v>37</v>
      </c>
      <c r="Z4" s="39" t="s">
        <v>38</v>
      </c>
      <c r="AA4" s="50" t="s">
        <v>49</v>
      </c>
      <c r="AB4" s="50" t="s">
        <v>46</v>
      </c>
      <c r="AC4" s="50" t="s">
        <v>50</v>
      </c>
    </row>
    <row r="5" spans="1:35" s="2" customFormat="1" ht="18" customHeight="1" thickBot="1" x14ac:dyDescent="0.3">
      <c r="A5" s="11" t="s">
        <v>9</v>
      </c>
      <c r="B5" s="12" t="s">
        <v>0</v>
      </c>
      <c r="C5" s="12" t="s">
        <v>33</v>
      </c>
      <c r="D5" s="15" t="s">
        <v>1</v>
      </c>
      <c r="E5" s="15" t="s">
        <v>18</v>
      </c>
      <c r="F5" s="15" t="s">
        <v>19</v>
      </c>
      <c r="G5" s="12" t="s">
        <v>2</v>
      </c>
      <c r="H5" s="12" t="s">
        <v>43</v>
      </c>
      <c r="I5" s="12" t="s">
        <v>44</v>
      </c>
      <c r="J5" s="12" t="s">
        <v>31</v>
      </c>
      <c r="K5" s="12" t="s">
        <v>1</v>
      </c>
      <c r="L5" s="17" t="s">
        <v>41</v>
      </c>
      <c r="M5" s="13" t="s">
        <v>2</v>
      </c>
      <c r="O5" s="41" t="s">
        <v>42</v>
      </c>
      <c r="R5" s="2" t="s">
        <v>51</v>
      </c>
      <c r="S5" s="54">
        <v>0</v>
      </c>
      <c r="T5" s="52" t="s">
        <v>9</v>
      </c>
      <c r="U5" s="49" t="s">
        <v>1</v>
      </c>
      <c r="V5" s="49" t="s">
        <v>1</v>
      </c>
      <c r="W5" s="49" t="s">
        <v>1</v>
      </c>
      <c r="X5" s="50" t="s">
        <v>47</v>
      </c>
      <c r="Y5" s="50" t="s">
        <v>47</v>
      </c>
      <c r="Z5" s="50" t="s">
        <v>47</v>
      </c>
      <c r="AA5" s="50" t="s">
        <v>47</v>
      </c>
      <c r="AB5" s="51" t="s">
        <v>48</v>
      </c>
      <c r="AC5" s="50" t="s">
        <v>47</v>
      </c>
    </row>
    <row r="6" spans="1:35" ht="18" customHeight="1" x14ac:dyDescent="0.25">
      <c r="A6" s="36">
        <f>$T6+$S$5/86400</f>
        <v>0.73954002314814815</v>
      </c>
      <c r="B6" s="42">
        <f t="shared" ref="B6:B69" si="0">latitude($U6,$V6,$W6)</f>
        <v>39.255102061120603</v>
      </c>
      <c r="C6" s="43">
        <f t="shared" ref="C6:C69" si="1">longitude($S$2,$S$3,$S$4,$A6,$U6,$V6)</f>
        <v>99.930169624231979</v>
      </c>
      <c r="D6" s="18">
        <f t="shared" ref="D6:D69" si="2">altitude($U6,$V6,$W6)</f>
        <v>85.131989711944698</v>
      </c>
      <c r="E6" s="21" t="str">
        <f t="shared" ref="E6:E69" si="3">illum2($S$2,$S$3,$S$4,$A6,$U6,$V6,$W6)</f>
        <v>Umbra</v>
      </c>
      <c r="F6" s="23">
        <f>IF($E6&lt;&gt;"Umbra",fracil2($S$2,$S$3,$S$4,$A6,$Q$2,$O$3,$Q$4,$U6,$V6,$W6),0)</f>
        <v>0</v>
      </c>
      <c r="G6" s="19">
        <f t="shared" ref="G6:G69" si="4">azimuth($S$2,$S$3,$S$4,$A6,$Q$2,$O$3,$Q$4,$U6,$V6,$W6)</f>
        <v>107.4603898759573</v>
      </c>
      <c r="H6" s="19">
        <f t="shared" ref="H6:H69" si="5">elev($S$2,$S$3,$S$4,$A6,$Q$2,$O$3,$Q$4,$U6,$V6,$W6)</f>
        <v>68.443652980614161</v>
      </c>
      <c r="I6" s="19">
        <f t="shared" ref="I6:I69" si="6">elev($S$2,$S$3,$S$4,$A6,$Q$2,$O$3,$Q$4,$U6,$V6,$W6)+DEGREES(ACOS($Q$3/$Q$4))</f>
        <v>69.651670930009061</v>
      </c>
      <c r="J6" s="28">
        <f t="shared" ref="J6:J69" si="7">vang($S$2,$S$3,$S$4,$A6,$Q$2,$O$3,$Q$4,$U6,$V6,$W6,$X6,$Y6,$Z6)</f>
        <v>4.6051780584627453</v>
      </c>
      <c r="K6" s="24">
        <f t="shared" ref="K6:K69" si="8">slant_rng($S$2,$S$3,$S$4,$A6,$Q$2,$O$3,$Q$4,$U6,$V6,$W6)</f>
        <v>89.950688533770659</v>
      </c>
      <c r="L6" s="32">
        <f t="shared" ref="L6:L69" si="9">radec2("ra",$S$2,$S$3,$S$4,$A6,$Q$2,$O$3,$Q$4,$U6,$V6,$W6)/24</f>
        <v>0.32001450684574068</v>
      </c>
      <c r="M6" s="35">
        <f t="shared" ref="M6:M69" si="10">radec2("dec",$S$2,$S$3,$S$4,$A6,$Q$2,$O$3,$Q$4,$U6,$V6,$W6)</f>
        <v>30.169704907235545</v>
      </c>
      <c r="O6" s="29">
        <f t="shared" ref="O6:O69" si="11">DEGREES(ACOS(SIN(RADIANS($B6))*SIN(RADIANS($O$2))+COS(RADIANS($B6))*COS(RADIANS($O$2))*COS(RADIANS($C6-$O$3))))*111.2</f>
        <v>32.632184334689214</v>
      </c>
      <c r="P6" s="44"/>
      <c r="T6" s="48">
        <v>0.73954002314814815</v>
      </c>
      <c r="U6" s="29">
        <v>-174.1867938783839</v>
      </c>
      <c r="V6" s="29">
        <v>5008.3465853154648</v>
      </c>
      <c r="W6" s="29">
        <v>4068.1548259280562</v>
      </c>
      <c r="X6" s="4">
        <v>-7.269608139336925</v>
      </c>
      <c r="Y6" s="4">
        <v>-2.0376834793982694</v>
      </c>
      <c r="Z6" s="4">
        <v>2.1911299942331879</v>
      </c>
      <c r="AA6" s="3">
        <f>SQRT($X6*$X6+$Y6*$Y6+$Z6*$Z6)</f>
        <v>7.8613234962921252</v>
      </c>
      <c r="AC6" s="3">
        <f>vrel($S$2,$S$3,$S$4,$A6,$B6,$C6,$U6,$V6,$W6,$X6,$Y6,$Z6)</f>
        <v>7.5223469640475606</v>
      </c>
      <c r="AD6" s="48"/>
      <c r="AE6" s="46">
        <f t="shared" ref="AE6:AE69" si="12">$B6</f>
        <v>39.255102061120603</v>
      </c>
      <c r="AF6" s="46">
        <f t="shared" ref="AF6:AF69" si="13">$C6-360</f>
        <v>-260.06983037576799</v>
      </c>
      <c r="AG6" s="47">
        <f t="shared" ref="AG6:AG69" si="14">$D6*1000</f>
        <v>85131.989711944698</v>
      </c>
      <c r="AH6" s="45" t="str">
        <f>CONCATENATE(TEXT($AF6,"00.00000"),",",TEXT($AE6,"00.00000"),",",TEXT($AG6,"00000"))</f>
        <v>-260.06983,39.25510,85132</v>
      </c>
    </row>
    <row r="7" spans="1:35" ht="18" customHeight="1" x14ac:dyDescent="0.25">
      <c r="A7" s="36">
        <f t="shared" ref="A7:A70" si="15">$T7+$S$5/86400</f>
        <v>0.739548599537037</v>
      </c>
      <c r="B7" s="42">
        <f t="shared" si="0"/>
        <v>39.273669926959606</v>
      </c>
      <c r="C7" s="43">
        <f t="shared" si="1"/>
        <v>99.989161647303391</v>
      </c>
      <c r="D7" s="18">
        <f t="shared" si="2"/>
        <v>85.135869452755287</v>
      </c>
      <c r="E7" s="21" t="str">
        <f t="shared" si="3"/>
        <v>Umbra</v>
      </c>
      <c r="F7" s="23">
        <f>IF($E7&lt;&gt;"Umbra",fracil2($S$2,$S$3,$S$4,$A7,$Q$2,$O$3,$Q$4,$U7,$V7,$W7),0)</f>
        <v>0</v>
      </c>
      <c r="G7" s="19">
        <f t="shared" si="4"/>
        <v>102.01395424867249</v>
      </c>
      <c r="H7" s="19">
        <f t="shared" si="5"/>
        <v>65.850108296966283</v>
      </c>
      <c r="I7" s="19">
        <f t="shared" si="6"/>
        <v>67.058126246361184</v>
      </c>
      <c r="J7" s="28">
        <f t="shared" si="7"/>
        <v>4.4287536354808665</v>
      </c>
      <c r="K7" s="24">
        <f t="shared" si="8"/>
        <v>91.653720567608744</v>
      </c>
      <c r="L7" s="32">
        <f t="shared" si="9"/>
        <v>0.33064672038489168</v>
      </c>
      <c r="M7" s="35">
        <f t="shared" si="10"/>
        <v>30.731243608482444</v>
      </c>
      <c r="O7" s="29">
        <f t="shared" si="11"/>
        <v>36.980688108963008</v>
      </c>
      <c r="P7" s="44"/>
      <c r="T7" s="48">
        <v>0.739548599537037</v>
      </c>
      <c r="U7" s="29">
        <v>-179.56665418944243</v>
      </c>
      <c r="V7" s="29">
        <v>5006.8366109198205</v>
      </c>
      <c r="W7" s="29">
        <v>4069.7746581040064</v>
      </c>
      <c r="X7" s="4">
        <v>-7.2566876273342533</v>
      </c>
      <c r="Y7" s="4">
        <v>-2.0394348248227896</v>
      </c>
      <c r="Z7" s="4">
        <v>2.1826210333471168</v>
      </c>
      <c r="AA7" s="3">
        <f t="shared" ref="AA7:AA70" si="16">SQRT($X7*$X7+$Y7*$Y7+$Z7*$Z7)</f>
        <v>7.8474610098180948</v>
      </c>
      <c r="AB7" s="3">
        <f>-($AC7-$AC6)/(($A7-$A6)*86400)*1000/9.806</f>
        <v>1.9086284114317094</v>
      </c>
      <c r="AC7" s="3">
        <f t="shared" ref="AC7:AC70" si="17">vrel($S$2,$S$3,$S$4,$A7,$B7,$C7,$U7,$V7,$W7,$X7,$Y7,$Z7)</f>
        <v>7.5084784004875749</v>
      </c>
      <c r="AD7" s="48"/>
      <c r="AE7" s="46">
        <f t="shared" si="12"/>
        <v>39.273669926959606</v>
      </c>
      <c r="AF7" s="46">
        <f t="shared" si="13"/>
        <v>-260.01083835269662</v>
      </c>
      <c r="AG7" s="47">
        <f t="shared" si="14"/>
        <v>85135.869452755287</v>
      </c>
      <c r="AH7" s="45" t="str">
        <f t="shared" ref="AH7:AH70" si="18">CONCATENATE(TEXT($AF7,"00.00000"),",",TEXT($AE7,"00.00000"),",",TEXT($AG7,"00000"))</f>
        <v>-260.01084,39.27367,85136</v>
      </c>
      <c r="AI7" s="44">
        <f>IFERROR(ACOS(SIN(RADIANS($B6))*SIN(RADIANS($B7))+COS(RADIANS($B6))*COS(RADIANS($B7))*COS(RADIANS($C6-$C7)))*6371,0)+AI6</f>
        <v>5.4823098613348087</v>
      </c>
    </row>
    <row r="8" spans="1:35" ht="18" customHeight="1" x14ac:dyDescent="0.25">
      <c r="A8" s="36">
        <f t="shared" si="15"/>
        <v>0.73956019675925921</v>
      </c>
      <c r="B8" s="42">
        <f t="shared" si="0"/>
        <v>39.298694690453637</v>
      </c>
      <c r="C8" s="43">
        <f t="shared" si="1"/>
        <v>100.06889081877398</v>
      </c>
      <c r="D8" s="18">
        <f t="shared" si="2"/>
        <v>85.141068091922534</v>
      </c>
      <c r="E8" s="21" t="str">
        <f t="shared" si="3"/>
        <v>Umbra</v>
      </c>
      <c r="F8" s="23">
        <f>IF($E8&lt;&gt;"Umbra",fracil2($S$2,$S$3,$S$4,$A8,$Q$2,$O$3,$Q$4,$U8,$V8,$W8),0)</f>
        <v>0</v>
      </c>
      <c r="G8" s="19">
        <f t="shared" si="4"/>
        <v>96.478181733435733</v>
      </c>
      <c r="H8" s="19">
        <f t="shared" si="5"/>
        <v>62.284750859178658</v>
      </c>
      <c r="I8" s="19">
        <f t="shared" si="6"/>
        <v>63.492768808573551</v>
      </c>
      <c r="J8" s="28">
        <f t="shared" si="7"/>
        <v>4.1646754259142194</v>
      </c>
      <c r="K8" s="24">
        <f t="shared" si="8"/>
        <v>94.420507676113075</v>
      </c>
      <c r="L8" s="32">
        <f t="shared" si="9"/>
        <v>0.34449949012806402</v>
      </c>
      <c r="M8" s="35">
        <f t="shared" si="10"/>
        <v>31.285350467912892</v>
      </c>
      <c r="O8" s="29">
        <f t="shared" si="11"/>
        <v>43.265276794807633</v>
      </c>
      <c r="P8" s="44"/>
      <c r="T8" s="48">
        <v>0.73956019675925921</v>
      </c>
      <c r="U8" s="29">
        <v>-186.83313519830315</v>
      </c>
      <c r="V8" s="29">
        <v>5004.790777405502</v>
      </c>
      <c r="W8" s="29">
        <v>4071.9570940952094</v>
      </c>
      <c r="X8" s="4">
        <v>-7.239280138908029</v>
      </c>
      <c r="Y8" s="4">
        <v>-2.0418140594346879</v>
      </c>
      <c r="Z8" s="4">
        <v>2.1711427808764987</v>
      </c>
      <c r="AA8" s="3">
        <f t="shared" si="16"/>
        <v>7.8287957284531027</v>
      </c>
      <c r="AB8" s="3">
        <f t="shared" ref="AB8:AB71" si="19">-($AC8-$AC7)/(($A8-$A7)*86400)*1000/9.806</f>
        <v>1.9004902717780954</v>
      </c>
      <c r="AC8" s="3">
        <f t="shared" si="17"/>
        <v>7.4898049204673205</v>
      </c>
      <c r="AD8" s="48"/>
      <c r="AE8" s="46">
        <f t="shared" si="12"/>
        <v>39.298694690453637</v>
      </c>
      <c r="AF8" s="46">
        <f t="shared" si="13"/>
        <v>-259.93110918122602</v>
      </c>
      <c r="AG8" s="47">
        <f t="shared" si="14"/>
        <v>85141.068091922527</v>
      </c>
      <c r="AH8" s="45" t="str">
        <f t="shared" si="18"/>
        <v>-259.93111,39.29869,85141</v>
      </c>
      <c r="AI8" s="44">
        <f t="shared" ref="AI8:AI71" si="20">IFERROR(ACOS(SIN(RADIANS($B7))*SIN(RADIANS($B8))+COS(RADIANS($B7))*COS(RADIANS($B8))*COS(RADIANS($C7-$C8)))*6371,0)+AI7</f>
        <v>12.886873194226837</v>
      </c>
    </row>
    <row r="9" spans="1:35" ht="18" customHeight="1" x14ac:dyDescent="0.25">
      <c r="A9" s="36">
        <f t="shared" si="15"/>
        <v>0.73957177083333336</v>
      </c>
      <c r="B9" s="42">
        <f t="shared" si="0"/>
        <v>39.323535251871697</v>
      </c>
      <c r="C9" s="43">
        <f t="shared" si="1"/>
        <v>100.14828162661834</v>
      </c>
      <c r="D9" s="18">
        <f t="shared" si="2"/>
        <v>85.146152396613616</v>
      </c>
      <c r="E9" s="21" t="str">
        <f t="shared" si="3"/>
        <v>Umbra</v>
      </c>
      <c r="F9" s="23">
        <f>IF($E9&lt;&gt;"Umbra",fracil2($S$2,$S$3,$S$4,$A9,$Q$2,$O$3,$Q$4,$U9,$V9,$W9),0)</f>
        <v>0</v>
      </c>
      <c r="G9" s="19">
        <f t="shared" si="4"/>
        <v>92.399680149170266</v>
      </c>
      <c r="H9" s="19">
        <f t="shared" si="5"/>
        <v>58.796025197696551</v>
      </c>
      <c r="I9" s="19">
        <f t="shared" si="6"/>
        <v>60.004043147091444</v>
      </c>
      <c r="J9" s="28">
        <f t="shared" si="7"/>
        <v>3.8853495921234651</v>
      </c>
      <c r="K9" s="24">
        <f t="shared" si="8"/>
        <v>97.663895019030747</v>
      </c>
      <c r="L9" s="32">
        <f t="shared" si="9"/>
        <v>0.3575635736877838</v>
      </c>
      <c r="M9" s="35">
        <f t="shared" si="10"/>
        <v>31.625961564724715</v>
      </c>
      <c r="O9" s="29">
        <f t="shared" si="11"/>
        <v>49.825236767164625</v>
      </c>
      <c r="P9" s="44"/>
      <c r="T9" s="48">
        <v>0.73957177083333336</v>
      </c>
      <c r="U9" s="29">
        <v>-194.06420364623662</v>
      </c>
      <c r="V9" s="29">
        <v>5002.7476504146352</v>
      </c>
      <c r="W9" s="29">
        <v>4074.1226598020744</v>
      </c>
      <c r="X9" s="4">
        <v>-7.2220072164803479</v>
      </c>
      <c r="Y9" s="4">
        <v>-2.0441972681016427</v>
      </c>
      <c r="Z9" s="4">
        <v>2.159736978700507</v>
      </c>
      <c r="AA9" s="3">
        <f t="shared" si="16"/>
        <v>7.8102877362472913</v>
      </c>
      <c r="AB9" s="3">
        <f t="shared" si="19"/>
        <v>1.8882457431321227</v>
      </c>
      <c r="AC9" s="3">
        <f t="shared" si="17"/>
        <v>7.4712887827100456</v>
      </c>
      <c r="AD9" s="48"/>
      <c r="AE9" s="46">
        <f t="shared" si="12"/>
        <v>39.323535251871697</v>
      </c>
      <c r="AF9" s="46">
        <f t="shared" si="13"/>
        <v>-259.85171837338169</v>
      </c>
      <c r="AG9" s="47">
        <f t="shared" si="14"/>
        <v>85146.152396613616</v>
      </c>
      <c r="AH9" s="45" t="str">
        <f t="shared" si="18"/>
        <v>-259.85172,39.32354,85146</v>
      </c>
      <c r="AI9" s="44">
        <f t="shared" si="20"/>
        <v>20.254501586010139</v>
      </c>
    </row>
    <row r="10" spans="1:35" ht="18" customHeight="1" x14ac:dyDescent="0.25">
      <c r="A10" s="36">
        <f t="shared" si="15"/>
        <v>0.73958334490740751</v>
      </c>
      <c r="B10" s="42">
        <f t="shared" si="0"/>
        <v>39.348238561726667</v>
      </c>
      <c r="C10" s="43">
        <f t="shared" si="1"/>
        <v>100.22748070786483</v>
      </c>
      <c r="D10" s="18">
        <f t="shared" si="2"/>
        <v>85.151087765895682</v>
      </c>
      <c r="E10" s="21" t="str">
        <f t="shared" si="3"/>
        <v>Umbra</v>
      </c>
      <c r="F10" s="23">
        <f>IF($E10&lt;&gt;"Umbra",fracil2($S$2,$S$3,$S$4,$A10,$Q$2,$O$3,$Q$4,$U10,$V10,$W10),0)</f>
        <v>0</v>
      </c>
      <c r="G10" s="19">
        <f t="shared" si="4"/>
        <v>89.294143753148475</v>
      </c>
      <c r="H10" s="19">
        <f t="shared" si="5"/>
        <v>55.45870277180088</v>
      </c>
      <c r="I10" s="19">
        <f t="shared" si="6"/>
        <v>56.666720721195773</v>
      </c>
      <c r="J10" s="28">
        <f t="shared" si="7"/>
        <v>3.6024328862846047</v>
      </c>
      <c r="K10" s="24">
        <f t="shared" si="8"/>
        <v>101.33712247773178</v>
      </c>
      <c r="L10" s="32">
        <f t="shared" si="9"/>
        <v>0.36976934977807563</v>
      </c>
      <c r="M10" s="35">
        <f t="shared" si="10"/>
        <v>31.78585308674478</v>
      </c>
      <c r="O10" s="29">
        <f t="shared" si="11"/>
        <v>56.563094439552899</v>
      </c>
      <c r="P10" s="44"/>
      <c r="T10" s="48">
        <v>0.73958334490740751</v>
      </c>
      <c r="U10" s="29">
        <v>-201.27332707194222</v>
      </c>
      <c r="V10" s="29">
        <v>5000.7034748791784</v>
      </c>
      <c r="W10" s="29">
        <v>4076.2754344492832</v>
      </c>
      <c r="X10" s="4">
        <v>-7.2048354860079842</v>
      </c>
      <c r="Y10" s="4">
        <v>-2.0465885827108963</v>
      </c>
      <c r="Z10" s="4">
        <v>2.1483819435047162</v>
      </c>
      <c r="AA10" s="3">
        <f t="shared" si="16"/>
        <v>7.7919011917823759</v>
      </c>
      <c r="AB10" s="3">
        <f t="shared" si="19"/>
        <v>1.8758565956320199</v>
      </c>
      <c r="AC10" s="3">
        <f t="shared" si="17"/>
        <v>7.4528941329331575</v>
      </c>
      <c r="AD10" s="48"/>
      <c r="AE10" s="46">
        <f t="shared" si="12"/>
        <v>39.348238561726667</v>
      </c>
      <c r="AF10" s="46">
        <f t="shared" si="13"/>
        <v>-259.77251929213514</v>
      </c>
      <c r="AG10" s="47">
        <f t="shared" si="14"/>
        <v>85151.087765895674</v>
      </c>
      <c r="AH10" s="45" t="str">
        <f t="shared" si="18"/>
        <v>-259.77252,39.34824,85151</v>
      </c>
      <c r="AI10" s="44">
        <f t="shared" si="20"/>
        <v>27.598883060703795</v>
      </c>
    </row>
    <row r="11" spans="1:35" ht="18" customHeight="1" x14ac:dyDescent="0.25">
      <c r="A11" s="36">
        <f t="shared" si="15"/>
        <v>0.73959491898148144</v>
      </c>
      <c r="B11" s="42">
        <f t="shared" si="0"/>
        <v>39.372832109724087</v>
      </c>
      <c r="C11" s="43">
        <f t="shared" si="1"/>
        <v>100.30657908703003</v>
      </c>
      <c r="D11" s="18">
        <f t="shared" si="2"/>
        <v>85.155835669121188</v>
      </c>
      <c r="E11" s="21" t="str">
        <f t="shared" si="3"/>
        <v>Umbra</v>
      </c>
      <c r="F11" s="23">
        <f>IF($E11&lt;&gt;"Umbra",fracil2($S$2,$S$3,$S$4,$A11,$Q$2,$O$3,$Q$4,$U11,$V11,$W11),0)</f>
        <v>0</v>
      </c>
      <c r="G11" s="19">
        <f t="shared" si="4"/>
        <v>86.861555205789884</v>
      </c>
      <c r="H11" s="19">
        <f t="shared" si="5"/>
        <v>52.310579024478962</v>
      </c>
      <c r="I11" s="19">
        <f t="shared" si="6"/>
        <v>53.518596973873855</v>
      </c>
      <c r="J11" s="28">
        <f t="shared" si="7"/>
        <v>3.324881518887314</v>
      </c>
      <c r="K11" s="24">
        <f t="shared" si="8"/>
        <v>105.39518445322193</v>
      </c>
      <c r="L11" s="32">
        <f t="shared" si="9"/>
        <v>0.38108503377599506</v>
      </c>
      <c r="M11" s="35">
        <f t="shared" si="10"/>
        <v>31.797824524708439</v>
      </c>
      <c r="O11" s="29">
        <f t="shared" si="11"/>
        <v>63.422094292603695</v>
      </c>
      <c r="P11" s="44"/>
      <c r="T11" s="48">
        <v>0.73959491898148144</v>
      </c>
      <c r="U11" s="29">
        <v>-208.4684080270269</v>
      </c>
      <c r="V11" s="29">
        <v>4998.6560282313112</v>
      </c>
      <c r="W11" s="29">
        <v>4078.4177963898319</v>
      </c>
      <c r="X11" s="4">
        <v>-7.18774503932993</v>
      </c>
      <c r="Y11" s="4">
        <v>-2.0489903552625091</v>
      </c>
      <c r="Z11" s="4">
        <v>2.1370648303670641</v>
      </c>
      <c r="AA11" s="3">
        <f t="shared" si="16"/>
        <v>7.773614752196214</v>
      </c>
      <c r="AB11" s="3">
        <f t="shared" si="19"/>
        <v>1.8656446247966283</v>
      </c>
      <c r="AC11" s="3">
        <f t="shared" si="17"/>
        <v>7.4345996217426329</v>
      </c>
      <c r="AD11" s="48"/>
      <c r="AE11" s="46">
        <f t="shared" si="12"/>
        <v>39.372832109724087</v>
      </c>
      <c r="AF11" s="46">
        <f t="shared" si="13"/>
        <v>-259.69342091296994</v>
      </c>
      <c r="AG11" s="47">
        <f t="shared" si="14"/>
        <v>85155.835669121181</v>
      </c>
      <c r="AH11" s="45" t="str">
        <f t="shared" si="18"/>
        <v>-259.69342,39.37283,85156</v>
      </c>
      <c r="AI11" s="44">
        <f t="shared" si="20"/>
        <v>34.928446249952707</v>
      </c>
    </row>
    <row r="12" spans="1:35" ht="18" customHeight="1" x14ac:dyDescent="0.25">
      <c r="A12" s="36">
        <f t="shared" si="15"/>
        <v>0.73960646990740742</v>
      </c>
      <c r="B12" s="42">
        <f t="shared" si="0"/>
        <v>39.397268040028074</v>
      </c>
      <c r="C12" s="43">
        <f t="shared" si="1"/>
        <v>100.38542096473016</v>
      </c>
      <c r="D12" s="18">
        <f t="shared" si="2"/>
        <v>85.160343676497178</v>
      </c>
      <c r="E12" s="21" t="str">
        <f t="shared" si="3"/>
        <v>Umbra</v>
      </c>
      <c r="F12" s="23">
        <f>IF($E12&lt;&gt;"Umbra",fracil2($S$2,$S$3,$S$4,$A12,$Q$2,$O$3,$Q$4,$U12,$V12,$W12),0)</f>
        <v>0</v>
      </c>
      <c r="G12" s="19">
        <f t="shared" si="4"/>
        <v>84.914739444453389</v>
      </c>
      <c r="H12" s="19">
        <f t="shared" si="5"/>
        <v>49.375202792037534</v>
      </c>
      <c r="I12" s="19">
        <f t="shared" si="6"/>
        <v>50.583220741432427</v>
      </c>
      <c r="J12" s="28">
        <f t="shared" si="7"/>
        <v>3.0597088275873752</v>
      </c>
      <c r="K12" s="24">
        <f t="shared" si="8"/>
        <v>109.78340688942454</v>
      </c>
      <c r="L12" s="32">
        <f t="shared" si="9"/>
        <v>0.39148570145513789</v>
      </c>
      <c r="M12" s="35">
        <f t="shared" si="10"/>
        <v>31.69310911844331</v>
      </c>
      <c r="O12" s="29">
        <f t="shared" si="11"/>
        <v>70.348466352900189</v>
      </c>
      <c r="P12" s="44"/>
      <c r="T12" s="48">
        <v>0.73960646990740742</v>
      </c>
      <c r="U12" s="29">
        <v>-215.63530243050454</v>
      </c>
      <c r="V12" s="29">
        <v>4996.6093632945276</v>
      </c>
      <c r="W12" s="29">
        <v>4080.545560967209</v>
      </c>
      <c r="X12" s="4">
        <v>-7.1707682182415269</v>
      </c>
      <c r="Y12" s="4">
        <v>-2.0513975414263017</v>
      </c>
      <c r="Z12" s="4">
        <v>2.1258074362163595</v>
      </c>
      <c r="AA12" s="3">
        <f t="shared" si="16"/>
        <v>7.7554629757729749</v>
      </c>
      <c r="AB12" s="3">
        <f t="shared" si="19"/>
        <v>1.8556178379164319</v>
      </c>
      <c r="AC12" s="3">
        <f t="shared" si="17"/>
        <v>7.4164398256009862</v>
      </c>
      <c r="AD12" s="48"/>
      <c r="AE12" s="46">
        <f t="shared" si="12"/>
        <v>39.397268040028074</v>
      </c>
      <c r="AF12" s="46">
        <f t="shared" si="13"/>
        <v>-259.61457903526986</v>
      </c>
      <c r="AG12" s="47">
        <f t="shared" si="14"/>
        <v>85160.34367649717</v>
      </c>
      <c r="AH12" s="45" t="str">
        <f t="shared" si="18"/>
        <v>-259.61458,39.39727,85160</v>
      </c>
      <c r="AI12" s="44">
        <f t="shared" si="20"/>
        <v>42.228806437223959</v>
      </c>
    </row>
    <row r="13" spans="1:35" ht="18" customHeight="1" x14ac:dyDescent="0.25">
      <c r="A13" s="36">
        <f t="shared" si="15"/>
        <v>0.73961805555555549</v>
      </c>
      <c r="B13" s="42">
        <f t="shared" si="0"/>
        <v>39.421651942792685</v>
      </c>
      <c r="C13" s="43">
        <f t="shared" si="1"/>
        <v>100.4643429827785</v>
      </c>
      <c r="D13" s="18">
        <f t="shared" si="2"/>
        <v>85.164587719649717</v>
      </c>
      <c r="E13" s="21" t="str">
        <f t="shared" si="3"/>
        <v>Umbra</v>
      </c>
      <c r="F13" s="23">
        <f>IF($E13&lt;&gt;"Umbra",fracil2($S$2,$S$3,$S$4,$A13,$Q$2,$O$3,$Q$4,$U13,$V13,$W13),0)</f>
        <v>0</v>
      </c>
      <c r="G13" s="19">
        <f t="shared" si="4"/>
        <v>83.318724834237614</v>
      </c>
      <c r="H13" s="19">
        <f t="shared" si="5"/>
        <v>46.6435124682259</v>
      </c>
      <c r="I13" s="19">
        <f t="shared" si="6"/>
        <v>47.851530417620793</v>
      </c>
      <c r="J13" s="28">
        <f t="shared" si="7"/>
        <v>2.8098781646124023</v>
      </c>
      <c r="K13" s="24">
        <f t="shared" si="8"/>
        <v>114.47877882433468</v>
      </c>
      <c r="L13" s="32">
        <f t="shared" si="9"/>
        <v>0.40104111135090298</v>
      </c>
      <c r="M13" s="35">
        <f t="shared" si="10"/>
        <v>31.498855165906953</v>
      </c>
      <c r="O13" s="29">
        <f t="shared" si="11"/>
        <v>77.345866944679884</v>
      </c>
      <c r="P13" s="44"/>
      <c r="T13" s="48">
        <v>0.73961805555555549</v>
      </c>
      <c r="U13" s="29">
        <v>-222.80489839541232</v>
      </c>
      <c r="V13" s="29">
        <v>4994.5546620411733</v>
      </c>
      <c r="W13" s="29">
        <v>4082.6679036488217</v>
      </c>
      <c r="X13" s="4">
        <v>-7.1538306886182443</v>
      </c>
      <c r="Y13" s="4">
        <v>-2.0538202202764584</v>
      </c>
      <c r="Z13" s="4">
        <v>2.1145608252283332</v>
      </c>
      <c r="AA13" s="3">
        <f t="shared" si="16"/>
        <v>7.7373663802499975</v>
      </c>
      <c r="AB13" s="3">
        <f t="shared" si="19"/>
        <v>1.8444329010567968</v>
      </c>
      <c r="AC13" s="3">
        <f t="shared" si="17"/>
        <v>7.3983352300643155</v>
      </c>
      <c r="AD13" s="48"/>
      <c r="AE13" s="46">
        <f t="shared" si="12"/>
        <v>39.421651942792685</v>
      </c>
      <c r="AF13" s="46">
        <f t="shared" si="13"/>
        <v>-259.53565701722152</v>
      </c>
      <c r="AG13" s="47">
        <f t="shared" si="14"/>
        <v>85164.587719649717</v>
      </c>
      <c r="AH13" s="45" t="str">
        <f t="shared" si="18"/>
        <v>-259.53566,39.42165,85165</v>
      </c>
      <c r="AI13" s="44">
        <f t="shared" si="20"/>
        <v>49.531206961314474</v>
      </c>
    </row>
    <row r="14" spans="1:35" ht="18" customHeight="1" x14ac:dyDescent="0.25">
      <c r="A14" s="36">
        <f t="shared" si="15"/>
        <v>0.73962965277777781</v>
      </c>
      <c r="B14" s="42">
        <f t="shared" si="0"/>
        <v>39.445951830812504</v>
      </c>
      <c r="C14" s="43">
        <f t="shared" si="1"/>
        <v>100.54324452229361</v>
      </c>
      <c r="D14" s="18">
        <f t="shared" si="2"/>
        <v>85.168517733787667</v>
      </c>
      <c r="E14" s="21" t="str">
        <f t="shared" si="3"/>
        <v>Umbra</v>
      </c>
      <c r="F14" s="23">
        <f>IF($E14&lt;&gt;"Umbra",fracil2($S$2,$S$3,$S$4,$A14,$Q$2,$O$3,$Q$4,$U14,$V14,$W14),0)</f>
        <v>0</v>
      </c>
      <c r="G14" s="19">
        <f t="shared" si="4"/>
        <v>81.990193103379141</v>
      </c>
      <c r="H14" s="19">
        <f t="shared" si="5"/>
        <v>44.114647504633993</v>
      </c>
      <c r="I14" s="19">
        <f t="shared" si="6"/>
        <v>45.322665454028886</v>
      </c>
      <c r="J14" s="28">
        <f t="shared" si="7"/>
        <v>2.5779758517939531</v>
      </c>
      <c r="K14" s="24">
        <f t="shared" si="8"/>
        <v>119.43894323268863</v>
      </c>
      <c r="L14" s="32">
        <f t="shared" si="9"/>
        <v>0.40978106612415766</v>
      </c>
      <c r="M14" s="35">
        <f t="shared" si="10"/>
        <v>31.238378619340896</v>
      </c>
      <c r="O14" s="29">
        <f t="shared" si="11"/>
        <v>84.388143110272381</v>
      </c>
      <c r="P14" s="44"/>
      <c r="T14" s="48">
        <v>0.73962965277777781</v>
      </c>
      <c r="U14" s="29">
        <v>-229.96779062123369</v>
      </c>
      <c r="V14" s="29">
        <v>4992.4945900736921</v>
      </c>
      <c r="W14" s="29">
        <v>4084.7820175019219</v>
      </c>
      <c r="X14" s="4">
        <v>-7.1369535869058076</v>
      </c>
      <c r="Y14" s="4">
        <v>-2.0562549456178938</v>
      </c>
      <c r="Z14" s="4">
        <v>2.1033393640919749</v>
      </c>
      <c r="AA14" s="3">
        <f t="shared" si="16"/>
        <v>7.7193476009028474</v>
      </c>
      <c r="AB14" s="3">
        <f t="shared" si="19"/>
        <v>1.8346690947715578</v>
      </c>
      <c r="AC14" s="3">
        <f t="shared" si="17"/>
        <v>7.3803084833905377</v>
      </c>
      <c r="AD14" s="48"/>
      <c r="AE14" s="46">
        <f t="shared" si="12"/>
        <v>39.445951830812504</v>
      </c>
      <c r="AF14" s="46">
        <f t="shared" si="13"/>
        <v>-259.45675547770639</v>
      </c>
      <c r="AG14" s="47">
        <f t="shared" si="14"/>
        <v>85168.517733787667</v>
      </c>
      <c r="AH14" s="45" t="str">
        <f t="shared" si="18"/>
        <v>-259.45676,39.44595,85169</v>
      </c>
      <c r="AI14" s="44">
        <f t="shared" si="20"/>
        <v>56.826310966434171</v>
      </c>
    </row>
    <row r="15" spans="1:35" ht="18" customHeight="1" x14ac:dyDescent="0.25">
      <c r="A15" s="36">
        <f t="shared" si="15"/>
        <v>0.73964122685185185</v>
      </c>
      <c r="B15" s="42">
        <f t="shared" si="0"/>
        <v>39.470072526339713</v>
      </c>
      <c r="C15" s="43">
        <f t="shared" si="1"/>
        <v>100.62181059227126</v>
      </c>
      <c r="D15" s="18">
        <f t="shared" si="2"/>
        <v>85.172076487504455</v>
      </c>
      <c r="E15" s="21" t="str">
        <f t="shared" si="3"/>
        <v>Umbra</v>
      </c>
      <c r="F15" s="23">
        <f>IF($E15&lt;&gt;"Umbra",fracil2($S$2,$S$3,$S$4,$A15,$Q$2,$O$3,$Q$4,$U15,$V15,$W15),0)</f>
        <v>0</v>
      </c>
      <c r="G15" s="19">
        <f t="shared" si="4"/>
        <v>80.872389609897979</v>
      </c>
      <c r="H15" s="19">
        <f t="shared" si="5"/>
        <v>41.787756725732379</v>
      </c>
      <c r="I15" s="19">
        <f t="shared" si="6"/>
        <v>42.995774675127272</v>
      </c>
      <c r="J15" s="28">
        <f t="shared" si="7"/>
        <v>2.3656508069465931</v>
      </c>
      <c r="K15" s="24">
        <f t="shared" si="8"/>
        <v>124.60982785142994</v>
      </c>
      <c r="L15" s="32">
        <f t="shared" si="9"/>
        <v>0.41773116698795326</v>
      </c>
      <c r="M15" s="35">
        <f t="shared" si="10"/>
        <v>30.932213754388968</v>
      </c>
      <c r="O15" s="29">
        <f t="shared" si="11"/>
        <v>91.43491440800716</v>
      </c>
      <c r="P15" s="44"/>
      <c r="T15" s="48">
        <v>0.73964122685185185</v>
      </c>
      <c r="U15" s="29">
        <v>-237.09578137629217</v>
      </c>
      <c r="V15" s="29">
        <v>4990.4372848564908</v>
      </c>
      <c r="W15" s="29">
        <v>4086.8796064627941</v>
      </c>
      <c r="X15" s="4">
        <v>-7.1202018580519342</v>
      </c>
      <c r="Y15" s="4">
        <v>-2.0586917317808848</v>
      </c>
      <c r="Z15" s="4">
        <v>2.0921867087075108</v>
      </c>
      <c r="AA15" s="3">
        <f t="shared" si="16"/>
        <v>7.7014759215361801</v>
      </c>
      <c r="AB15" s="3">
        <f t="shared" si="19"/>
        <v>1.8233306491738657</v>
      </c>
      <c r="AC15" s="3">
        <f t="shared" si="17"/>
        <v>7.3624289030447931</v>
      </c>
      <c r="AD15" s="48"/>
      <c r="AE15" s="46">
        <f t="shared" si="12"/>
        <v>39.470072526339713</v>
      </c>
      <c r="AF15" s="46">
        <f t="shared" si="13"/>
        <v>-259.37818940772877</v>
      </c>
      <c r="AG15" s="47">
        <f t="shared" si="14"/>
        <v>85172.076487504455</v>
      </c>
      <c r="AH15" s="45" t="str">
        <f t="shared" si="18"/>
        <v>-259.37819,39.47007,85172</v>
      </c>
      <c r="AI15" s="44">
        <f t="shared" si="20"/>
        <v>64.085097858678196</v>
      </c>
    </row>
    <row r="16" spans="1:35" ht="18" customHeight="1" x14ac:dyDescent="0.25">
      <c r="A16" s="36">
        <f t="shared" si="15"/>
        <v>0.73965277777777771</v>
      </c>
      <c r="B16" s="42">
        <f t="shared" si="0"/>
        <v>39.494019199298727</v>
      </c>
      <c r="C16" s="43">
        <f t="shared" si="1"/>
        <v>100.7000553167736</v>
      </c>
      <c r="D16" s="18">
        <f t="shared" si="2"/>
        <v>85.175225640362441</v>
      </c>
      <c r="E16" s="21" t="str">
        <f t="shared" si="3"/>
        <v>Umbra</v>
      </c>
      <c r="F16" s="23">
        <f>IF($E16&lt;&gt;"Umbra",fracil2($S$2,$S$3,$S$4,$A16,$Q$2,$O$3,$Q$4,$U16,$V16,$W16),0)</f>
        <v>0</v>
      </c>
      <c r="G16" s="19">
        <f t="shared" si="4"/>
        <v>79.919496685817123</v>
      </c>
      <c r="H16" s="19">
        <f t="shared" si="5"/>
        <v>39.647919961540374</v>
      </c>
      <c r="I16" s="19">
        <f t="shared" si="6"/>
        <v>40.855937910935268</v>
      </c>
      <c r="J16" s="28">
        <f t="shared" si="7"/>
        <v>2.1725188860413649</v>
      </c>
      <c r="K16" s="24">
        <f t="shared" si="8"/>
        <v>129.96110733326859</v>
      </c>
      <c r="L16" s="32">
        <f t="shared" si="9"/>
        <v>0.4249621845439393</v>
      </c>
      <c r="M16" s="35">
        <f t="shared" si="10"/>
        <v>30.59591813078201</v>
      </c>
      <c r="O16" s="29">
        <f t="shared" si="11"/>
        <v>98.478534196739332</v>
      </c>
      <c r="P16" s="44"/>
      <c r="T16" s="48">
        <v>0.73965277777777771</v>
      </c>
      <c r="U16" s="29">
        <v>-244.19015463274792</v>
      </c>
      <c r="V16" s="29">
        <v>4988.3824449829672</v>
      </c>
      <c r="W16" s="29">
        <v>4088.961110246245</v>
      </c>
      <c r="X16" s="4">
        <v>-7.1035706330354316</v>
      </c>
      <c r="Y16" s="4">
        <v>-2.0611305007840586</v>
      </c>
      <c r="Z16" s="4">
        <v>2.0811002187829959</v>
      </c>
      <c r="AA16" s="3">
        <f t="shared" si="16"/>
        <v>7.6837460135278013</v>
      </c>
      <c r="AB16" s="3">
        <f t="shared" si="19"/>
        <v>1.8124911821731537</v>
      </c>
      <c r="AC16" s="3">
        <f t="shared" si="17"/>
        <v>7.3446911610895649</v>
      </c>
      <c r="AD16" s="48"/>
      <c r="AE16" s="46">
        <f t="shared" si="12"/>
        <v>39.494019199298727</v>
      </c>
      <c r="AF16" s="46">
        <f t="shared" si="13"/>
        <v>-259.29994468322639</v>
      </c>
      <c r="AG16" s="47">
        <f t="shared" si="14"/>
        <v>85175.225640362449</v>
      </c>
      <c r="AH16" s="45" t="str">
        <f t="shared" si="18"/>
        <v>-259.29994,39.49402,85175</v>
      </c>
      <c r="AI16" s="44">
        <f t="shared" si="20"/>
        <v>71.308946459993493</v>
      </c>
    </row>
    <row r="17" spans="1:35" ht="18" customHeight="1" x14ac:dyDescent="0.25">
      <c r="A17" s="36">
        <f t="shared" si="15"/>
        <v>0.73966435185185186</v>
      </c>
      <c r="B17" s="42">
        <f t="shared" si="0"/>
        <v>39.517914235822147</v>
      </c>
      <c r="C17" s="43">
        <f t="shared" si="1"/>
        <v>100.77838169324413</v>
      </c>
      <c r="D17" s="18">
        <f t="shared" si="2"/>
        <v>85.177939822688131</v>
      </c>
      <c r="E17" s="21" t="str">
        <f t="shared" si="3"/>
        <v>Umbra</v>
      </c>
      <c r="F17" s="23">
        <f>IF($E17&lt;&gt;"Umbra",fracil2($S$2,$S$3,$S$4,$A17,$Q$2,$O$3,$Q$4,$U17,$V17,$W17),0)</f>
        <v>0</v>
      </c>
      <c r="G17" s="19">
        <f t="shared" si="4"/>
        <v>79.094164101426344</v>
      </c>
      <c r="H17" s="19">
        <f t="shared" si="5"/>
        <v>37.670098534705403</v>
      </c>
      <c r="I17" s="19">
        <f t="shared" si="6"/>
        <v>38.878116484100296</v>
      </c>
      <c r="J17" s="28">
        <f t="shared" si="7"/>
        <v>1.9967780206654182</v>
      </c>
      <c r="K17" s="24">
        <f t="shared" si="8"/>
        <v>135.49461842437853</v>
      </c>
      <c r="L17" s="32">
        <f t="shared" si="9"/>
        <v>0.43157535956549964</v>
      </c>
      <c r="M17" s="35">
        <f t="shared" si="10"/>
        <v>30.239582024424756</v>
      </c>
      <c r="O17" s="29">
        <f t="shared" si="11"/>
        <v>105.54892656355109</v>
      </c>
      <c r="P17" s="44"/>
      <c r="T17" s="48">
        <v>0.73966435185185186</v>
      </c>
      <c r="U17" s="29">
        <v>-251.28706544052895</v>
      </c>
      <c r="V17" s="29">
        <v>4986.3196105030811</v>
      </c>
      <c r="W17" s="29">
        <v>4091.0371498152276</v>
      </c>
      <c r="X17" s="4">
        <v>-7.0869735984285125</v>
      </c>
      <c r="Y17" s="4">
        <v>-2.0635832581518128</v>
      </c>
      <c r="Z17" s="4">
        <v>2.0700228629399278</v>
      </c>
      <c r="AA17" s="3">
        <f t="shared" si="16"/>
        <v>7.6660658294356727</v>
      </c>
      <c r="AB17" s="3">
        <f t="shared" si="19"/>
        <v>1.8037924331923989</v>
      </c>
      <c r="AC17" s="3">
        <f t="shared" si="17"/>
        <v>7.3270031724895643</v>
      </c>
      <c r="AD17" s="48"/>
      <c r="AE17" s="46">
        <f t="shared" si="12"/>
        <v>39.517914235822147</v>
      </c>
      <c r="AF17" s="46">
        <f t="shared" si="13"/>
        <v>-259.22161830675589</v>
      </c>
      <c r="AG17" s="47">
        <f t="shared" si="14"/>
        <v>85177.939822688131</v>
      </c>
      <c r="AH17" s="45" t="str">
        <f t="shared" si="18"/>
        <v>-259.22162,39.51791,85178</v>
      </c>
      <c r="AI17" s="44">
        <f t="shared" si="20"/>
        <v>78.535046498590788</v>
      </c>
    </row>
    <row r="18" spans="1:35" ht="18" customHeight="1" x14ac:dyDescent="0.25">
      <c r="A18" s="36">
        <f t="shared" si="15"/>
        <v>0.73967594907407408</v>
      </c>
      <c r="B18" s="42">
        <f t="shared" si="0"/>
        <v>39.541746066585155</v>
      </c>
      <c r="C18" s="43">
        <f t="shared" si="1"/>
        <v>100.85675013862696</v>
      </c>
      <c r="D18" s="18">
        <f t="shared" si="2"/>
        <v>85.180173471835587</v>
      </c>
      <c r="E18" s="21" t="str">
        <f t="shared" si="3"/>
        <v>Umbra</v>
      </c>
      <c r="F18" s="23">
        <f>IF($E18&lt;&gt;"Umbra",fracil2($S$2,$S$3,$S$4,$A18,$Q$2,$O$3,$Q$4,$U18,$V18,$W18),0)</f>
        <v>0</v>
      </c>
      <c r="G18" s="19">
        <f t="shared" si="4"/>
        <v>78.373052065162994</v>
      </c>
      <c r="H18" s="19">
        <f t="shared" si="5"/>
        <v>35.842269498498482</v>
      </c>
      <c r="I18" s="19">
        <f t="shared" si="6"/>
        <v>37.050287447893375</v>
      </c>
      <c r="J18" s="28">
        <f t="shared" si="7"/>
        <v>1.8374714665506893</v>
      </c>
      <c r="K18" s="24">
        <f t="shared" si="8"/>
        <v>141.18635836921712</v>
      </c>
      <c r="L18" s="32">
        <f t="shared" si="9"/>
        <v>0.43762525397285806</v>
      </c>
      <c r="M18" s="35">
        <f t="shared" si="10"/>
        <v>29.872373881921078</v>
      </c>
      <c r="O18" s="29">
        <f t="shared" si="11"/>
        <v>112.63791226693043</v>
      </c>
      <c r="P18" s="44"/>
      <c r="T18" s="48">
        <v>0.73967594907407408</v>
      </c>
      <c r="U18" s="29">
        <v>-258.38309844743804</v>
      </c>
      <c r="V18" s="29">
        <v>4984.2497360912848</v>
      </c>
      <c r="W18" s="29">
        <v>4093.1066961254678</v>
      </c>
      <c r="X18" s="4">
        <v>-7.0704173442710312</v>
      </c>
      <c r="Y18" s="4">
        <v>-2.0660484523119629</v>
      </c>
      <c r="Z18" s="4">
        <v>2.0589594970315721</v>
      </c>
      <c r="AA18" s="3">
        <f t="shared" si="16"/>
        <v>7.6484424453535489</v>
      </c>
      <c r="AB18" s="3">
        <f t="shared" si="19"/>
        <v>1.7944075990177863</v>
      </c>
      <c r="AC18" s="3">
        <f t="shared" si="17"/>
        <v>7.3093720196517751</v>
      </c>
      <c r="AD18" s="48"/>
      <c r="AE18" s="46">
        <f t="shared" si="12"/>
        <v>39.541746066585155</v>
      </c>
      <c r="AF18" s="46">
        <f t="shared" si="13"/>
        <v>-259.14324986137302</v>
      </c>
      <c r="AG18" s="47">
        <f t="shared" si="14"/>
        <v>85180.173471835587</v>
      </c>
      <c r="AH18" s="45" t="str">
        <f t="shared" si="18"/>
        <v>-259.14325,39.54175,85180</v>
      </c>
      <c r="AI18" s="44">
        <f t="shared" si="20"/>
        <v>85.759774429983707</v>
      </c>
    </row>
    <row r="19" spans="1:35" ht="18" customHeight="1" x14ac:dyDescent="0.25">
      <c r="A19" s="36">
        <f t="shared" si="15"/>
        <v>0.73968754629629629</v>
      </c>
      <c r="B19" s="42">
        <f t="shared" si="0"/>
        <v>39.56544602199601</v>
      </c>
      <c r="C19" s="43">
        <f t="shared" si="1"/>
        <v>100.93493013678552</v>
      </c>
      <c r="D19" s="18">
        <f t="shared" si="2"/>
        <v>85.181878352769672</v>
      </c>
      <c r="E19" s="21" t="str">
        <f t="shared" si="3"/>
        <v>Umbra</v>
      </c>
      <c r="F19" s="23">
        <f>IF($E19&lt;&gt;"Umbra",fracil2($S$2,$S$3,$S$4,$A19,$Q$2,$O$3,$Q$4,$U19,$V19,$W19),0)</f>
        <v>0</v>
      </c>
      <c r="G19" s="19">
        <f t="shared" si="4"/>
        <v>77.739541312556497</v>
      </c>
      <c r="H19" s="19">
        <f t="shared" si="5"/>
        <v>34.156398765512861</v>
      </c>
      <c r="I19" s="19">
        <f t="shared" si="6"/>
        <v>35.364416714907755</v>
      </c>
      <c r="J19" s="28">
        <f t="shared" si="7"/>
        <v>1.6937552100487459</v>
      </c>
      <c r="K19" s="24">
        <f t="shared" si="8"/>
        <v>147.0004162172969</v>
      </c>
      <c r="L19" s="32">
        <f t="shared" si="9"/>
        <v>0.44315147887784589</v>
      </c>
      <c r="M19" s="35">
        <f t="shared" si="10"/>
        <v>29.502205817756224</v>
      </c>
      <c r="O19" s="29">
        <f t="shared" si="11"/>
        <v>119.72107439710769</v>
      </c>
      <c r="P19" s="44"/>
      <c r="T19" s="48">
        <v>0.73968754629629629</v>
      </c>
      <c r="U19" s="29">
        <v>-265.45773704135934</v>
      </c>
      <c r="V19" s="29">
        <v>4982.1788051678132</v>
      </c>
      <c r="W19" s="29">
        <v>4095.1637670829987</v>
      </c>
      <c r="X19" s="4">
        <v>-7.053948081723612</v>
      </c>
      <c r="Y19" s="4">
        <v>-2.0685184977801225</v>
      </c>
      <c r="Z19" s="4">
        <v>2.0479415520072397</v>
      </c>
      <c r="AA19" s="3">
        <f t="shared" si="16"/>
        <v>7.6309250367008961</v>
      </c>
      <c r="AB19" s="3">
        <f t="shared" si="19"/>
        <v>1.783615798456873</v>
      </c>
      <c r="AC19" s="3">
        <f t="shared" si="17"/>
        <v>7.2918469028590787</v>
      </c>
      <c r="AD19" s="48"/>
      <c r="AE19" s="46">
        <f t="shared" si="12"/>
        <v>39.56544602199601</v>
      </c>
      <c r="AF19" s="46">
        <f t="shared" si="13"/>
        <v>-259.06506986321449</v>
      </c>
      <c r="AG19" s="47">
        <f t="shared" si="14"/>
        <v>85181.87835276968</v>
      </c>
      <c r="AH19" s="45" t="str">
        <f t="shared" si="18"/>
        <v>-259.06507,39.56545,85182</v>
      </c>
      <c r="AI19" s="44">
        <f t="shared" si="20"/>
        <v>92.961955866526793</v>
      </c>
    </row>
    <row r="20" spans="1:35" ht="18" customHeight="1" x14ac:dyDescent="0.25">
      <c r="A20" s="36">
        <f t="shared" si="15"/>
        <v>0.7396991087962963</v>
      </c>
      <c r="B20" s="42">
        <f t="shared" si="0"/>
        <v>39.588967775865385</v>
      </c>
      <c r="C20" s="43">
        <f t="shared" si="1"/>
        <v>101.01277025563169</v>
      </c>
      <c r="D20" s="18">
        <f t="shared" si="2"/>
        <v>85.183013662243866</v>
      </c>
      <c r="E20" s="21" t="str">
        <f t="shared" si="3"/>
        <v>Umbra</v>
      </c>
      <c r="F20" s="23">
        <f>IF($E20&lt;&gt;"Umbra",fracil2($S$2,$S$3,$S$4,$A20,$Q$2,$O$3,$Q$4,$U20,$V20,$W20),0)</f>
        <v>0</v>
      </c>
      <c r="G20" s="19">
        <f t="shared" si="4"/>
        <v>77.179852011089878</v>
      </c>
      <c r="H20" s="19">
        <f t="shared" si="5"/>
        <v>32.60220906087067</v>
      </c>
      <c r="I20" s="19">
        <f t="shared" si="6"/>
        <v>33.810227010265564</v>
      </c>
      <c r="J20" s="28">
        <f t="shared" si="7"/>
        <v>1.5644401721770149</v>
      </c>
      <c r="K20" s="24">
        <f t="shared" si="8"/>
        <v>152.90799489895619</v>
      </c>
      <c r="L20" s="32">
        <f t="shared" si="9"/>
        <v>0.44819928583359192</v>
      </c>
      <c r="M20" s="35">
        <f t="shared" si="10"/>
        <v>29.134740251123031</v>
      </c>
      <c r="O20" s="29">
        <f t="shared" si="11"/>
        <v>126.78182626537092</v>
      </c>
      <c r="P20" s="44"/>
      <c r="T20" s="48">
        <v>0.7396991087962963</v>
      </c>
      <c r="U20" s="29">
        <v>-272.49695136387606</v>
      </c>
      <c r="V20" s="29">
        <v>4980.110977131917</v>
      </c>
      <c r="W20" s="29">
        <v>4097.2043306009009</v>
      </c>
      <c r="X20" s="4">
        <v>-7.0375964604577952</v>
      </c>
      <c r="Y20" s="4">
        <v>-2.0709879199053862</v>
      </c>
      <c r="Z20" s="4">
        <v>2.0369902111064633</v>
      </c>
      <c r="AA20" s="3">
        <f t="shared" si="16"/>
        <v>7.6135460873882996</v>
      </c>
      <c r="AB20" s="3">
        <f t="shared" si="19"/>
        <v>1.7748300446909633</v>
      </c>
      <c r="AC20" s="3">
        <f t="shared" si="17"/>
        <v>7.2744603234242478</v>
      </c>
      <c r="AD20" s="48"/>
      <c r="AE20" s="46">
        <f t="shared" si="12"/>
        <v>39.588967775865385</v>
      </c>
      <c r="AF20" s="46">
        <f t="shared" si="13"/>
        <v>-258.98722974436828</v>
      </c>
      <c r="AG20" s="47">
        <f t="shared" si="14"/>
        <v>85183.013662243873</v>
      </c>
      <c r="AH20" s="45" t="str">
        <f t="shared" si="18"/>
        <v>-258.98723,39.58897,85183</v>
      </c>
      <c r="AI20" s="44">
        <f t="shared" si="20"/>
        <v>100.12765723850711</v>
      </c>
    </row>
    <row r="21" spans="1:35" ht="18" customHeight="1" x14ac:dyDescent="0.25">
      <c r="A21" s="36">
        <f t="shared" si="15"/>
        <v>0.73971070601851852</v>
      </c>
      <c r="B21" s="42">
        <f t="shared" si="0"/>
        <v>39.612428206373878</v>
      </c>
      <c r="C21" s="43">
        <f t="shared" si="1"/>
        <v>101.09065116914252</v>
      </c>
      <c r="D21" s="18">
        <f t="shared" si="2"/>
        <v>85.183545676012727</v>
      </c>
      <c r="E21" s="21" t="str">
        <f t="shared" si="3"/>
        <v>Umbra</v>
      </c>
      <c r="F21" s="23">
        <f>IF($E21&lt;&gt;"Umbra",fracil2($S$2,$S$3,$S$4,$A21,$Q$2,$O$3,$Q$4,$U21,$V21,$W21),0)</f>
        <v>0</v>
      </c>
      <c r="G21" s="19">
        <f t="shared" si="4"/>
        <v>76.679567263110755</v>
      </c>
      <c r="H21" s="19">
        <f t="shared" si="5"/>
        <v>31.160120873371856</v>
      </c>
      <c r="I21" s="19">
        <f t="shared" si="6"/>
        <v>32.368138822766753</v>
      </c>
      <c r="J21" s="28">
        <f t="shared" si="7"/>
        <v>1.4475166403389563</v>
      </c>
      <c r="K21" s="24">
        <f t="shared" si="8"/>
        <v>158.92335222304465</v>
      </c>
      <c r="L21" s="32">
        <f t="shared" si="9"/>
        <v>0.45284227144607397</v>
      </c>
      <c r="M21" s="35">
        <f t="shared" si="10"/>
        <v>28.771796830103849</v>
      </c>
      <c r="O21" s="29">
        <f t="shared" si="11"/>
        <v>133.85253943033513</v>
      </c>
      <c r="P21" s="44"/>
      <c r="T21" s="48">
        <v>0.73971070601851852</v>
      </c>
      <c r="U21" s="29">
        <v>-279.53559655710154</v>
      </c>
      <c r="V21" s="29">
        <v>4978.0360334805755</v>
      </c>
      <c r="W21" s="29">
        <v>4099.238510588656</v>
      </c>
      <c r="X21" s="4">
        <v>-7.0212796004338056</v>
      </c>
      <c r="Y21" s="4">
        <v>-2.0734684003391139</v>
      </c>
      <c r="Z21" s="4">
        <v>2.026050617289652</v>
      </c>
      <c r="AA21" s="3">
        <f t="shared" si="16"/>
        <v>7.5962174493949632</v>
      </c>
      <c r="AB21" s="3">
        <f t="shared" si="19"/>
        <v>1.7643914292742862</v>
      </c>
      <c r="AC21" s="3">
        <f t="shared" si="17"/>
        <v>7.2571240978240841</v>
      </c>
      <c r="AD21" s="48"/>
      <c r="AE21" s="46">
        <f t="shared" si="12"/>
        <v>39.612428206373878</v>
      </c>
      <c r="AF21" s="46">
        <f t="shared" si="13"/>
        <v>-258.90934883085748</v>
      </c>
      <c r="AG21" s="47">
        <f t="shared" si="14"/>
        <v>85183.545676012727</v>
      </c>
      <c r="AH21" s="45" t="str">
        <f t="shared" si="18"/>
        <v>-258.90935,39.61243,85184</v>
      </c>
      <c r="AI21" s="44">
        <f t="shared" si="20"/>
        <v>107.29202146526885</v>
      </c>
    </row>
    <row r="22" spans="1:35" ht="18" customHeight="1" x14ac:dyDescent="0.25">
      <c r="A22" s="36">
        <f t="shared" si="15"/>
        <v>0.73972221064814814</v>
      </c>
      <c r="B22" s="42">
        <f t="shared" si="0"/>
        <v>39.635615319259479</v>
      </c>
      <c r="C22" s="43">
        <f t="shared" si="1"/>
        <v>101.16787382604629</v>
      </c>
      <c r="D22" s="18">
        <f t="shared" si="2"/>
        <v>85.183434872338694</v>
      </c>
      <c r="E22" s="21" t="str">
        <f t="shared" si="3"/>
        <v>Umbra</v>
      </c>
      <c r="F22" s="23">
        <f>IF($E22&lt;&gt;"Umbra",fracil2($S$2,$S$3,$S$4,$A22,$Q$2,$O$3,$Q$4,$U22,$V22,$W22),0)</f>
        <v>0</v>
      </c>
      <c r="G22" s="19">
        <f t="shared" si="4"/>
        <v>76.233743043068984</v>
      </c>
      <c r="H22" s="19">
        <f t="shared" si="5"/>
        <v>29.831584800686475</v>
      </c>
      <c r="I22" s="19">
        <f t="shared" si="6"/>
        <v>31.039602750081372</v>
      </c>
      <c r="J22" s="28">
        <f t="shared" si="7"/>
        <v>1.3426718414556458</v>
      </c>
      <c r="K22" s="24">
        <f t="shared" si="8"/>
        <v>164.97925122688537</v>
      </c>
      <c r="L22" s="32">
        <f t="shared" si="9"/>
        <v>0.45708432260233228</v>
      </c>
      <c r="M22" s="35">
        <f t="shared" si="10"/>
        <v>28.418994508488868</v>
      </c>
      <c r="O22" s="29">
        <f t="shared" si="11"/>
        <v>140.86793707035866</v>
      </c>
      <c r="P22" s="44"/>
      <c r="T22" s="48">
        <v>0.73972221064814814</v>
      </c>
      <c r="U22" s="29">
        <v>-286.50983758676585</v>
      </c>
      <c r="V22" s="29">
        <v>4975.9728581522895</v>
      </c>
      <c r="W22" s="29">
        <v>4101.2479171535688</v>
      </c>
      <c r="X22" s="4">
        <v>-7.0051433274276729</v>
      </c>
      <c r="Y22" s="4">
        <v>-2.0759368127509568</v>
      </c>
      <c r="Z22" s="4">
        <v>2.0152212794223812</v>
      </c>
      <c r="AA22" s="3">
        <f t="shared" si="16"/>
        <v>7.5790938438164108</v>
      </c>
      <c r="AB22" s="3">
        <f t="shared" si="19"/>
        <v>1.7575450530096093</v>
      </c>
      <c r="AC22" s="3">
        <f t="shared" si="17"/>
        <v>7.2399930179550225</v>
      </c>
      <c r="AD22" s="48"/>
      <c r="AE22" s="46">
        <f t="shared" si="12"/>
        <v>39.635615319259479</v>
      </c>
      <c r="AF22" s="46">
        <f t="shared" si="13"/>
        <v>-258.83212617395372</v>
      </c>
      <c r="AG22" s="47">
        <f t="shared" si="14"/>
        <v>85183.434872338694</v>
      </c>
      <c r="AH22" s="45" t="str">
        <f t="shared" si="18"/>
        <v>-258.83213,39.63562,85183</v>
      </c>
      <c r="AI22" s="44">
        <f t="shared" si="20"/>
        <v>114.39072181648402</v>
      </c>
    </row>
    <row r="23" spans="1:35" ht="18" customHeight="1" x14ac:dyDescent="0.25">
      <c r="A23" s="36">
        <f t="shared" si="15"/>
        <v>0.73973387731481477</v>
      </c>
      <c r="B23" s="42">
        <f t="shared" si="0"/>
        <v>39.659015506220086</v>
      </c>
      <c r="C23" s="43">
        <f t="shared" si="1"/>
        <v>101.24605458890269</v>
      </c>
      <c r="D23" s="18">
        <f t="shared" si="2"/>
        <v>85.182632700608337</v>
      </c>
      <c r="E23" s="21" t="str">
        <f t="shared" si="3"/>
        <v>Umbra</v>
      </c>
      <c r="F23" s="23">
        <f>IF($E23&lt;&gt;"Umbra",fracil2($S$2,$S$3,$S$4,$A23,$Q$2,$O$3,$Q$4,$U23,$V23,$W23),0)</f>
        <v>0</v>
      </c>
      <c r="G23" s="19">
        <f t="shared" si="4"/>
        <v>75.825992856047534</v>
      </c>
      <c r="H23" s="19">
        <f t="shared" si="5"/>
        <v>28.579973391322731</v>
      </c>
      <c r="I23" s="19">
        <f t="shared" si="6"/>
        <v>29.787991340717628</v>
      </c>
      <c r="J23" s="28">
        <f t="shared" si="7"/>
        <v>1.2466233937352698</v>
      </c>
      <c r="K23" s="24">
        <f t="shared" si="8"/>
        <v>171.19243486974673</v>
      </c>
      <c r="L23" s="32">
        <f t="shared" si="9"/>
        <v>0.46104947869982427</v>
      </c>
      <c r="M23" s="35">
        <f t="shared" si="10"/>
        <v>28.070771684857078</v>
      </c>
      <c r="O23" s="29">
        <f t="shared" si="11"/>
        <v>147.9735398017603</v>
      </c>
      <c r="P23" s="44"/>
      <c r="T23" s="48">
        <v>0.73973387731481477</v>
      </c>
      <c r="U23" s="29">
        <v>-293.56605285180513</v>
      </c>
      <c r="V23" s="29">
        <v>4973.8780856202757</v>
      </c>
      <c r="W23" s="29">
        <v>4103.2746734003667</v>
      </c>
      <c r="X23" s="4">
        <v>-6.9888472502901839</v>
      </c>
      <c r="Y23" s="4">
        <v>-2.0784444847338488</v>
      </c>
      <c r="Z23" s="4">
        <v>2.0042743498545192</v>
      </c>
      <c r="AA23" s="3">
        <f t="shared" si="16"/>
        <v>7.5618141364023206</v>
      </c>
      <c r="AB23" s="3">
        <f t="shared" si="19"/>
        <v>1.7489314999723615</v>
      </c>
      <c r="AC23" s="3">
        <f t="shared" si="17"/>
        <v>7.2227057954880349</v>
      </c>
      <c r="AD23" s="48"/>
      <c r="AE23" s="46">
        <f t="shared" si="12"/>
        <v>39.659015506220086</v>
      </c>
      <c r="AF23" s="46">
        <f t="shared" si="13"/>
        <v>-258.75394541109733</v>
      </c>
      <c r="AG23" s="47">
        <f t="shared" si="14"/>
        <v>85182.632700608345</v>
      </c>
      <c r="AH23" s="45" t="str">
        <f t="shared" si="18"/>
        <v>-258.75395,39.65902,85183</v>
      </c>
      <c r="AI23" s="44">
        <f t="shared" si="20"/>
        <v>121.57238567080346</v>
      </c>
    </row>
    <row r="24" spans="1:35" ht="18" customHeight="1" x14ac:dyDescent="0.25">
      <c r="A24" s="36">
        <f t="shared" si="15"/>
        <v>0.7397453819444445</v>
      </c>
      <c r="B24" s="42">
        <f t="shared" si="0"/>
        <v>39.681963937552617</v>
      </c>
      <c r="C24" s="43">
        <f t="shared" si="1"/>
        <v>101.32296775078775</v>
      </c>
      <c r="D24" s="18">
        <f t="shared" si="2"/>
        <v>85.181124379086214</v>
      </c>
      <c r="E24" s="21" t="str">
        <f t="shared" si="3"/>
        <v>Umbra</v>
      </c>
      <c r="F24" s="23">
        <f>IF($E24&lt;&gt;"Umbra",fracil2($S$2,$S$3,$S$4,$A24,$Q$2,$O$3,$Q$4,$U24,$V24,$W24),0)</f>
        <v>0</v>
      </c>
      <c r="G24" s="19">
        <f t="shared" si="4"/>
        <v>75.461801755552585</v>
      </c>
      <c r="H24" s="19">
        <f t="shared" si="5"/>
        <v>27.432032061457043</v>
      </c>
      <c r="I24" s="19">
        <f t="shared" si="6"/>
        <v>28.64005001085194</v>
      </c>
      <c r="J24" s="28">
        <f t="shared" si="7"/>
        <v>1.1610137530980886</v>
      </c>
      <c r="K24" s="24">
        <f t="shared" si="8"/>
        <v>177.37653279818028</v>
      </c>
      <c r="L24" s="32">
        <f t="shared" si="9"/>
        <v>0.46465933955709571</v>
      </c>
      <c r="M24" s="35">
        <f t="shared" si="10"/>
        <v>27.738118782197791</v>
      </c>
      <c r="O24" s="29">
        <f t="shared" si="11"/>
        <v>154.96596319360489</v>
      </c>
      <c r="P24" s="44"/>
      <c r="T24" s="48">
        <v>0.7397453819444445</v>
      </c>
      <c r="U24" s="29">
        <v>-300.50364085099653</v>
      </c>
      <c r="V24" s="29">
        <v>4971.8112906271936</v>
      </c>
      <c r="W24" s="29">
        <v>4105.2611818729229</v>
      </c>
      <c r="X24" s="4">
        <v>-6.9728525796742264</v>
      </c>
      <c r="Y24" s="4">
        <v>-2.0809195192849326</v>
      </c>
      <c r="Z24" s="4">
        <v>1.9935203712667087</v>
      </c>
      <c r="AA24" s="3">
        <f t="shared" si="16"/>
        <v>7.5448673026280524</v>
      </c>
      <c r="AB24" s="3">
        <f t="shared" si="19"/>
        <v>1.7393955519147366</v>
      </c>
      <c r="AC24" s="3">
        <f t="shared" si="17"/>
        <v>7.2057516217824995</v>
      </c>
      <c r="AD24" s="48"/>
      <c r="AE24" s="46">
        <f t="shared" si="12"/>
        <v>39.681963937552617</v>
      </c>
      <c r="AF24" s="46">
        <f t="shared" si="13"/>
        <v>-258.67703224921223</v>
      </c>
      <c r="AG24" s="47">
        <f t="shared" si="14"/>
        <v>85181.124379086221</v>
      </c>
      <c r="AH24" s="45" t="str">
        <f t="shared" si="18"/>
        <v>-258.67703,39.68196,85181</v>
      </c>
      <c r="AI24" s="44">
        <f t="shared" si="20"/>
        <v>128.63263871611619</v>
      </c>
    </row>
    <row r="25" spans="1:35" ht="18" customHeight="1" x14ac:dyDescent="0.25">
      <c r="A25" s="36">
        <f t="shared" si="15"/>
        <v>0.73975696759259257</v>
      </c>
      <c r="B25" s="42">
        <f t="shared" si="0"/>
        <v>39.704949890858408</v>
      </c>
      <c r="C25" s="43">
        <f t="shared" si="1"/>
        <v>101.4002491009627</v>
      </c>
      <c r="D25" s="18">
        <f t="shared" si="2"/>
        <v>85.178848725914577</v>
      </c>
      <c r="E25" s="21" t="str">
        <f t="shared" si="3"/>
        <v>Umbra</v>
      </c>
      <c r="F25" s="23">
        <f>IF($E25&lt;&gt;"Umbra",fracil2($S$2,$S$3,$S$4,$A25,$Q$2,$O$3,$Q$4,$U25,$V25,$W25),0)</f>
        <v>0</v>
      </c>
      <c r="G25" s="19">
        <f t="shared" si="4"/>
        <v>75.127965108899971</v>
      </c>
      <c r="H25" s="19">
        <f t="shared" si="5"/>
        <v>26.354372421390401</v>
      </c>
      <c r="I25" s="19">
        <f t="shared" si="6"/>
        <v>27.562390370785298</v>
      </c>
      <c r="J25" s="28">
        <f t="shared" si="7"/>
        <v>1.0829326782130932</v>
      </c>
      <c r="K25" s="24">
        <f t="shared" si="8"/>
        <v>183.65392940804418</v>
      </c>
      <c r="L25" s="32">
        <f t="shared" si="9"/>
        <v>0.46802462312483167</v>
      </c>
      <c r="M25" s="35">
        <f t="shared" si="10"/>
        <v>27.414446049120592</v>
      </c>
      <c r="O25" s="29">
        <f t="shared" si="11"/>
        <v>161.99297969184485</v>
      </c>
      <c r="P25" s="44"/>
      <c r="T25" s="48">
        <v>0.73975696759259257</v>
      </c>
      <c r="U25" s="29">
        <v>-307.47018852258708</v>
      </c>
      <c r="V25" s="29">
        <v>4969.7286105422936</v>
      </c>
      <c r="W25" s="29">
        <v>4107.2497946666672</v>
      </c>
      <c r="X25" s="4">
        <v>-6.9568165575718153</v>
      </c>
      <c r="Y25" s="4">
        <v>-2.0834138159294007</v>
      </c>
      <c r="Z25" s="4">
        <v>1.9827297688776033</v>
      </c>
      <c r="AA25" s="3">
        <f t="shared" si="16"/>
        <v>7.5278899487508655</v>
      </c>
      <c r="AB25" s="3">
        <f t="shared" si="19"/>
        <v>1.7303391239234713</v>
      </c>
      <c r="AC25" s="3">
        <f t="shared" si="17"/>
        <v>7.1887669486279693</v>
      </c>
      <c r="AD25" s="48"/>
      <c r="AE25" s="46">
        <f t="shared" si="12"/>
        <v>39.704949890858408</v>
      </c>
      <c r="AF25" s="46">
        <f t="shared" si="13"/>
        <v>-258.5997508990373</v>
      </c>
      <c r="AG25" s="47">
        <f t="shared" si="14"/>
        <v>85178.848725914577</v>
      </c>
      <c r="AH25" s="45" t="str">
        <f t="shared" si="18"/>
        <v>-258.59975,39.70495,85179</v>
      </c>
      <c r="AI25" s="44">
        <f t="shared" si="20"/>
        <v>135.72173501660879</v>
      </c>
    </row>
    <row r="26" spans="1:35" ht="18" customHeight="1" x14ac:dyDescent="0.25">
      <c r="A26" s="36">
        <f t="shared" si="15"/>
        <v>0.73976853009259258</v>
      </c>
      <c r="B26" s="42">
        <f t="shared" si="0"/>
        <v>39.72780108475839</v>
      </c>
      <c r="C26" s="43">
        <f t="shared" si="1"/>
        <v>101.47732626745471</v>
      </c>
      <c r="D26" s="18">
        <f t="shared" si="2"/>
        <v>85.175778975849425</v>
      </c>
      <c r="E26" s="21" t="str">
        <f t="shared" si="3"/>
        <v>Umbra</v>
      </c>
      <c r="F26" s="23">
        <f>IF($E26&lt;&gt;"Umbra",fracil2($S$2,$S$3,$S$4,$A26,$Q$2,$O$3,$Q$4,$U26,$V26,$W26),0)</f>
        <v>0</v>
      </c>
      <c r="G26" s="19">
        <f t="shared" si="4"/>
        <v>74.823132554225865</v>
      </c>
      <c r="H26" s="19">
        <f t="shared" si="5"/>
        <v>25.348499549297596</v>
      </c>
      <c r="I26" s="19">
        <f t="shared" si="6"/>
        <v>26.556517498692493</v>
      </c>
      <c r="J26" s="28">
        <f t="shared" si="7"/>
        <v>1.012150501102357</v>
      </c>
      <c r="K26" s="24">
        <f t="shared" si="8"/>
        <v>189.97142718789829</v>
      </c>
      <c r="L26" s="32">
        <f t="shared" si="9"/>
        <v>0.47114490220431571</v>
      </c>
      <c r="M26" s="35">
        <f t="shared" si="10"/>
        <v>27.102469636511302</v>
      </c>
      <c r="O26" s="29">
        <f t="shared" si="11"/>
        <v>169.00175240008406</v>
      </c>
      <c r="P26" s="44"/>
      <c r="T26" s="48">
        <v>0.73976853009259258</v>
      </c>
      <c r="U26" s="29">
        <v>-314.4135168010821</v>
      </c>
      <c r="V26" s="29">
        <v>4967.6456009074709</v>
      </c>
      <c r="W26" s="29">
        <v>4109.2255821047256</v>
      </c>
      <c r="X26" s="4">
        <v>-6.9408573319347946</v>
      </c>
      <c r="Y26" s="4">
        <v>-2.0859081217960127</v>
      </c>
      <c r="Z26" s="4">
        <v>1.9719827416993385</v>
      </c>
      <c r="AA26" s="3">
        <f t="shared" si="16"/>
        <v>7.5110071979999864</v>
      </c>
      <c r="AB26" s="3">
        <f t="shared" si="19"/>
        <v>1.7241381549399588</v>
      </c>
      <c r="AC26" s="3">
        <f t="shared" si="17"/>
        <v>7.1718769567793661</v>
      </c>
      <c r="AD26" s="48"/>
      <c r="AE26" s="46">
        <f t="shared" si="12"/>
        <v>39.72780108475839</v>
      </c>
      <c r="AF26" s="46">
        <f t="shared" si="13"/>
        <v>-258.52267373254529</v>
      </c>
      <c r="AG26" s="47">
        <f t="shared" si="14"/>
        <v>85175.778975849418</v>
      </c>
      <c r="AH26" s="45" t="str">
        <f t="shared" si="18"/>
        <v>-258.52267,39.72780,85176</v>
      </c>
      <c r="AI26" s="44">
        <f t="shared" si="20"/>
        <v>142.78709405889015</v>
      </c>
    </row>
    <row r="27" spans="1:35" ht="18" customHeight="1" x14ac:dyDescent="0.25">
      <c r="A27" s="36">
        <f t="shared" si="15"/>
        <v>0.73978008101851855</v>
      </c>
      <c r="B27" s="42">
        <f t="shared" si="0"/>
        <v>39.750516150186179</v>
      </c>
      <c r="C27" s="43">
        <f t="shared" si="1"/>
        <v>101.55418778323444</v>
      </c>
      <c r="D27" s="18">
        <f t="shared" si="2"/>
        <v>85.171880770017196</v>
      </c>
      <c r="E27" s="21" t="str">
        <f t="shared" si="3"/>
        <v>Umbra</v>
      </c>
      <c r="F27" s="23">
        <f>IF($E27&lt;&gt;"Umbra",fracil2($S$2,$S$3,$S$4,$A27,$Q$2,$O$3,$Q$4,$U27,$V27,$W27),0)</f>
        <v>0</v>
      </c>
      <c r="G27" s="19">
        <f t="shared" si="4"/>
        <v>74.543723675320805</v>
      </c>
      <c r="H27" s="19">
        <f t="shared" si="5"/>
        <v>24.407977420512015</v>
      </c>
      <c r="I27" s="19">
        <f t="shared" si="6"/>
        <v>25.615995369906912</v>
      </c>
      <c r="J27" s="28">
        <f t="shared" si="7"/>
        <v>0.94787663279611289</v>
      </c>
      <c r="K27" s="24">
        <f t="shared" si="8"/>
        <v>196.32165719722119</v>
      </c>
      <c r="L27" s="32">
        <f t="shared" si="9"/>
        <v>0.47404425071364042</v>
      </c>
      <c r="M27" s="35">
        <f t="shared" si="10"/>
        <v>26.802280855051904</v>
      </c>
      <c r="O27" s="29">
        <f t="shared" si="11"/>
        <v>175.99064977390029</v>
      </c>
      <c r="P27" s="44"/>
      <c r="T27" s="48">
        <v>0.73978008101851855</v>
      </c>
      <c r="U27" s="29">
        <v>-321.33304437843975</v>
      </c>
      <c r="V27" s="29">
        <v>4965.5624752855938</v>
      </c>
      <c r="W27" s="29">
        <v>4111.1884142074514</v>
      </c>
      <c r="X27" s="4">
        <v>-6.9249739104578154</v>
      </c>
      <c r="Y27" s="4">
        <v>-2.088401526774752</v>
      </c>
      <c r="Z27" s="4">
        <v>1.9612794539410616</v>
      </c>
      <c r="AA27" s="3">
        <f t="shared" si="16"/>
        <v>7.494217884076221</v>
      </c>
      <c r="AB27" s="3">
        <f t="shared" si="19"/>
        <v>1.7163098510500252</v>
      </c>
      <c r="AC27" s="3">
        <f t="shared" si="17"/>
        <v>7.1550804826486987</v>
      </c>
      <c r="AD27" s="48"/>
      <c r="AE27" s="46">
        <f t="shared" si="12"/>
        <v>39.750516150186179</v>
      </c>
      <c r="AF27" s="46">
        <f t="shared" si="13"/>
        <v>-258.44581221676555</v>
      </c>
      <c r="AG27" s="47">
        <f t="shared" si="14"/>
        <v>85171.880770017189</v>
      </c>
      <c r="AH27" s="45" t="str">
        <f t="shared" si="18"/>
        <v>-258.44581,39.75052,85172</v>
      </c>
      <c r="AI27" s="44">
        <f t="shared" si="20"/>
        <v>149.82777467465795</v>
      </c>
    </row>
    <row r="28" spans="1:35" ht="18" customHeight="1" x14ac:dyDescent="0.25">
      <c r="A28" s="36">
        <f t="shared" si="15"/>
        <v>0.73979167824074077</v>
      </c>
      <c r="B28" s="42">
        <f t="shared" si="0"/>
        <v>39.773221560843943</v>
      </c>
      <c r="C28" s="43">
        <f t="shared" si="1"/>
        <v>101.63126368071109</v>
      </c>
      <c r="D28" s="18">
        <f t="shared" si="2"/>
        <v>85.167091116754818</v>
      </c>
      <c r="E28" s="21" t="str">
        <f t="shared" si="3"/>
        <v>Umbra</v>
      </c>
      <c r="F28" s="23">
        <f>IF($E28&lt;&gt;"Umbra",fracil2($S$2,$S$3,$S$4,$A28,$Q$2,$O$3,$Q$4,$U28,$V28,$W28),0)</f>
        <v>0</v>
      </c>
      <c r="G28" s="19">
        <f t="shared" si="4"/>
        <v>74.285360970373716</v>
      </c>
      <c r="H28" s="19">
        <f t="shared" si="5"/>
        <v>23.522122523106816</v>
      </c>
      <c r="I28" s="19">
        <f t="shared" si="6"/>
        <v>24.730140472501713</v>
      </c>
      <c r="J28" s="28">
        <f t="shared" si="7"/>
        <v>0.88908899261056085</v>
      </c>
      <c r="K28" s="24">
        <f t="shared" si="8"/>
        <v>202.73483691588052</v>
      </c>
      <c r="L28" s="32">
        <f t="shared" si="9"/>
        <v>0.47675887792971189</v>
      </c>
      <c r="M28" s="35">
        <f t="shared" si="10"/>
        <v>26.51210694652611</v>
      </c>
      <c r="O28" s="29">
        <f t="shared" si="11"/>
        <v>182.99823074353412</v>
      </c>
      <c r="P28" s="44"/>
      <c r="T28" s="48">
        <v>0.73979167824074077</v>
      </c>
      <c r="U28" s="29">
        <v>-328.26727723323376</v>
      </c>
      <c r="V28" s="29">
        <v>4963.4676210072503</v>
      </c>
      <c r="W28" s="29">
        <v>4113.1491983868555</v>
      </c>
      <c r="X28" s="4">
        <v>-6.909075702088689</v>
      </c>
      <c r="Y28" s="4">
        <v>-2.0909072485586231</v>
      </c>
      <c r="Z28" s="4">
        <v>1.9505596545309634</v>
      </c>
      <c r="AA28" s="3">
        <f t="shared" si="16"/>
        <v>7.4774262380281131</v>
      </c>
      <c r="AB28" s="3">
        <f t="shared" si="19"/>
        <v>1.7096912265885886</v>
      </c>
      <c r="AC28" s="3">
        <f t="shared" si="17"/>
        <v>7.1382817200164457</v>
      </c>
      <c r="AD28" s="48"/>
      <c r="AE28" s="46">
        <f t="shared" si="12"/>
        <v>39.773221560843943</v>
      </c>
      <c r="AF28" s="46">
        <f t="shared" si="13"/>
        <v>-258.36873631928893</v>
      </c>
      <c r="AG28" s="47">
        <f t="shared" si="14"/>
        <v>85167.091116754818</v>
      </c>
      <c r="AH28" s="45" t="str">
        <f t="shared" si="18"/>
        <v>-258.36874,39.77322,85167</v>
      </c>
      <c r="AI28" s="44">
        <f t="shared" si="20"/>
        <v>156.8831562859163</v>
      </c>
    </row>
    <row r="29" spans="1:35" ht="18" customHeight="1" x14ac:dyDescent="0.25">
      <c r="A29" s="36">
        <f t="shared" si="15"/>
        <v>0.73980326388888884</v>
      </c>
      <c r="B29" s="42">
        <f t="shared" si="0"/>
        <v>39.79576909048081</v>
      </c>
      <c r="C29" s="43">
        <f t="shared" si="1"/>
        <v>101.70804371353302</v>
      </c>
      <c r="D29" s="18">
        <f t="shared" si="2"/>
        <v>85.161401501763066</v>
      </c>
      <c r="E29" s="21" t="str">
        <f t="shared" si="3"/>
        <v>Umbra</v>
      </c>
      <c r="F29" s="23">
        <f>IF($E29&lt;&gt;"Umbra",fracil2($S$2,$S$3,$S$4,$A29,$Q$2,$O$3,$Q$4,$U29,$V29,$W29),0)</f>
        <v>0</v>
      </c>
      <c r="G29" s="19">
        <f t="shared" si="4"/>
        <v>74.04725065771531</v>
      </c>
      <c r="H29" s="19">
        <f t="shared" si="5"/>
        <v>22.6918518000186</v>
      </c>
      <c r="I29" s="19">
        <f t="shared" si="6"/>
        <v>23.899869749413497</v>
      </c>
      <c r="J29" s="28">
        <f t="shared" si="7"/>
        <v>0.83558080346778263</v>
      </c>
      <c r="K29" s="24">
        <f t="shared" si="8"/>
        <v>209.16383814573479</v>
      </c>
      <c r="L29" s="32">
        <f t="shared" si="9"/>
        <v>0.47928896827898521</v>
      </c>
      <c r="M29" s="35">
        <f t="shared" si="10"/>
        <v>26.233698425838135</v>
      </c>
      <c r="O29" s="29">
        <f t="shared" si="11"/>
        <v>189.97771644035436</v>
      </c>
      <c r="P29" s="44"/>
      <c r="T29" s="48">
        <v>0.73980326388888884</v>
      </c>
      <c r="U29" s="29">
        <v>-335.17090016072524</v>
      </c>
      <c r="V29" s="29">
        <v>4961.3747183667356</v>
      </c>
      <c r="W29" s="29">
        <v>4115.09511469688</v>
      </c>
      <c r="X29" s="4">
        <v>-6.8932643048812254</v>
      </c>
      <c r="Y29" s="4">
        <v>-2.0934082188916112</v>
      </c>
      <c r="Z29" s="4">
        <v>1.939892683326754</v>
      </c>
      <c r="AA29" s="3">
        <f t="shared" si="16"/>
        <v>7.4607395324255403</v>
      </c>
      <c r="AB29" s="3">
        <f t="shared" si="19"/>
        <v>1.7006988072202973</v>
      </c>
      <c r="AC29" s="3">
        <f t="shared" si="17"/>
        <v>7.1215879904604504</v>
      </c>
      <c r="AD29" s="48"/>
      <c r="AE29" s="46">
        <f t="shared" si="12"/>
        <v>39.79576909048081</v>
      </c>
      <c r="AF29" s="46">
        <f t="shared" si="13"/>
        <v>-258.29195628646698</v>
      </c>
      <c r="AG29" s="47">
        <f t="shared" si="14"/>
        <v>85161.401501763059</v>
      </c>
      <c r="AH29" s="45" t="str">
        <f t="shared" si="18"/>
        <v>-258.29196,39.79577,85161</v>
      </c>
      <c r="AI29" s="44">
        <f t="shared" si="20"/>
        <v>163.9066298474915</v>
      </c>
    </row>
    <row r="30" spans="1:35" ht="18" customHeight="1" x14ac:dyDescent="0.25">
      <c r="A30" s="36">
        <f t="shared" si="15"/>
        <v>0.73981480324074067</v>
      </c>
      <c r="B30" s="42">
        <f t="shared" si="0"/>
        <v>39.81813738638666</v>
      </c>
      <c r="C30" s="43">
        <f t="shared" si="1"/>
        <v>101.78446010543099</v>
      </c>
      <c r="D30" s="18">
        <f t="shared" si="2"/>
        <v>85.154788571100653</v>
      </c>
      <c r="E30" s="21" t="str">
        <f t="shared" si="3"/>
        <v>Umbra</v>
      </c>
      <c r="F30" s="23">
        <f>IF($E30&lt;&gt;"Umbra",fracil2($S$2,$S$3,$S$4,$A30,$Q$2,$O$3,$Q$4,$U30,$V30,$W30),0)</f>
        <v>0</v>
      </c>
      <c r="G30" s="19">
        <f t="shared" si="4"/>
        <v>73.827393407500125</v>
      </c>
      <c r="H30" s="19">
        <f t="shared" si="5"/>
        <v>21.912917752518233</v>
      </c>
      <c r="I30" s="19">
        <f t="shared" si="6"/>
        <v>23.12093570191313</v>
      </c>
      <c r="J30" s="28">
        <f t="shared" si="7"/>
        <v>0.78682098700061676</v>
      </c>
      <c r="K30" s="24">
        <f t="shared" si="8"/>
        <v>215.59833246605763</v>
      </c>
      <c r="L30" s="32">
        <f t="shared" si="9"/>
        <v>0.48164995429855506</v>
      </c>
      <c r="M30" s="35">
        <f t="shared" si="10"/>
        <v>25.966827214983812</v>
      </c>
      <c r="O30" s="29">
        <f t="shared" si="11"/>
        <v>196.92252097911737</v>
      </c>
      <c r="P30" s="44"/>
      <c r="T30" s="48">
        <v>0.73981480324074067</v>
      </c>
      <c r="U30" s="29">
        <v>-342.03712900921442</v>
      </c>
      <c r="V30" s="29">
        <v>4959.2858971626829</v>
      </c>
      <c r="W30" s="29">
        <v>4117.0243150086671</v>
      </c>
      <c r="X30" s="4">
        <v>-6.877552714739906</v>
      </c>
      <c r="Y30" s="4">
        <v>-2.0959011925158033</v>
      </c>
      <c r="Z30" s="4">
        <v>1.9292882337640469</v>
      </c>
      <c r="AA30" s="3">
        <f t="shared" si="16"/>
        <v>7.4441712931498163</v>
      </c>
      <c r="AB30" s="3">
        <f t="shared" si="19"/>
        <v>1.6953943510075151</v>
      </c>
      <c r="AC30" s="3">
        <f t="shared" si="17"/>
        <v>7.1050128285655196</v>
      </c>
      <c r="AD30" s="48"/>
      <c r="AE30" s="46">
        <f t="shared" si="12"/>
        <v>39.81813738638666</v>
      </c>
      <c r="AF30" s="46">
        <f t="shared" si="13"/>
        <v>-258.21553989456902</v>
      </c>
      <c r="AG30" s="47">
        <f t="shared" si="14"/>
        <v>85154.788571100653</v>
      </c>
      <c r="AH30" s="45" t="str">
        <f t="shared" si="18"/>
        <v>-258.21554,39.81814,85155</v>
      </c>
      <c r="AI30" s="44">
        <f t="shared" si="20"/>
        <v>170.89197565031813</v>
      </c>
    </row>
    <row r="31" spans="1:35" ht="18" customHeight="1" x14ac:dyDescent="0.25">
      <c r="A31" s="36">
        <f t="shared" si="15"/>
        <v>0.73982641203703714</v>
      </c>
      <c r="B31" s="42">
        <f t="shared" si="0"/>
        <v>39.840524676390608</v>
      </c>
      <c r="C31" s="43">
        <f t="shared" si="1"/>
        <v>101.86118466719843</v>
      </c>
      <c r="D31" s="18">
        <f t="shared" si="2"/>
        <v>85.147153914160299</v>
      </c>
      <c r="E31" s="21" t="str">
        <f t="shared" si="3"/>
        <v>Umbra</v>
      </c>
      <c r="F31" s="23">
        <f>IF($E31&lt;&gt;"Umbra",fracil2($S$2,$S$3,$S$4,$A31,$Q$2,$O$3,$Q$4,$U31,$V31,$W31),0)</f>
        <v>0</v>
      </c>
      <c r="G31" s="19">
        <f t="shared" si="4"/>
        <v>73.622024513071565</v>
      </c>
      <c r="H31" s="19">
        <f t="shared" si="5"/>
        <v>21.174517852640989</v>
      </c>
      <c r="I31" s="19">
        <f t="shared" si="6"/>
        <v>22.382535802035886</v>
      </c>
      <c r="J31" s="28">
        <f t="shared" si="7"/>
        <v>0.74191749008740659</v>
      </c>
      <c r="K31" s="24">
        <f t="shared" si="8"/>
        <v>222.09126222706055</v>
      </c>
      <c r="L31" s="32">
        <f t="shared" si="9"/>
        <v>0.48387680462262977</v>
      </c>
      <c r="M31" s="35">
        <f t="shared" si="10"/>
        <v>25.708831942925933</v>
      </c>
      <c r="O31" s="29">
        <f t="shared" si="11"/>
        <v>203.89342061281417</v>
      </c>
      <c r="P31" s="44"/>
      <c r="T31" s="48">
        <v>0.73982641203703714</v>
      </c>
      <c r="U31" s="29">
        <v>-348.92677264472712</v>
      </c>
      <c r="V31" s="29">
        <v>4957.1826458746891</v>
      </c>
      <c r="W31" s="29">
        <v>4118.9538759545421</v>
      </c>
      <c r="X31" s="4">
        <v>-6.8617993891750437</v>
      </c>
      <c r="Y31" s="4">
        <v>-2.0984075136545837</v>
      </c>
      <c r="Z31" s="4">
        <v>1.9186516553284414</v>
      </c>
      <c r="AA31" s="3">
        <f t="shared" si="16"/>
        <v>7.4275722228154457</v>
      </c>
      <c r="AB31" s="3">
        <f t="shared" si="19"/>
        <v>1.6883827789301005</v>
      </c>
      <c r="AC31" s="3">
        <f t="shared" si="17"/>
        <v>7.0884068781904928</v>
      </c>
      <c r="AD31" s="48"/>
      <c r="AE31" s="46">
        <f t="shared" si="12"/>
        <v>39.840524676390608</v>
      </c>
      <c r="AF31" s="46">
        <f t="shared" si="13"/>
        <v>-258.13881533280158</v>
      </c>
      <c r="AG31" s="47">
        <f t="shared" si="14"/>
        <v>85147.153914160299</v>
      </c>
      <c r="AH31" s="45" t="str">
        <f t="shared" si="18"/>
        <v>-258.13882,39.84052,85147</v>
      </c>
      <c r="AI31" s="44">
        <f t="shared" si="20"/>
        <v>177.900681561803</v>
      </c>
    </row>
    <row r="32" spans="1:35" ht="18" customHeight="1" x14ac:dyDescent="0.25">
      <c r="A32" s="36">
        <f t="shared" si="15"/>
        <v>0.73983796296296289</v>
      </c>
      <c r="B32" s="42">
        <f t="shared" si="0"/>
        <v>39.862700606380791</v>
      </c>
      <c r="C32" s="43">
        <f t="shared" si="1"/>
        <v>101.9374296684241</v>
      </c>
      <c r="D32" s="18">
        <f t="shared" si="2"/>
        <v>85.138538919558414</v>
      </c>
      <c r="E32" s="21" t="str">
        <f t="shared" si="3"/>
        <v>Umbra</v>
      </c>
      <c r="F32" s="23">
        <f>IF($E32&lt;&gt;"Umbra",fracil2($S$2,$S$3,$S$4,$A32,$Q$2,$O$3,$Q$4,$U32,$V32,$W32),0)</f>
        <v>0</v>
      </c>
      <c r="G32" s="19">
        <f t="shared" si="4"/>
        <v>73.431707629951006</v>
      </c>
      <c r="H32" s="19">
        <f t="shared" si="5"/>
        <v>20.480607787541267</v>
      </c>
      <c r="I32" s="19">
        <f t="shared" si="6"/>
        <v>21.688625736936164</v>
      </c>
      <c r="J32" s="28">
        <f t="shared" si="7"/>
        <v>0.70091578537928434</v>
      </c>
      <c r="K32" s="24">
        <f t="shared" si="8"/>
        <v>228.5726397439571</v>
      </c>
      <c r="L32" s="32">
        <f t="shared" si="9"/>
        <v>0.48595941417105731</v>
      </c>
      <c r="M32" s="35">
        <f t="shared" si="10"/>
        <v>25.46194131174353</v>
      </c>
      <c r="O32" s="29">
        <f t="shared" si="11"/>
        <v>210.81855533643918</v>
      </c>
      <c r="P32" s="44"/>
      <c r="T32" s="48">
        <v>0.73983796296296289</v>
      </c>
      <c r="U32" s="29">
        <v>-355.76886138309038</v>
      </c>
      <c r="V32" s="29">
        <v>4955.0866338621454</v>
      </c>
      <c r="W32" s="29">
        <v>4120.8639263433724</v>
      </c>
      <c r="X32" s="4">
        <v>-6.8461640941487829</v>
      </c>
      <c r="Y32" s="4">
        <v>-2.1009005881233382</v>
      </c>
      <c r="Z32" s="4">
        <v>1.9080917500865824</v>
      </c>
      <c r="AA32" s="3">
        <f t="shared" si="16"/>
        <v>7.4111105923429239</v>
      </c>
      <c r="AB32" s="3">
        <f t="shared" si="19"/>
        <v>1.6827857903165107</v>
      </c>
      <c r="AC32" s="3">
        <f t="shared" si="17"/>
        <v>7.071938483525817</v>
      </c>
      <c r="AD32" s="48"/>
      <c r="AE32" s="46">
        <f t="shared" si="12"/>
        <v>39.862700606380791</v>
      </c>
      <c r="AF32" s="46">
        <f t="shared" si="13"/>
        <v>-258.0625703315759</v>
      </c>
      <c r="AG32" s="47">
        <f t="shared" si="14"/>
        <v>85138.538919558414</v>
      </c>
      <c r="AH32" s="45" t="str">
        <f t="shared" si="18"/>
        <v>-258.06257,39.86270,85139</v>
      </c>
      <c r="AI32" s="44">
        <f t="shared" si="20"/>
        <v>184.86078774984179</v>
      </c>
    </row>
    <row r="33" spans="1:35" ht="18" customHeight="1" x14ac:dyDescent="0.25">
      <c r="A33" s="36">
        <f t="shared" si="15"/>
        <v>0.7398495254629629</v>
      </c>
      <c r="B33" s="42">
        <f t="shared" si="0"/>
        <v>39.884778846029725</v>
      </c>
      <c r="C33" s="43">
        <f t="shared" si="1"/>
        <v>102.01357903004875</v>
      </c>
      <c r="D33" s="18">
        <f t="shared" si="2"/>
        <v>85.128870927055686</v>
      </c>
      <c r="E33" s="21" t="str">
        <f t="shared" si="3"/>
        <v>Umbra</v>
      </c>
      <c r="F33" s="23">
        <f>IF($E33&lt;&gt;"Umbra",fracil2($S$2,$S$3,$S$4,$A33,$Q$2,$O$3,$Q$4,$U33,$V33,$W33),0)</f>
        <v>0</v>
      </c>
      <c r="G33" s="19">
        <f t="shared" si="4"/>
        <v>73.25397981506751</v>
      </c>
      <c r="H33" s="19">
        <f t="shared" si="5"/>
        <v>19.82411414449151</v>
      </c>
      <c r="I33" s="19">
        <f t="shared" si="6"/>
        <v>21.032132093886407</v>
      </c>
      <c r="J33" s="28">
        <f t="shared" si="7"/>
        <v>0.6632128720565601</v>
      </c>
      <c r="K33" s="24">
        <f t="shared" si="8"/>
        <v>235.07196873001419</v>
      </c>
      <c r="L33" s="32">
        <f t="shared" si="9"/>
        <v>0.48792078498889335</v>
      </c>
      <c r="M33" s="35">
        <f t="shared" si="10"/>
        <v>25.22444138603294</v>
      </c>
      <c r="O33" s="29">
        <f t="shared" si="11"/>
        <v>217.73261828975527</v>
      </c>
      <c r="P33" s="44"/>
      <c r="T33" s="48">
        <v>0.7398495254629629</v>
      </c>
      <c r="U33" s="29">
        <v>-362.59824907573517</v>
      </c>
      <c r="V33" s="29">
        <v>4952.9872456082521</v>
      </c>
      <c r="W33" s="29">
        <v>4122.7642501359242</v>
      </c>
      <c r="X33" s="4">
        <v>-6.8305645872598504</v>
      </c>
      <c r="Y33" s="4">
        <v>-2.1033922971992327</v>
      </c>
      <c r="Z33" s="4">
        <v>1.8975539356721893</v>
      </c>
      <c r="AA33" s="3">
        <f t="shared" si="16"/>
        <v>7.3946996338884787</v>
      </c>
      <c r="AB33" s="3">
        <f t="shared" si="19"/>
        <v>1.675920197916362</v>
      </c>
      <c r="AC33" s="3">
        <f t="shared" si="17"/>
        <v>7.0555208441385009</v>
      </c>
      <c r="AD33" s="48"/>
      <c r="AE33" s="46">
        <f t="shared" si="12"/>
        <v>39.884778846029725</v>
      </c>
      <c r="AF33" s="46">
        <f t="shared" si="13"/>
        <v>-257.98642096995127</v>
      </c>
      <c r="AG33" s="47">
        <f t="shared" si="14"/>
        <v>85128.870927055686</v>
      </c>
      <c r="AH33" s="45" t="str">
        <f t="shared" si="18"/>
        <v>-257.98642,39.88478,85129</v>
      </c>
      <c r="AI33" s="44">
        <f t="shared" si="20"/>
        <v>191.80745382234548</v>
      </c>
    </row>
    <row r="34" spans="1:35" ht="18" customHeight="1" x14ac:dyDescent="0.25">
      <c r="A34" s="36">
        <f t="shared" si="15"/>
        <v>0.73986113425925926</v>
      </c>
      <c r="B34" s="42">
        <f t="shared" si="0"/>
        <v>39.906851904858947</v>
      </c>
      <c r="C34" s="43">
        <f t="shared" si="1"/>
        <v>102.08995725145353</v>
      </c>
      <c r="D34" s="18">
        <f t="shared" si="2"/>
        <v>85.118065964419657</v>
      </c>
      <c r="E34" s="21" t="str">
        <f t="shared" si="3"/>
        <v>Umbra</v>
      </c>
      <c r="F34" s="23">
        <f>IF($E34&lt;&gt;"Umbra",fracil2($S$2,$S$3,$S$4,$A34,$Q$2,$O$3,$Q$4,$U34,$V34,$W34),0)</f>
        <v>0</v>
      </c>
      <c r="G34" s="19">
        <f t="shared" si="4"/>
        <v>73.087002116062166</v>
      </c>
      <c r="H34" s="19">
        <f t="shared" si="5"/>
        <v>19.199506475628848</v>
      </c>
      <c r="I34" s="19">
        <f t="shared" si="6"/>
        <v>20.407524425023745</v>
      </c>
      <c r="J34" s="28">
        <f t="shared" si="7"/>
        <v>0.62834086519677801</v>
      </c>
      <c r="K34" s="24">
        <f t="shared" si="8"/>
        <v>241.61443201128583</v>
      </c>
      <c r="L34" s="32">
        <f t="shared" si="9"/>
        <v>0.48977872684065576</v>
      </c>
      <c r="M34" s="35">
        <f t="shared" si="10"/>
        <v>24.994917331628585</v>
      </c>
      <c r="O34" s="29">
        <f t="shared" si="11"/>
        <v>224.66481990067544</v>
      </c>
      <c r="P34" s="44"/>
      <c r="T34" s="48">
        <v>0.73986113425925926</v>
      </c>
      <c r="U34" s="29">
        <v>-369.44357776173251</v>
      </c>
      <c r="V34" s="29">
        <v>4950.8756366835905</v>
      </c>
      <c r="W34" s="29">
        <v>4124.6627849781144</v>
      </c>
      <c r="X34" s="4">
        <v>-6.814932865572775</v>
      </c>
      <c r="Y34" s="4">
        <v>-2.1058922875794224</v>
      </c>
      <c r="Z34" s="4">
        <v>1.8869932438014416</v>
      </c>
      <c r="AA34" s="3">
        <f t="shared" si="16"/>
        <v>7.3782678042547856</v>
      </c>
      <c r="AB34" s="3">
        <f t="shared" si="19"/>
        <v>1.6713527040639871</v>
      </c>
      <c r="AC34" s="3">
        <f t="shared" si="17"/>
        <v>7.0390823916685132</v>
      </c>
      <c r="AD34" s="48"/>
      <c r="AE34" s="46">
        <f t="shared" si="12"/>
        <v>39.906851904858947</v>
      </c>
      <c r="AF34" s="46">
        <f t="shared" si="13"/>
        <v>-257.91004274854646</v>
      </c>
      <c r="AG34" s="47">
        <f t="shared" si="14"/>
        <v>85118.065964419657</v>
      </c>
      <c r="AH34" s="45" t="str">
        <f t="shared" si="18"/>
        <v>-257.91004,39.90685,85118</v>
      </c>
      <c r="AI34" s="44">
        <f t="shared" si="20"/>
        <v>198.77022666495606</v>
      </c>
    </row>
    <row r="35" spans="1:35" ht="18" customHeight="1" x14ac:dyDescent="0.25">
      <c r="A35" s="36">
        <f t="shared" si="15"/>
        <v>0.73987269675925926</v>
      </c>
      <c r="B35" s="42">
        <f t="shared" si="0"/>
        <v>39.928717406169241</v>
      </c>
      <c r="C35" s="43">
        <f t="shared" si="1"/>
        <v>102.16585755171245</v>
      </c>
      <c r="D35" s="18">
        <f t="shared" si="2"/>
        <v>85.106188374306839</v>
      </c>
      <c r="E35" s="21" t="str">
        <f t="shared" si="3"/>
        <v>Umbra</v>
      </c>
      <c r="F35" s="23">
        <f>IF($E35&lt;&gt;"Umbra",fracil2($S$2,$S$3,$S$4,$A35,$Q$2,$O$3,$Q$4,$U35,$V35,$W35),0)</f>
        <v>0</v>
      </c>
      <c r="G35" s="19">
        <f t="shared" si="4"/>
        <v>72.931216431855034</v>
      </c>
      <c r="H35" s="19">
        <f t="shared" si="5"/>
        <v>18.609852976753054</v>
      </c>
      <c r="I35" s="19">
        <f t="shared" si="6"/>
        <v>19.81787092614795</v>
      </c>
      <c r="J35" s="28">
        <f t="shared" si="7"/>
        <v>0.59632868726458887</v>
      </c>
      <c r="K35" s="24">
        <f t="shared" si="8"/>
        <v>248.13715269102238</v>
      </c>
      <c r="L35" s="32">
        <f t="shared" si="9"/>
        <v>0.49152544646036983</v>
      </c>
      <c r="M35" s="35">
        <f t="shared" si="10"/>
        <v>24.775085649453107</v>
      </c>
      <c r="O35" s="29">
        <f t="shared" si="11"/>
        <v>231.55089105532289</v>
      </c>
      <c r="P35" s="44"/>
      <c r="T35" s="48">
        <v>0.73987269675925926</v>
      </c>
      <c r="U35" s="29">
        <v>-376.24198078627364</v>
      </c>
      <c r="V35" s="29">
        <v>4948.771215082731</v>
      </c>
      <c r="W35" s="29">
        <v>4126.5421094249359</v>
      </c>
      <c r="X35" s="4">
        <v>-6.7994098305002062</v>
      </c>
      <c r="Y35" s="4">
        <v>-2.108376757209169</v>
      </c>
      <c r="Z35" s="4">
        <v>1.8765058673014572</v>
      </c>
      <c r="AA35" s="3">
        <f t="shared" si="16"/>
        <v>7.361963112068648</v>
      </c>
      <c r="AB35" s="3">
        <f t="shared" si="19"/>
        <v>1.6650541817140447</v>
      </c>
      <c r="AC35" s="3">
        <f t="shared" si="17"/>
        <v>7.0227711978839222</v>
      </c>
      <c r="AD35" s="48"/>
      <c r="AE35" s="46">
        <f t="shared" si="12"/>
        <v>39.928717406169241</v>
      </c>
      <c r="AF35" s="46">
        <f t="shared" si="13"/>
        <v>-257.83414244828754</v>
      </c>
      <c r="AG35" s="47">
        <f t="shared" si="14"/>
        <v>85106.188374306832</v>
      </c>
      <c r="AH35" s="45" t="str">
        <f t="shared" si="18"/>
        <v>-257.83414,39.92872,85106</v>
      </c>
      <c r="AI35" s="44">
        <f t="shared" si="20"/>
        <v>205.68476978842443</v>
      </c>
    </row>
    <row r="36" spans="1:35" ht="18" customHeight="1" x14ac:dyDescent="0.25">
      <c r="A36" s="36">
        <f t="shared" si="15"/>
        <v>0.73988424768518524</v>
      </c>
      <c r="B36" s="42">
        <f t="shared" si="0"/>
        <v>39.950457897650153</v>
      </c>
      <c r="C36" s="43">
        <f t="shared" si="1"/>
        <v>102.24156601066684</v>
      </c>
      <c r="D36" s="18">
        <f t="shared" si="2"/>
        <v>85.093168780636006</v>
      </c>
      <c r="E36" s="21" t="str">
        <f t="shared" si="3"/>
        <v>Umbra</v>
      </c>
      <c r="F36" s="23">
        <f>IF($E36&lt;&gt;"Umbra",fracil2($S$2,$S$3,$S$4,$A36,$Q$2,$O$3,$Q$4,$U36,$V36,$W36),0)</f>
        <v>0</v>
      </c>
      <c r="G36" s="19">
        <f t="shared" si="4"/>
        <v>72.78504255519988</v>
      </c>
      <c r="H36" s="19">
        <f t="shared" si="5"/>
        <v>18.050237186726793</v>
      </c>
      <c r="I36" s="19">
        <f t="shared" si="6"/>
        <v>19.25825513612169</v>
      </c>
      <c r="J36" s="28">
        <f t="shared" si="7"/>
        <v>0.5667749101264854</v>
      </c>
      <c r="K36" s="24">
        <f t="shared" si="8"/>
        <v>254.6623986130098</v>
      </c>
      <c r="L36" s="32">
        <f t="shared" si="9"/>
        <v>0.49317661805654794</v>
      </c>
      <c r="M36" s="35">
        <f t="shared" si="10"/>
        <v>24.563606314979573</v>
      </c>
      <c r="O36" s="29">
        <f t="shared" si="11"/>
        <v>238.41664520884973</v>
      </c>
      <c r="P36" s="44"/>
      <c r="T36" s="48">
        <v>0.73988424768518524</v>
      </c>
      <c r="U36" s="29">
        <v>-383.01887419848322</v>
      </c>
      <c r="V36" s="29">
        <v>4946.6661889480538</v>
      </c>
      <c r="W36" s="29">
        <v>4128.4093150798035</v>
      </c>
      <c r="X36" s="4">
        <v>-6.783934748659787</v>
      </c>
      <c r="Y36" s="4">
        <v>-2.1108541235719485</v>
      </c>
      <c r="Z36" s="4">
        <v>1.8660517925147995</v>
      </c>
      <c r="AA36" s="3">
        <f t="shared" si="16"/>
        <v>7.3457215504960516</v>
      </c>
      <c r="AB36" s="3">
        <f t="shared" si="19"/>
        <v>1.6602616360427895</v>
      </c>
      <c r="AC36" s="3">
        <f t="shared" si="17"/>
        <v>7.0065232333320253</v>
      </c>
      <c r="AD36" s="48"/>
      <c r="AE36" s="46">
        <f t="shared" si="12"/>
        <v>39.950457897650153</v>
      </c>
      <c r="AF36" s="46">
        <f t="shared" si="13"/>
        <v>-257.75843398933318</v>
      </c>
      <c r="AG36" s="47">
        <f t="shared" si="14"/>
        <v>85093.168780636013</v>
      </c>
      <c r="AH36" s="45" t="str">
        <f t="shared" si="18"/>
        <v>-257.75843,39.95046,85093</v>
      </c>
      <c r="AI36" s="44">
        <f t="shared" si="20"/>
        <v>212.57718748640144</v>
      </c>
    </row>
    <row r="37" spans="1:35" ht="18" customHeight="1" x14ac:dyDescent="0.25">
      <c r="A37" s="36">
        <f t="shared" si="15"/>
        <v>0.73989583333333331</v>
      </c>
      <c r="B37" s="42">
        <f t="shared" si="0"/>
        <v>39.972162500155534</v>
      </c>
      <c r="C37" s="43">
        <f t="shared" si="1"/>
        <v>102.31739276232292</v>
      </c>
      <c r="D37" s="18">
        <f t="shared" si="2"/>
        <v>85.078915507119746</v>
      </c>
      <c r="E37" s="21" t="str">
        <f t="shared" si="3"/>
        <v>Umbra</v>
      </c>
      <c r="F37" s="23">
        <f>IF($E37&lt;&gt;"Umbra",fracil2($S$2,$S$3,$S$4,$A37,$Q$2,$O$3,$Q$4,$U37,$V37,$W37),0)</f>
        <v>0</v>
      </c>
      <c r="G37" s="19">
        <f t="shared" si="4"/>
        <v>72.647088768186237</v>
      </c>
      <c r="H37" s="19">
        <f t="shared" si="5"/>
        <v>17.516250607488807</v>
      </c>
      <c r="I37" s="19">
        <f t="shared" si="6"/>
        <v>18.724268556883704</v>
      </c>
      <c r="J37" s="28">
        <f t="shared" si="7"/>
        <v>0.53933570002409703</v>
      </c>
      <c r="K37" s="24">
        <f t="shared" si="8"/>
        <v>261.21505612181892</v>
      </c>
      <c r="L37" s="32">
        <f t="shared" si="9"/>
        <v>0.49474618477045279</v>
      </c>
      <c r="M37" s="35">
        <f t="shared" si="10"/>
        <v>24.359223956078523</v>
      </c>
      <c r="O37" s="29">
        <f t="shared" si="11"/>
        <v>245.29007478618746</v>
      </c>
      <c r="P37" s="44"/>
      <c r="T37" s="48">
        <v>0.73989583333333331</v>
      </c>
      <c r="U37" s="29">
        <v>-389.80199361964401</v>
      </c>
      <c r="V37" s="29">
        <v>4944.5519333344091</v>
      </c>
      <c r="W37" s="29">
        <v>4130.2720368724149</v>
      </c>
      <c r="X37" s="4">
        <v>-6.7684415100564514</v>
      </c>
      <c r="Y37" s="4">
        <v>-2.1133336380696619</v>
      </c>
      <c r="Z37" s="4">
        <v>1.8555874166688013</v>
      </c>
      <c r="AA37" s="3">
        <f t="shared" si="16"/>
        <v>7.3294736647150591</v>
      </c>
      <c r="AB37" s="3">
        <f t="shared" si="19"/>
        <v>1.6559224734805156</v>
      </c>
      <c r="AC37" s="3">
        <f t="shared" si="17"/>
        <v>6.9902690195814081</v>
      </c>
      <c r="AD37" s="48"/>
      <c r="AE37" s="46">
        <f t="shared" si="12"/>
        <v>39.972162500155534</v>
      </c>
      <c r="AF37" s="46">
        <f t="shared" si="13"/>
        <v>-257.68260723767708</v>
      </c>
      <c r="AG37" s="47">
        <f t="shared" si="14"/>
        <v>85078.915507119746</v>
      </c>
      <c r="AH37" s="45" t="str">
        <f t="shared" si="18"/>
        <v>-257.68261,39.97216,85079</v>
      </c>
      <c r="AI37" s="44">
        <f t="shared" si="20"/>
        <v>219.47573080670588</v>
      </c>
    </row>
    <row r="38" spans="1:35" ht="18" customHeight="1" x14ac:dyDescent="0.25">
      <c r="A38" s="36">
        <f t="shared" si="15"/>
        <v>0.73990740740740746</v>
      </c>
      <c r="B38" s="42">
        <f t="shared" si="0"/>
        <v>39.993746524759878</v>
      </c>
      <c r="C38" s="43">
        <f t="shared" si="1"/>
        <v>102.39304180620867</v>
      </c>
      <c r="D38" s="18">
        <f t="shared" si="2"/>
        <v>85.063445632050389</v>
      </c>
      <c r="E38" s="21" t="str">
        <f t="shared" si="3"/>
        <v>Umbra</v>
      </c>
      <c r="F38" s="23">
        <f>IF($E38&lt;&gt;"Umbra",fracil2($S$2,$S$3,$S$4,$A38,$Q$2,$O$3,$Q$4,$U38,$V38,$W38),0)</f>
        <v>0</v>
      </c>
      <c r="G38" s="19">
        <f t="shared" si="4"/>
        <v>72.517192418301192</v>
      </c>
      <c r="H38" s="19">
        <f t="shared" si="5"/>
        <v>17.008065498950963</v>
      </c>
      <c r="I38" s="19">
        <f t="shared" si="6"/>
        <v>18.216083448345859</v>
      </c>
      <c r="J38" s="28">
        <f t="shared" si="7"/>
        <v>0.51392044173982399</v>
      </c>
      <c r="K38" s="24">
        <f t="shared" si="8"/>
        <v>267.76789064474309</v>
      </c>
      <c r="L38" s="32">
        <f t="shared" si="9"/>
        <v>0.4962344631911606</v>
      </c>
      <c r="M38" s="35">
        <f t="shared" si="10"/>
        <v>24.162363223143409</v>
      </c>
      <c r="O38" s="29">
        <f t="shared" si="11"/>
        <v>252.14423160459134</v>
      </c>
      <c r="P38" s="44"/>
      <c r="Q38" s="4"/>
      <c r="T38" s="48">
        <v>0.73990740740740746</v>
      </c>
      <c r="U38" s="29">
        <v>-396.56483185817262</v>
      </c>
      <c r="V38" s="29">
        <v>4942.4366986757523</v>
      </c>
      <c r="W38" s="29">
        <v>4132.122986974292</v>
      </c>
      <c r="X38" s="4">
        <v>-6.752987860569597</v>
      </c>
      <c r="Y38" s="4">
        <v>-2.1158047105007132</v>
      </c>
      <c r="Z38" s="4">
        <v>1.8451528135500859</v>
      </c>
      <c r="AA38" s="3">
        <f t="shared" si="16"/>
        <v>7.3132799429072284</v>
      </c>
      <c r="AB38" s="3">
        <f t="shared" si="19"/>
        <v>1.6520444010729822</v>
      </c>
      <c r="AC38" s="3">
        <f t="shared" si="17"/>
        <v>6.9740690721843803</v>
      </c>
      <c r="AD38" s="48"/>
      <c r="AE38" s="46">
        <f t="shared" si="12"/>
        <v>39.993746524759878</v>
      </c>
      <c r="AF38" s="46">
        <f t="shared" si="13"/>
        <v>-257.60695819379134</v>
      </c>
      <c r="AG38" s="47">
        <f t="shared" si="14"/>
        <v>85063.445632050396</v>
      </c>
      <c r="AH38" s="45" t="str">
        <f t="shared" si="18"/>
        <v>-257.60696,39.99375,85063</v>
      </c>
      <c r="AI38" s="44">
        <f t="shared" si="20"/>
        <v>226.35348556985025</v>
      </c>
    </row>
    <row r="39" spans="1:35" ht="18" customHeight="1" x14ac:dyDescent="0.25">
      <c r="A39" s="36">
        <f t="shared" si="15"/>
        <v>0.73991900462962956</v>
      </c>
      <c r="B39" s="42">
        <f t="shared" si="0"/>
        <v>40.015257900010425</v>
      </c>
      <c r="C39" s="43">
        <f t="shared" si="1"/>
        <v>102.46867666733837</v>
      </c>
      <c r="D39" s="18">
        <f t="shared" si="2"/>
        <v>85.046689602309016</v>
      </c>
      <c r="E39" s="21" t="str">
        <f t="shared" si="3"/>
        <v>Umbra</v>
      </c>
      <c r="F39" s="23">
        <f>IF($E39&lt;&gt;"Umbra",fracil2($S$2,$S$3,$S$4,$A39,$Q$2,$O$3,$Q$4,$U39,$V39,$W39),0)</f>
        <v>0</v>
      </c>
      <c r="G39" s="19">
        <f t="shared" si="4"/>
        <v>72.394402090431043</v>
      </c>
      <c r="H39" s="19">
        <f t="shared" si="5"/>
        <v>16.522775579929629</v>
      </c>
      <c r="I39" s="19">
        <f t="shared" si="6"/>
        <v>17.730793529324526</v>
      </c>
      <c r="J39" s="28">
        <f t="shared" si="7"/>
        <v>0.49029209683557723</v>
      </c>
      <c r="K39" s="24">
        <f t="shared" si="8"/>
        <v>274.33355962860156</v>
      </c>
      <c r="L39" s="32">
        <f t="shared" si="9"/>
        <v>0.49765076091446409</v>
      </c>
      <c r="M39" s="35">
        <f t="shared" si="10"/>
        <v>23.972239414392156</v>
      </c>
      <c r="O39" s="29">
        <f t="shared" si="11"/>
        <v>258.99386936100552</v>
      </c>
      <c r="P39" s="44"/>
      <c r="Q39" s="4"/>
      <c r="T39" s="48">
        <v>0.73991900462962956</v>
      </c>
      <c r="U39" s="29">
        <v>-403.32232115816424</v>
      </c>
      <c r="V39" s="29">
        <v>4940.3158215837939</v>
      </c>
      <c r="W39" s="29">
        <v>4133.9662594254523</v>
      </c>
      <c r="X39" s="4">
        <v>-6.7375367983602539</v>
      </c>
      <c r="Y39" s="4">
        <v>-2.1182718607857574</v>
      </c>
      <c r="Z39" s="4">
        <v>1.8347241052568348</v>
      </c>
      <c r="AA39" s="3">
        <f t="shared" si="16"/>
        <v>7.2971015018201433</v>
      </c>
      <c r="AB39" s="3">
        <f t="shared" si="19"/>
        <v>1.6471824445074859</v>
      </c>
      <c r="AC39" s="3">
        <f t="shared" si="17"/>
        <v>6.9578844965916034</v>
      </c>
      <c r="AD39" s="48"/>
      <c r="AE39" s="46">
        <f t="shared" si="12"/>
        <v>40.015257900010425</v>
      </c>
      <c r="AF39" s="46">
        <f t="shared" si="13"/>
        <v>-257.5313233326616</v>
      </c>
      <c r="AG39" s="47">
        <f t="shared" si="14"/>
        <v>85046.689602309023</v>
      </c>
      <c r="AH39" s="45" t="str">
        <f t="shared" si="18"/>
        <v>-257.53132,40.01526,85047</v>
      </c>
      <c r="AI39" s="44">
        <f t="shared" si="20"/>
        <v>233.2253869450108</v>
      </c>
    </row>
    <row r="40" spans="1:35" ht="18" customHeight="1" x14ac:dyDescent="0.25">
      <c r="A40" s="36">
        <f t="shared" si="15"/>
        <v>0.7399305439814815</v>
      </c>
      <c r="B40" s="42">
        <f t="shared" si="0"/>
        <v>40.036564836053529</v>
      </c>
      <c r="C40" s="43">
        <f t="shared" si="1"/>
        <v>102.5438348081958</v>
      </c>
      <c r="D40" s="18">
        <f t="shared" si="2"/>
        <v>85.028723339379212</v>
      </c>
      <c r="E40" s="21" t="str">
        <f t="shared" si="3"/>
        <v>Umbra</v>
      </c>
      <c r="F40" s="23">
        <f>IF($E40&lt;&gt;"Umbra",fracil2($S$2,$S$3,$S$4,$A40,$Q$2,$O$3,$Q$4,$U40,$V40,$W40),0)</f>
        <v>0</v>
      </c>
      <c r="G40" s="19">
        <f t="shared" si="4"/>
        <v>72.278876029390673</v>
      </c>
      <c r="H40" s="19">
        <f t="shared" si="5"/>
        <v>16.06158523395003</v>
      </c>
      <c r="I40" s="19">
        <f t="shared" si="6"/>
        <v>17.269603183344927</v>
      </c>
      <c r="J40" s="28">
        <f t="shared" si="7"/>
        <v>0.46842379548424101</v>
      </c>
      <c r="K40" s="24">
        <f t="shared" si="8"/>
        <v>280.8704255332857</v>
      </c>
      <c r="L40" s="32">
        <f t="shared" si="9"/>
        <v>0.49899220274167927</v>
      </c>
      <c r="M40" s="35">
        <f t="shared" si="10"/>
        <v>23.78960327818827</v>
      </c>
      <c r="O40" s="29">
        <f t="shared" si="11"/>
        <v>265.79701251721434</v>
      </c>
      <c r="P40" s="44"/>
      <c r="Q40" s="4"/>
      <c r="S40" s="20"/>
      <c r="T40" s="48">
        <v>0.7399305439814815</v>
      </c>
      <c r="U40" s="29">
        <v>-410.0328735224553</v>
      </c>
      <c r="V40" s="29">
        <v>4938.2024051955295</v>
      </c>
      <c r="W40" s="29">
        <v>4135.7905540882466</v>
      </c>
      <c r="X40" s="4">
        <v>-6.7221805796279162</v>
      </c>
      <c r="Y40" s="4">
        <v>-2.1207189706939449</v>
      </c>
      <c r="Z40" s="4">
        <v>1.8243646514074445</v>
      </c>
      <c r="AA40" s="3">
        <f t="shared" si="16"/>
        <v>7.2810347533226967</v>
      </c>
      <c r="AB40" s="3">
        <f t="shared" si="19"/>
        <v>1.6440052600201305</v>
      </c>
      <c r="AC40" s="3">
        <f t="shared" si="17"/>
        <v>6.9418117443584606</v>
      </c>
      <c r="AD40" s="48"/>
      <c r="AE40" s="46">
        <f t="shared" si="12"/>
        <v>40.036564836053529</v>
      </c>
      <c r="AF40" s="46">
        <f t="shared" si="13"/>
        <v>-257.45616519180419</v>
      </c>
      <c r="AG40" s="47">
        <f t="shared" si="14"/>
        <v>85028.723339379212</v>
      </c>
      <c r="AH40" s="45" t="str">
        <f t="shared" si="18"/>
        <v>-257.45617,40.03656,85029</v>
      </c>
      <c r="AI40" s="44">
        <f t="shared" si="20"/>
        <v>240.04943104526663</v>
      </c>
    </row>
    <row r="41" spans="1:35" ht="18" customHeight="1" x14ac:dyDescent="0.25">
      <c r="A41" s="36">
        <f t="shared" si="15"/>
        <v>0.73994214120370361</v>
      </c>
      <c r="B41" s="42">
        <f t="shared" si="0"/>
        <v>40.057867299290933</v>
      </c>
      <c r="C41" s="43">
        <f t="shared" si="1"/>
        <v>102.61921738863775</v>
      </c>
      <c r="D41" s="18">
        <f t="shared" si="2"/>
        <v>85.009345236935587</v>
      </c>
      <c r="E41" s="21" t="str">
        <f t="shared" si="3"/>
        <v>Umbra</v>
      </c>
      <c r="F41" s="23">
        <f>IF($E41&lt;&gt;"Umbra",fracil2($S$2,$S$3,$S$4,$A41,$Q$2,$O$3,$Q$4,$U41,$V41,$W41),0)</f>
        <v>0</v>
      </c>
      <c r="G41" s="19">
        <f t="shared" si="4"/>
        <v>72.168993573308825</v>
      </c>
      <c r="H41" s="19">
        <f t="shared" si="5"/>
        <v>15.618671610238392</v>
      </c>
      <c r="I41" s="19">
        <f t="shared" si="6"/>
        <v>16.826689559633287</v>
      </c>
      <c r="J41" s="28">
        <f t="shared" si="7"/>
        <v>0.44796462360234041</v>
      </c>
      <c r="K41" s="24">
        <f t="shared" si="8"/>
        <v>287.43822869702308</v>
      </c>
      <c r="L41" s="32">
        <f t="shared" si="9"/>
        <v>0.5002763575086584</v>
      </c>
      <c r="M41" s="35">
        <f t="shared" si="10"/>
        <v>23.61241719501453</v>
      </c>
      <c r="O41" s="29">
        <f t="shared" si="11"/>
        <v>272.61708976283762</v>
      </c>
      <c r="P41" s="44"/>
      <c r="S41" s="3"/>
      <c r="T41" s="48">
        <v>0.73994214120370361</v>
      </c>
      <c r="U41" s="29">
        <v>-416.75936185296331</v>
      </c>
      <c r="V41" s="29">
        <v>4936.0766643548704</v>
      </c>
      <c r="W41" s="29">
        <v>4137.6129778765999</v>
      </c>
      <c r="X41" s="4">
        <v>-6.7067723818905947</v>
      </c>
      <c r="Y41" s="4">
        <v>-2.1231679963228371</v>
      </c>
      <c r="Z41" s="4">
        <v>1.8139765449021226</v>
      </c>
      <c r="AA41" s="3">
        <f t="shared" si="16"/>
        <v>7.2649259479058017</v>
      </c>
      <c r="AB41" s="3">
        <f t="shared" si="19"/>
        <v>1.6400741523141846</v>
      </c>
      <c r="AC41" s="3">
        <f t="shared" si="17"/>
        <v>6.9256970120867569</v>
      </c>
      <c r="AD41" s="48"/>
      <c r="AE41" s="46">
        <f t="shared" si="12"/>
        <v>40.057867299290933</v>
      </c>
      <c r="AF41" s="46">
        <f t="shared" si="13"/>
        <v>-257.38078261136224</v>
      </c>
      <c r="AG41" s="47">
        <f t="shared" si="14"/>
        <v>85009.345236935595</v>
      </c>
      <c r="AH41" s="45" t="str">
        <f t="shared" si="18"/>
        <v>-257.38078,40.05787,85009</v>
      </c>
      <c r="AI41" s="44">
        <f t="shared" si="20"/>
        <v>246.88934702783453</v>
      </c>
    </row>
    <row r="42" spans="1:35" ht="18" customHeight="1" x14ac:dyDescent="0.25">
      <c r="A42" s="36">
        <f t="shared" si="15"/>
        <v>0.7399537268518519</v>
      </c>
      <c r="B42" s="42">
        <f t="shared" si="0"/>
        <v>40.079062285163637</v>
      </c>
      <c r="C42" s="43">
        <f t="shared" si="1"/>
        <v>102.69446499684213</v>
      </c>
      <c r="D42" s="18">
        <f t="shared" si="2"/>
        <v>84.988606583000546</v>
      </c>
      <c r="E42" s="21" t="str">
        <f t="shared" si="3"/>
        <v>Umbra</v>
      </c>
      <c r="F42" s="23">
        <f>IF($E42&lt;&gt;"Umbra",fracil2($S$2,$S$3,$S$4,$A42,$Q$2,$O$3,$Q$4,$U42,$V42,$W42),0)</f>
        <v>0</v>
      </c>
      <c r="G42" s="19">
        <f t="shared" si="4"/>
        <v>72.064877779050732</v>
      </c>
      <c r="H42" s="19">
        <f t="shared" si="5"/>
        <v>15.194893920403143</v>
      </c>
      <c r="I42" s="19">
        <f t="shared" si="6"/>
        <v>16.402911869798039</v>
      </c>
      <c r="J42" s="28">
        <f t="shared" si="7"/>
        <v>0.4288908386047276</v>
      </c>
      <c r="K42" s="24">
        <f t="shared" si="8"/>
        <v>294.00454350558994</v>
      </c>
      <c r="L42" s="32">
        <f t="shared" si="9"/>
        <v>0.50150116817493806</v>
      </c>
      <c r="M42" s="35">
        <f t="shared" si="10"/>
        <v>23.441215327672751</v>
      </c>
      <c r="O42" s="29">
        <f t="shared" si="11"/>
        <v>279.42146632076089</v>
      </c>
      <c r="P42" s="44"/>
      <c r="S42" s="3"/>
      <c r="T42" s="48">
        <v>0.7399537268518519</v>
      </c>
      <c r="U42" s="29">
        <v>-423.4692730803983</v>
      </c>
      <c r="V42" s="29">
        <v>4933.9488406040291</v>
      </c>
      <c r="W42" s="29">
        <v>4139.4246945429923</v>
      </c>
      <c r="X42" s="4">
        <v>-6.6913835610279007</v>
      </c>
      <c r="Y42" s="4">
        <v>-2.1256060728142314</v>
      </c>
      <c r="Z42" s="4">
        <v>1.8036091091813842</v>
      </c>
      <c r="AA42" s="3">
        <f t="shared" si="16"/>
        <v>7.2488496298586051</v>
      </c>
      <c r="AB42" s="3">
        <f t="shared" si="19"/>
        <v>1.6383918327196674</v>
      </c>
      <c r="AC42" s="3">
        <f t="shared" si="17"/>
        <v>6.9096148757045945</v>
      </c>
      <c r="AD42" s="48"/>
      <c r="AE42" s="46">
        <f t="shared" si="12"/>
        <v>40.079062285163637</v>
      </c>
      <c r="AF42" s="46">
        <f t="shared" si="13"/>
        <v>-257.30553500315784</v>
      </c>
      <c r="AG42" s="47">
        <f t="shared" si="14"/>
        <v>84988.606583000539</v>
      </c>
      <c r="AH42" s="45" t="str">
        <f t="shared" si="18"/>
        <v>-257.30554,40.07906,84989</v>
      </c>
      <c r="AI42" s="44">
        <f t="shared" si="20"/>
        <v>253.71247592373297</v>
      </c>
    </row>
    <row r="43" spans="1:35" ht="18" customHeight="1" x14ac:dyDescent="0.25">
      <c r="A43" s="36">
        <f t="shared" si="15"/>
        <v>0.73996526620370373</v>
      </c>
      <c r="B43" s="42">
        <f t="shared" si="0"/>
        <v>40.100060719677792</v>
      </c>
      <c r="C43" s="43">
        <f t="shared" si="1"/>
        <v>102.76925304506793</v>
      </c>
      <c r="D43" s="18">
        <f t="shared" si="2"/>
        <v>84.966572243084556</v>
      </c>
      <c r="E43" s="21" t="str">
        <f t="shared" si="3"/>
        <v>Umbra</v>
      </c>
      <c r="F43" s="23">
        <f>IF($E43&lt;&gt;"Umbra",fracil2($S$2,$S$3,$S$4,$A43,$Q$2,$O$3,$Q$4,$U43,$V43,$W43),0)</f>
        <v>0</v>
      </c>
      <c r="G43" s="19">
        <f t="shared" si="4"/>
        <v>71.966483724407624</v>
      </c>
      <c r="H43" s="19">
        <f t="shared" si="5"/>
        <v>14.790689610708698</v>
      </c>
      <c r="I43" s="19">
        <f t="shared" si="6"/>
        <v>15.998707560103593</v>
      </c>
      <c r="J43" s="28">
        <f t="shared" si="7"/>
        <v>0.41115776671846127</v>
      </c>
      <c r="K43" s="24">
        <f t="shared" si="8"/>
        <v>300.53998140899012</v>
      </c>
      <c r="L43" s="32">
        <f t="shared" si="9"/>
        <v>0.50266593965441098</v>
      </c>
      <c r="M43" s="35">
        <f t="shared" si="10"/>
        <v>23.276411891009669</v>
      </c>
      <c r="O43" s="29">
        <f t="shared" si="11"/>
        <v>286.18081593046333</v>
      </c>
      <c r="P43" s="44"/>
      <c r="S43" s="3"/>
      <c r="T43" s="48">
        <v>0.73996526620370373</v>
      </c>
      <c r="U43" s="29">
        <v>-430.13418340346408</v>
      </c>
      <c r="V43" s="29">
        <v>4931.8280138791115</v>
      </c>
      <c r="W43" s="29">
        <v>4141.2180866361086</v>
      </c>
      <c r="X43" s="4">
        <v>-6.676076419136173</v>
      </c>
      <c r="Y43" s="4">
        <v>-2.1280218992361033</v>
      </c>
      <c r="Z43" s="4">
        <v>1.7933054409663614</v>
      </c>
      <c r="AA43" s="3">
        <f t="shared" si="16"/>
        <v>7.2328706584850559</v>
      </c>
      <c r="AB43" s="3">
        <f t="shared" si="19"/>
        <v>1.6349941946049664</v>
      </c>
      <c r="AC43" s="3">
        <f t="shared" si="17"/>
        <v>6.893630220891545</v>
      </c>
      <c r="AD43" s="48"/>
      <c r="AE43" s="46">
        <f t="shared" si="12"/>
        <v>40.100060719677792</v>
      </c>
      <c r="AF43" s="46">
        <f t="shared" si="13"/>
        <v>-257.2307469549321</v>
      </c>
      <c r="AG43" s="47">
        <f t="shared" si="14"/>
        <v>84966.572243084549</v>
      </c>
      <c r="AH43" s="45" t="str">
        <f t="shared" si="18"/>
        <v>-257.23075,40.10006,84967</v>
      </c>
      <c r="AI43" s="44">
        <f t="shared" si="20"/>
        <v>260.48950928882476</v>
      </c>
    </row>
    <row r="44" spans="1:35" ht="18" customHeight="1" x14ac:dyDescent="0.25">
      <c r="A44" s="36">
        <f t="shared" si="15"/>
        <v>0.73997684027777788</v>
      </c>
      <c r="B44" s="42">
        <f t="shared" si="0"/>
        <v>40.121000603003395</v>
      </c>
      <c r="C44" s="43">
        <f t="shared" si="1"/>
        <v>102.84406874628563</v>
      </c>
      <c r="D44" s="18">
        <f t="shared" si="2"/>
        <v>84.943070546602939</v>
      </c>
      <c r="E44" s="21" t="str">
        <f t="shared" si="3"/>
        <v>Umbra</v>
      </c>
      <c r="F44" s="23">
        <f>IF($E44&lt;&gt;"Umbra",fracil2($S$2,$S$3,$S$4,$A44,$Q$2,$O$3,$Q$4,$U44,$V44,$W44),0)</f>
        <v>0</v>
      </c>
      <c r="G44" s="19">
        <f t="shared" si="4"/>
        <v>71.872758987248375</v>
      </c>
      <c r="H44" s="19">
        <f t="shared" si="5"/>
        <v>14.402206984898433</v>
      </c>
      <c r="I44" s="19">
        <f t="shared" si="6"/>
        <v>15.610224934293328</v>
      </c>
      <c r="J44" s="28">
        <f t="shared" si="7"/>
        <v>0.39453985244181561</v>
      </c>
      <c r="K44" s="24">
        <f t="shared" si="8"/>
        <v>307.08615838485332</v>
      </c>
      <c r="L44" s="32">
        <f t="shared" si="9"/>
        <v>0.50378223040035131</v>
      </c>
      <c r="M44" s="35">
        <f t="shared" si="10"/>
        <v>23.116629691619597</v>
      </c>
      <c r="O44" s="29">
        <f t="shared" si="11"/>
        <v>292.93916665960177</v>
      </c>
      <c r="P44" s="44"/>
      <c r="Q44" s="4"/>
      <c r="S44" s="3"/>
      <c r="T44" s="48">
        <v>0.73997684027777788</v>
      </c>
      <c r="U44" s="29">
        <v>-436.79772843217921</v>
      </c>
      <c r="V44" s="29">
        <v>4929.7003405270134</v>
      </c>
      <c r="W44" s="29">
        <v>4143.0049316700779</v>
      </c>
      <c r="X44" s="4">
        <v>-6.6607477223879332</v>
      </c>
      <c r="Y44" s="4">
        <v>-2.1304302734940226</v>
      </c>
      <c r="Z44" s="4">
        <v>1.7829972307853847</v>
      </c>
      <c r="AA44" s="3">
        <f t="shared" si="16"/>
        <v>7.2168810781738815</v>
      </c>
      <c r="AB44" s="3">
        <f t="shared" si="19"/>
        <v>1.6311609239532507</v>
      </c>
      <c r="AC44" s="3">
        <f t="shared" si="17"/>
        <v>6.8776350568711546</v>
      </c>
      <c r="AD44" s="48"/>
      <c r="AE44" s="46">
        <f t="shared" si="12"/>
        <v>40.121000603003395</v>
      </c>
      <c r="AF44" s="46">
        <f t="shared" si="13"/>
        <v>-257.15593125371436</v>
      </c>
      <c r="AG44" s="47">
        <f t="shared" si="14"/>
        <v>84943.070546602947</v>
      </c>
      <c r="AH44" s="45" t="str">
        <f t="shared" si="18"/>
        <v>-257.15593,40.12100,84943</v>
      </c>
      <c r="AI44" s="44">
        <f t="shared" si="20"/>
        <v>267.2646697250542</v>
      </c>
    </row>
    <row r="45" spans="1:35" ht="18" customHeight="1" x14ac:dyDescent="0.25">
      <c r="A45" s="36">
        <f t="shared" si="15"/>
        <v>0.73998841435185181</v>
      </c>
      <c r="B45" s="42">
        <f t="shared" si="0"/>
        <v>40.141864259896998</v>
      </c>
      <c r="C45" s="43">
        <f t="shared" si="1"/>
        <v>102.918857770386</v>
      </c>
      <c r="D45" s="18">
        <f t="shared" si="2"/>
        <v>84.918081645053462</v>
      </c>
      <c r="E45" s="21" t="str">
        <f t="shared" si="3"/>
        <v>Umbra</v>
      </c>
      <c r="F45" s="23">
        <f>IF($E45&lt;&gt;"Umbra",fracil2($S$2,$S$3,$S$4,$A45,$Q$2,$O$3,$Q$4,$U45,$V45,$W45),0)</f>
        <v>0</v>
      </c>
      <c r="G45" s="19">
        <f t="shared" si="4"/>
        <v>71.783501513831467</v>
      </c>
      <c r="H45" s="19">
        <f t="shared" si="5"/>
        <v>14.028750414222852</v>
      </c>
      <c r="I45" s="19">
        <f t="shared" si="6"/>
        <v>15.236768363617747</v>
      </c>
      <c r="J45" s="28">
        <f t="shared" si="7"/>
        <v>0.37896015859581733</v>
      </c>
      <c r="K45" s="24">
        <f t="shared" si="8"/>
        <v>313.63742743778772</v>
      </c>
      <c r="L45" s="32">
        <f t="shared" si="9"/>
        <v>0.50485228457162246</v>
      </c>
      <c r="M45" s="35">
        <f t="shared" si="10"/>
        <v>22.961696276542867</v>
      </c>
      <c r="O45" s="29">
        <f t="shared" si="11"/>
        <v>299.69148544229779</v>
      </c>
      <c r="P45" s="44"/>
      <c r="Q45" s="4"/>
      <c r="S45" s="3"/>
      <c r="T45" s="48">
        <v>0.73998841435185181</v>
      </c>
      <c r="U45" s="29">
        <v>-443.45426537982797</v>
      </c>
      <c r="V45" s="29">
        <v>4927.5676016240714</v>
      </c>
      <c r="W45" s="29">
        <v>4144.7836996901015</v>
      </c>
      <c r="X45" s="4">
        <v>-6.6454071890444402</v>
      </c>
      <c r="Y45" s="4">
        <v>-2.1328280598013074</v>
      </c>
      <c r="Z45" s="4">
        <v>1.772692296632628</v>
      </c>
      <c r="AA45" s="3">
        <f t="shared" si="16"/>
        <v>7.2008909323374697</v>
      </c>
      <c r="AB45" s="3">
        <f t="shared" si="19"/>
        <v>1.631207647113095</v>
      </c>
      <c r="AC45" s="3">
        <f t="shared" si="17"/>
        <v>6.8616394346837657</v>
      </c>
      <c r="AD45" s="48"/>
      <c r="AE45" s="46">
        <f t="shared" si="12"/>
        <v>40.141864259896998</v>
      </c>
      <c r="AF45" s="46">
        <f t="shared" si="13"/>
        <v>-257.08114222961399</v>
      </c>
      <c r="AG45" s="47">
        <f t="shared" si="14"/>
        <v>84918.081645053462</v>
      </c>
      <c r="AH45" s="45" t="str">
        <f t="shared" si="18"/>
        <v>-257.08114,40.14186,84918</v>
      </c>
      <c r="AI45" s="44">
        <f t="shared" si="20"/>
        <v>274.03295396093699</v>
      </c>
    </row>
    <row r="46" spans="1:35" ht="18" customHeight="1" x14ac:dyDescent="0.25">
      <c r="A46" s="36">
        <f t="shared" si="15"/>
        <v>0.74000002314814817</v>
      </c>
      <c r="B46" s="42">
        <f t="shared" si="0"/>
        <v>40.162663316345203</v>
      </c>
      <c r="C46" s="43">
        <f t="shared" si="1"/>
        <v>102.99365128730743</v>
      </c>
      <c r="D46" s="18">
        <f t="shared" si="2"/>
        <v>84.891552430301999</v>
      </c>
      <c r="E46" s="21" t="str">
        <f t="shared" si="3"/>
        <v>Umbra</v>
      </c>
      <c r="F46" s="23">
        <f>IF($E46&lt;&gt;"Umbra",fracil2($S$2,$S$3,$S$4,$A46,$Q$2,$O$3,$Q$4,$U46,$V46,$W46),0)</f>
        <v>0</v>
      </c>
      <c r="G46" s="19">
        <f t="shared" si="4"/>
        <v>71.698319177340693</v>
      </c>
      <c r="H46" s="19">
        <f t="shared" si="5"/>
        <v>13.669245801912743</v>
      </c>
      <c r="I46" s="19">
        <f t="shared" si="6"/>
        <v>14.877263751307638</v>
      </c>
      <c r="J46" s="28">
        <f t="shared" si="7"/>
        <v>0.36433004064475394</v>
      </c>
      <c r="K46" s="24">
        <f t="shared" si="8"/>
        <v>320.1958468207132</v>
      </c>
      <c r="L46" s="32">
        <f t="shared" si="9"/>
        <v>0.50587963902483868</v>
      </c>
      <c r="M46" s="35">
        <f t="shared" si="10"/>
        <v>22.811349969759284</v>
      </c>
      <c r="O46" s="29">
        <f t="shared" si="11"/>
        <v>306.44063338716643</v>
      </c>
      <c r="P46" s="44"/>
      <c r="Q46" s="4"/>
      <c r="S46" s="3"/>
      <c r="T46" s="48">
        <v>0.74000002314814817</v>
      </c>
      <c r="U46" s="29">
        <v>-450.10747781747921</v>
      </c>
      <c r="V46" s="29">
        <v>4925.4285993635076</v>
      </c>
      <c r="W46" s="29">
        <v>4146.555360720753</v>
      </c>
      <c r="X46" s="4">
        <v>-6.6300430046626015</v>
      </c>
      <c r="Y46" s="4">
        <v>-2.13521546001498</v>
      </c>
      <c r="Z46" s="4">
        <v>1.7623840132852344</v>
      </c>
      <c r="AA46" s="3">
        <f t="shared" si="16"/>
        <v>7.1848878011174149</v>
      </c>
      <c r="AB46" s="3">
        <f t="shared" si="19"/>
        <v>1.6276380265864629</v>
      </c>
      <c r="AC46" s="3">
        <f t="shared" si="17"/>
        <v>6.845630934339507</v>
      </c>
      <c r="AD46" s="48"/>
      <c r="AE46" s="46">
        <f t="shared" si="12"/>
        <v>40.162663316345203</v>
      </c>
      <c r="AF46" s="46">
        <f t="shared" si="13"/>
        <v>-257.00634871269256</v>
      </c>
      <c r="AG46" s="47">
        <f t="shared" si="14"/>
        <v>84891.552430301992</v>
      </c>
      <c r="AH46" s="45" t="str">
        <f t="shared" si="18"/>
        <v>-257.00635,40.16266,84892</v>
      </c>
      <c r="AI46" s="44">
        <f t="shared" si="20"/>
        <v>280.79730644679546</v>
      </c>
    </row>
    <row r="47" spans="1:35" ht="18" customHeight="1" x14ac:dyDescent="0.25">
      <c r="A47" s="36">
        <f t="shared" si="15"/>
        <v>0.74001158564814817</v>
      </c>
      <c r="B47" s="42">
        <f t="shared" si="0"/>
        <v>40.183308603878572</v>
      </c>
      <c r="C47" s="43">
        <f t="shared" si="1"/>
        <v>103.06813815578599</v>
      </c>
      <c r="D47" s="18">
        <f t="shared" si="2"/>
        <v>84.863566707876998</v>
      </c>
      <c r="E47" s="21" t="str">
        <f t="shared" si="3"/>
        <v>Umbra</v>
      </c>
      <c r="F47" s="23">
        <f>IF($E47&lt;&gt;"Umbra",fracil2($S$2,$S$3,$S$4,$A47,$Q$2,$O$3,$Q$4,$U47,$V47,$W47),0)</f>
        <v>0</v>
      </c>
      <c r="G47" s="19">
        <f t="shared" si="4"/>
        <v>71.617337150106962</v>
      </c>
      <c r="H47" s="19">
        <f t="shared" si="5"/>
        <v>13.324279566324179</v>
      </c>
      <c r="I47" s="19">
        <f t="shared" si="6"/>
        <v>14.532297515719074</v>
      </c>
      <c r="J47" s="28">
        <f t="shared" si="7"/>
        <v>0.35063223161262536</v>
      </c>
      <c r="K47" s="24">
        <f t="shared" si="8"/>
        <v>326.73331501594618</v>
      </c>
      <c r="L47" s="32">
        <f t="shared" si="9"/>
        <v>0.50686278964264919</v>
      </c>
      <c r="M47" s="35">
        <f t="shared" si="10"/>
        <v>22.665921180054358</v>
      </c>
      <c r="O47" s="29">
        <f t="shared" si="11"/>
        <v>313.15842292796265</v>
      </c>
      <c r="P47" s="44"/>
      <c r="Q47" s="4"/>
      <c r="S47" s="3"/>
      <c r="T47" s="48">
        <v>0.74001158564814817</v>
      </c>
      <c r="U47" s="29">
        <v>-456.72871942080553</v>
      </c>
      <c r="V47" s="29">
        <v>4923.2925671842586</v>
      </c>
      <c r="W47" s="29">
        <v>4148.3123072583639</v>
      </c>
      <c r="X47" s="4">
        <v>-6.6147180857485424</v>
      </c>
      <c r="Y47" s="4">
        <v>-2.1375810852875485</v>
      </c>
      <c r="Z47" s="4">
        <v>1.7521158715047467</v>
      </c>
      <c r="AA47" s="3">
        <f t="shared" si="16"/>
        <v>7.1689370395677763</v>
      </c>
      <c r="AB47" s="3">
        <f t="shared" si="19"/>
        <v>1.6287956325922881</v>
      </c>
      <c r="AC47" s="3">
        <f t="shared" si="17"/>
        <v>6.8296749363362714</v>
      </c>
      <c r="AD47" s="48"/>
      <c r="AE47" s="46">
        <f t="shared" si="12"/>
        <v>40.183308603878572</v>
      </c>
      <c r="AF47" s="46">
        <f t="shared" si="13"/>
        <v>-256.93186184421404</v>
      </c>
      <c r="AG47" s="47">
        <f t="shared" si="14"/>
        <v>84863.566707877006</v>
      </c>
      <c r="AH47" s="45" t="str">
        <f t="shared" si="18"/>
        <v>-256.93186,40.18331,84864</v>
      </c>
      <c r="AI47" s="44">
        <f t="shared" si="20"/>
        <v>287.52950909551225</v>
      </c>
    </row>
    <row r="48" spans="1:35" ht="18" customHeight="1" x14ac:dyDescent="0.25">
      <c r="A48" s="36">
        <f t="shared" si="15"/>
        <v>0.74002313657407404</v>
      </c>
      <c r="B48" s="42">
        <f t="shared" si="0"/>
        <v>40.203796561471762</v>
      </c>
      <c r="C48" s="43">
        <f t="shared" si="1"/>
        <v>103.14228872888107</v>
      </c>
      <c r="D48" s="18">
        <f t="shared" si="2"/>
        <v>84.834111145079987</v>
      </c>
      <c r="E48" s="21" t="str">
        <f t="shared" si="3"/>
        <v>Umbra</v>
      </c>
      <c r="F48" s="23">
        <f>IF($E48&lt;&gt;"Umbra",fracil2($S$2,$S$3,$S$4,$A48,$Q$2,$O$3,$Q$4,$U48,$V48,$W48),0)</f>
        <v>0</v>
      </c>
      <c r="G48" s="19">
        <f t="shared" si="4"/>
        <v>71.54022376751756</v>
      </c>
      <c r="H48" s="19">
        <f t="shared" si="5"/>
        <v>12.993054492222928</v>
      </c>
      <c r="I48" s="19">
        <f t="shared" si="6"/>
        <v>14.201072441617823</v>
      </c>
      <c r="J48" s="28">
        <f t="shared" si="7"/>
        <v>0.33779468851539401</v>
      </c>
      <c r="K48" s="24">
        <f t="shared" si="8"/>
        <v>333.24663839895101</v>
      </c>
      <c r="L48" s="32">
        <f t="shared" si="9"/>
        <v>0.50780447371490278</v>
      </c>
      <c r="M48" s="35">
        <f t="shared" si="10"/>
        <v>22.525256755118694</v>
      </c>
      <c r="O48" s="29">
        <f t="shared" si="11"/>
        <v>319.84231044477838</v>
      </c>
      <c r="P48" s="44"/>
      <c r="Q48" s="4"/>
      <c r="S48" s="3"/>
      <c r="T48" s="48">
        <v>0.74002313657407404</v>
      </c>
      <c r="U48" s="29">
        <v>-463.31660791048751</v>
      </c>
      <c r="V48" s="29">
        <v>4921.160024527544</v>
      </c>
      <c r="W48" s="29">
        <v>4150.054235341242</v>
      </c>
      <c r="X48" s="4">
        <v>-6.5994326422733041</v>
      </c>
      <c r="Y48" s="4">
        <v>-2.139923399056463</v>
      </c>
      <c r="Z48" s="4">
        <v>1.7418891954936484</v>
      </c>
      <c r="AA48" s="3">
        <f t="shared" si="16"/>
        <v>7.15303860769039</v>
      </c>
      <c r="AB48" s="3">
        <f t="shared" si="19"/>
        <v>1.6250666709351216</v>
      </c>
      <c r="AC48" s="3">
        <f t="shared" si="17"/>
        <v>6.8137714033687189</v>
      </c>
      <c r="AD48" s="48"/>
      <c r="AE48" s="46">
        <f t="shared" si="12"/>
        <v>40.203796561471762</v>
      </c>
      <c r="AF48" s="46">
        <f t="shared" si="13"/>
        <v>-256.85771127111894</v>
      </c>
      <c r="AG48" s="47">
        <f t="shared" si="14"/>
        <v>84834.11114507998</v>
      </c>
      <c r="AH48" s="45" t="str">
        <f t="shared" si="18"/>
        <v>-256.85771,40.20380,84834</v>
      </c>
      <c r="AI48" s="44">
        <f t="shared" si="20"/>
        <v>294.22709329909873</v>
      </c>
    </row>
    <row r="49" spans="1:35" ht="18" customHeight="1" x14ac:dyDescent="0.25">
      <c r="A49" s="36">
        <f t="shared" si="15"/>
        <v>0.74003474537037039</v>
      </c>
      <c r="B49" s="42">
        <f t="shared" si="0"/>
        <v>40.224322773518111</v>
      </c>
      <c r="C49" s="43">
        <f t="shared" si="1"/>
        <v>103.21682569954351</v>
      </c>
      <c r="D49" s="18">
        <f t="shared" si="2"/>
        <v>84.802862902604829</v>
      </c>
      <c r="E49" s="21" t="str">
        <f t="shared" si="3"/>
        <v>Umbra</v>
      </c>
      <c r="F49" s="23">
        <f>IF($E49&lt;&gt;"Umbra",fracil2($S$2,$S$3,$S$4,$A49,$Q$2,$O$3,$Q$4,$U49,$V49,$W49),0)</f>
        <v>0</v>
      </c>
      <c r="G49" s="19">
        <f t="shared" si="4"/>
        <v>71.466087723495733</v>
      </c>
      <c r="H49" s="19">
        <f t="shared" si="5"/>
        <v>12.671656362800006</v>
      </c>
      <c r="I49" s="19">
        <f t="shared" si="6"/>
        <v>13.879674312194901</v>
      </c>
      <c r="J49" s="28">
        <f t="shared" si="7"/>
        <v>0.32563396443608167</v>
      </c>
      <c r="K49" s="24">
        <f t="shared" si="8"/>
        <v>339.7986034467479</v>
      </c>
      <c r="L49" s="32">
        <f t="shared" si="9"/>
        <v>0.50871587856508926</v>
      </c>
      <c r="M49" s="35">
        <f t="shared" si="10"/>
        <v>22.38773594336481</v>
      </c>
      <c r="O49" s="29">
        <f t="shared" si="11"/>
        <v>326.55728000171047</v>
      </c>
      <c r="P49" s="44"/>
      <c r="Q49" s="4"/>
      <c r="S49" s="3"/>
      <c r="T49" s="48">
        <v>0.74003474537037039</v>
      </c>
      <c r="U49" s="29">
        <v>-469.93403325034865</v>
      </c>
      <c r="V49" s="29">
        <v>4919.0105850670298</v>
      </c>
      <c r="W49" s="29">
        <v>4151.7977501818077</v>
      </c>
      <c r="X49" s="4">
        <v>-6.5840371489884983</v>
      </c>
      <c r="Y49" s="4">
        <v>-2.142263522289773</v>
      </c>
      <c r="Z49" s="4">
        <v>1.7316053772951212</v>
      </c>
      <c r="AA49" s="3">
        <f t="shared" si="16"/>
        <v>7.1370368754036404</v>
      </c>
      <c r="AB49" s="3">
        <f t="shared" si="19"/>
        <v>1.6274594089647145</v>
      </c>
      <c r="AC49" s="3">
        <f t="shared" si="17"/>
        <v>6.7977646598034323</v>
      </c>
      <c r="AD49" s="48"/>
      <c r="AE49" s="46">
        <f t="shared" si="12"/>
        <v>40.224322773518111</v>
      </c>
      <c r="AF49" s="46">
        <f t="shared" si="13"/>
        <v>-256.78317430045649</v>
      </c>
      <c r="AG49" s="47">
        <f t="shared" si="14"/>
        <v>84802.862902604829</v>
      </c>
      <c r="AH49" s="45" t="str">
        <f t="shared" si="18"/>
        <v>-256.78317,40.22432,84803</v>
      </c>
      <c r="AI49" s="44">
        <f t="shared" si="20"/>
        <v>300.95518982719057</v>
      </c>
    </row>
    <row r="50" spans="1:35" ht="18" customHeight="1" x14ac:dyDescent="0.25">
      <c r="A50" s="36">
        <f t="shared" si="15"/>
        <v>0.7400463078703704</v>
      </c>
      <c r="B50" s="42">
        <f t="shared" si="0"/>
        <v>40.244634791197853</v>
      </c>
      <c r="C50" s="43">
        <f t="shared" si="1"/>
        <v>103.2908174044609</v>
      </c>
      <c r="D50" s="18">
        <f t="shared" si="2"/>
        <v>84.770172135335997</v>
      </c>
      <c r="E50" s="21" t="str">
        <f t="shared" si="3"/>
        <v>Umbra</v>
      </c>
      <c r="F50" s="23">
        <f>IF($E50&lt;&gt;"Umbra",fracil2($S$2,$S$3,$S$4,$A50,$Q$2,$O$3,$Q$4,$U50,$V50,$W50),0)</f>
        <v>0</v>
      </c>
      <c r="G50" s="19">
        <f t="shared" si="4"/>
        <v>71.395570388618609</v>
      </c>
      <c r="H50" s="19">
        <f t="shared" si="5"/>
        <v>12.36341134227856</v>
      </c>
      <c r="I50" s="19">
        <f t="shared" si="6"/>
        <v>13.571429291673455</v>
      </c>
      <c r="J50" s="28">
        <f t="shared" si="7"/>
        <v>0.31424503709388596</v>
      </c>
      <c r="K50" s="24">
        <f t="shared" si="8"/>
        <v>346.30688504270535</v>
      </c>
      <c r="L50" s="32">
        <f t="shared" si="9"/>
        <v>0.50958796472192314</v>
      </c>
      <c r="M50" s="35">
        <f t="shared" si="10"/>
        <v>22.254932953885415</v>
      </c>
      <c r="O50" s="29">
        <f t="shared" si="11"/>
        <v>333.21950498720753</v>
      </c>
      <c r="P50" s="44"/>
      <c r="Q50" s="4"/>
      <c r="S50" s="3"/>
      <c r="T50" s="48">
        <v>0.7400463078703704</v>
      </c>
      <c r="U50" s="29">
        <v>-476.49953606616526</v>
      </c>
      <c r="V50" s="29">
        <v>4916.8707105574058</v>
      </c>
      <c r="W50" s="29">
        <v>4153.5213918240242</v>
      </c>
      <c r="X50" s="4">
        <v>-6.5687176335307287</v>
      </c>
      <c r="Y50" s="4">
        <v>-2.1445714354796492</v>
      </c>
      <c r="Z50" s="4">
        <v>1.7213900663218276</v>
      </c>
      <c r="AA50" s="3">
        <f t="shared" si="16"/>
        <v>7.1211250341055132</v>
      </c>
      <c r="AB50" s="3">
        <f t="shared" si="19"/>
        <v>1.6247839097263936</v>
      </c>
      <c r="AC50" s="3">
        <f t="shared" si="17"/>
        <v>6.7818479614156653</v>
      </c>
      <c r="AD50" s="48"/>
      <c r="AE50" s="46">
        <f t="shared" si="12"/>
        <v>40.244634791197853</v>
      </c>
      <c r="AF50" s="46">
        <f t="shared" si="13"/>
        <v>-256.70918259553912</v>
      </c>
      <c r="AG50" s="47">
        <f t="shared" si="14"/>
        <v>84770.172135336004</v>
      </c>
      <c r="AH50" s="45" t="str">
        <f t="shared" si="18"/>
        <v>-256.70918,40.24463,84770</v>
      </c>
      <c r="AI50" s="44">
        <f t="shared" si="20"/>
        <v>307.62987376727989</v>
      </c>
    </row>
    <row r="51" spans="1:35" ht="18" customHeight="1" x14ac:dyDescent="0.25">
      <c r="A51" s="36">
        <f t="shared" si="15"/>
        <v>0.74005788194444444</v>
      </c>
      <c r="B51" s="42">
        <f t="shared" si="0"/>
        <v>40.264879402118304</v>
      </c>
      <c r="C51" s="43">
        <f t="shared" si="1"/>
        <v>103.3648047888729</v>
      </c>
      <c r="D51" s="18">
        <f t="shared" si="2"/>
        <v>84.735782367363754</v>
      </c>
      <c r="E51" s="21" t="str">
        <f t="shared" si="3"/>
        <v>Umbra</v>
      </c>
      <c r="F51" s="23">
        <f>IF($E51&lt;&gt;"Umbra",fracil2($S$2,$S$3,$S$4,$A51,$Q$2,$O$3,$Q$4,$U51,$V51,$W51),0)</f>
        <v>0</v>
      </c>
      <c r="G51" s="19">
        <f t="shared" si="4"/>
        <v>71.327983484776269</v>
      </c>
      <c r="H51" s="19">
        <f t="shared" si="5"/>
        <v>12.065351581403906</v>
      </c>
      <c r="I51" s="19">
        <f t="shared" si="6"/>
        <v>13.273369530798801</v>
      </c>
      <c r="J51" s="28">
        <f t="shared" si="7"/>
        <v>0.30348841673741983</v>
      </c>
      <c r="K51" s="24">
        <f t="shared" si="8"/>
        <v>352.81845654130035</v>
      </c>
      <c r="L51" s="32">
        <f t="shared" si="9"/>
        <v>0.51042924299321901</v>
      </c>
      <c r="M51" s="35">
        <f t="shared" si="10"/>
        <v>22.125628595644031</v>
      </c>
      <c r="O51" s="29">
        <f t="shared" si="11"/>
        <v>339.87763357362604</v>
      </c>
      <c r="P51" s="44"/>
      <c r="Q51" s="4"/>
      <c r="S51" s="3"/>
      <c r="T51" s="48">
        <v>0.74005788194444444</v>
      </c>
      <c r="U51" s="29">
        <v>-483.06035608521006</v>
      </c>
      <c r="V51" s="29">
        <v>4914.7250638390906</v>
      </c>
      <c r="W51" s="29">
        <v>4155.2376128081778</v>
      </c>
      <c r="X51" s="4">
        <v>-6.5533606877653314</v>
      </c>
      <c r="Y51" s="4">
        <v>-2.1468626168377378</v>
      </c>
      <c r="Z51" s="4">
        <v>1.7111689093381908</v>
      </c>
      <c r="AA51" s="3">
        <f t="shared" si="16"/>
        <v>7.1051850388156064</v>
      </c>
      <c r="AB51" s="3">
        <f t="shared" si="19"/>
        <v>1.6260178784916341</v>
      </c>
      <c r="AC51" s="3">
        <f t="shared" si="17"/>
        <v>6.7659032300992248</v>
      </c>
      <c r="AD51" s="48"/>
      <c r="AE51" s="46">
        <f t="shared" si="12"/>
        <v>40.264879402118304</v>
      </c>
      <c r="AF51" s="46">
        <f t="shared" si="13"/>
        <v>-256.6351952111271</v>
      </c>
      <c r="AG51" s="47">
        <f t="shared" si="14"/>
        <v>84735.782367363747</v>
      </c>
      <c r="AH51" s="45" t="str">
        <f t="shared" si="18"/>
        <v>-256.63520,40.26488,84736</v>
      </c>
      <c r="AI51" s="44">
        <f t="shared" si="20"/>
        <v>314.29990912197695</v>
      </c>
    </row>
    <row r="52" spans="1:35" ht="18" customHeight="1" x14ac:dyDescent="0.25">
      <c r="A52" s="36">
        <f t="shared" si="15"/>
        <v>0.7400694328703703</v>
      </c>
      <c r="B52" s="42">
        <f t="shared" si="0"/>
        <v>40.284998019093422</v>
      </c>
      <c r="C52" s="43">
        <f t="shared" si="1"/>
        <v>103.43857281381177</v>
      </c>
      <c r="D52" s="18">
        <f t="shared" si="2"/>
        <v>84.699761761595255</v>
      </c>
      <c r="E52" s="21" t="str">
        <f t="shared" si="3"/>
        <v>Umbra</v>
      </c>
      <c r="F52" s="23">
        <f>IF($E52&lt;&gt;"Umbra",fracil2($S$2,$S$3,$S$4,$A52,$Q$2,$O$3,$Q$4,$U52,$V52,$W52),0)</f>
        <v>0</v>
      </c>
      <c r="G52" s="19">
        <f t="shared" si="4"/>
        <v>71.263342062155672</v>
      </c>
      <c r="H52" s="19">
        <f t="shared" si="5"/>
        <v>11.777745473104693</v>
      </c>
      <c r="I52" s="19">
        <f t="shared" si="6"/>
        <v>12.985763422499588</v>
      </c>
      <c r="J52" s="28">
        <f t="shared" si="7"/>
        <v>0.29334802896650763</v>
      </c>
      <c r="K52" s="24">
        <f t="shared" si="8"/>
        <v>359.31392509595628</v>
      </c>
      <c r="L52" s="32">
        <f t="shared" si="9"/>
        <v>0.51123914203680232</v>
      </c>
      <c r="M52" s="35">
        <f t="shared" si="10"/>
        <v>22.000019334653395</v>
      </c>
      <c r="O52" s="29">
        <f t="shared" si="11"/>
        <v>346.51230885063302</v>
      </c>
      <c r="P52" s="44"/>
      <c r="Q52" s="4"/>
      <c r="S52" s="3"/>
      <c r="T52" s="48">
        <v>0.7400694328703703</v>
      </c>
      <c r="U52" s="29">
        <v>-489.5974102024224</v>
      </c>
      <c r="V52" s="29">
        <v>4912.5798985473093</v>
      </c>
      <c r="W52" s="29">
        <v>4156.941432122986</v>
      </c>
      <c r="X52" s="4">
        <v>-6.5380074273202027</v>
      </c>
      <c r="Y52" s="4">
        <v>-2.1491291497686924</v>
      </c>
      <c r="Z52" s="4">
        <v>1.7009706894093621</v>
      </c>
      <c r="AA52" s="3">
        <f t="shared" si="16"/>
        <v>7.0892593765716736</v>
      </c>
      <c r="AB52" s="3">
        <f t="shared" si="19"/>
        <v>1.6277978008624481</v>
      </c>
      <c r="AC52" s="3">
        <f t="shared" si="17"/>
        <v>6.7499729692345252</v>
      </c>
      <c r="AD52" s="48"/>
      <c r="AE52" s="46">
        <f t="shared" si="12"/>
        <v>40.284998019093422</v>
      </c>
      <c r="AF52" s="46">
        <f t="shared" si="13"/>
        <v>-256.56142718618821</v>
      </c>
      <c r="AG52" s="47">
        <f t="shared" si="14"/>
        <v>84699.761761595262</v>
      </c>
      <c r="AH52" s="45" t="str">
        <f t="shared" si="18"/>
        <v>-256.56143,40.28500,84700</v>
      </c>
      <c r="AI52" s="44">
        <f t="shared" si="20"/>
        <v>320.94593835974507</v>
      </c>
    </row>
    <row r="53" spans="1:35" ht="18" customHeight="1" x14ac:dyDescent="0.25">
      <c r="A53" s="36">
        <f t="shared" si="15"/>
        <v>0.74008100694444445</v>
      </c>
      <c r="B53" s="42">
        <f t="shared" si="0"/>
        <v>40.305043417437396</v>
      </c>
      <c r="C53" s="43">
        <f t="shared" si="1"/>
        <v>103.51230772750664</v>
      </c>
      <c r="D53" s="18">
        <f t="shared" si="2"/>
        <v>84.661985405914493</v>
      </c>
      <c r="E53" s="21" t="str">
        <f t="shared" si="3"/>
        <v>Umbra</v>
      </c>
      <c r="F53" s="23">
        <f>IF($E53&lt;&gt;"Umbra",fracil2($S$2,$S$3,$S$4,$A53,$Q$2,$O$3,$Q$4,$U53,$V53,$W53),0)</f>
        <v>0</v>
      </c>
      <c r="G53" s="19">
        <f t="shared" si="4"/>
        <v>71.201284882354997</v>
      </c>
      <c r="H53" s="19">
        <f t="shared" si="5"/>
        <v>11.499303072097007</v>
      </c>
      <c r="I53" s="19">
        <f t="shared" si="6"/>
        <v>12.707321021491902</v>
      </c>
      <c r="J53" s="28">
        <f t="shared" si="7"/>
        <v>0.28375445636365931</v>
      </c>
      <c r="K53" s="24">
        <f t="shared" si="8"/>
        <v>365.80930741963141</v>
      </c>
      <c r="L53" s="32">
        <f t="shared" si="9"/>
        <v>0.51202153544478513</v>
      </c>
      <c r="M53" s="35">
        <f t="shared" si="10"/>
        <v>21.877637897578271</v>
      </c>
      <c r="O53" s="29">
        <f t="shared" si="11"/>
        <v>353.14033387496272</v>
      </c>
      <c r="P53" s="44"/>
      <c r="Q53" s="4"/>
      <c r="S53" s="3"/>
      <c r="T53" s="48">
        <v>0.74008100694444445</v>
      </c>
      <c r="U53" s="29">
        <v>-496.12774210824188</v>
      </c>
      <c r="V53" s="29">
        <v>4910.4296378216359</v>
      </c>
      <c r="W53" s="29">
        <v>4158.6373056979128</v>
      </c>
      <c r="X53" s="4">
        <v>-6.5226142562938847</v>
      </c>
      <c r="Y53" s="4">
        <v>-2.1513756777172106</v>
      </c>
      <c r="Z53" s="4">
        <v>1.6907678740217449</v>
      </c>
      <c r="AA53" s="3">
        <f t="shared" si="16"/>
        <v>7.0733026265603414</v>
      </c>
      <c r="AB53" s="3">
        <f t="shared" si="19"/>
        <v>1.6276994362351538</v>
      </c>
      <c r="AC53" s="3">
        <f t="shared" si="17"/>
        <v>6.7340117485626987</v>
      </c>
      <c r="AD53" s="48"/>
      <c r="AE53" s="46">
        <f t="shared" si="12"/>
        <v>40.305043417437396</v>
      </c>
      <c r="AF53" s="46">
        <f t="shared" si="13"/>
        <v>-256.48769227249335</v>
      </c>
      <c r="AG53" s="47">
        <f t="shared" si="14"/>
        <v>84661.985405914485</v>
      </c>
      <c r="AH53" s="45" t="str">
        <f t="shared" si="18"/>
        <v>-256.48769,40.30504,84662</v>
      </c>
      <c r="AI53" s="44">
        <f t="shared" si="20"/>
        <v>327.58483511289495</v>
      </c>
    </row>
    <row r="54" spans="1:35" ht="18" customHeight="1" x14ac:dyDescent="0.25">
      <c r="A54" s="36">
        <f t="shared" si="15"/>
        <v>0.74009259259259252</v>
      </c>
      <c r="B54" s="42">
        <f t="shared" si="0"/>
        <v>40.325004528621093</v>
      </c>
      <c r="C54" s="43">
        <f t="shared" si="1"/>
        <v>103.5859699981977</v>
      </c>
      <c r="D54" s="18">
        <f t="shared" si="2"/>
        <v>84.622437995394648</v>
      </c>
      <c r="E54" s="21" t="str">
        <f t="shared" si="3"/>
        <v>Umbra</v>
      </c>
      <c r="F54" s="23">
        <f>IF($E54&lt;&gt;"Umbra",fracil2($S$2,$S$3,$S$4,$A54,$Q$2,$O$3,$Q$4,$U54,$V54,$W54),0)</f>
        <v>0</v>
      </c>
      <c r="G54" s="19">
        <f t="shared" si="4"/>
        <v>71.141705555712321</v>
      </c>
      <c r="H54" s="19">
        <f t="shared" si="5"/>
        <v>11.229679350054749</v>
      </c>
      <c r="I54" s="19">
        <f t="shared" si="6"/>
        <v>12.437697299449644</v>
      </c>
      <c r="J54" s="28">
        <f t="shared" si="7"/>
        <v>0.27467467816380181</v>
      </c>
      <c r="K54" s="24">
        <f t="shared" si="8"/>
        <v>372.30071645149167</v>
      </c>
      <c r="L54" s="32">
        <f t="shared" si="9"/>
        <v>0.5127775253679715</v>
      </c>
      <c r="M54" s="35">
        <f t="shared" si="10"/>
        <v>21.758391673667514</v>
      </c>
      <c r="O54" s="29">
        <f t="shared" si="11"/>
        <v>359.75813271947976</v>
      </c>
      <c r="P54" s="44"/>
      <c r="Q54" s="4"/>
      <c r="S54" s="3"/>
      <c r="T54" s="48">
        <v>0.74009259259259252</v>
      </c>
      <c r="U54" s="29">
        <v>-502.64769414125794</v>
      </c>
      <c r="V54" s="29">
        <v>4908.2754796762119</v>
      </c>
      <c r="W54" s="29">
        <v>4160.324278176452</v>
      </c>
      <c r="X54" s="4">
        <v>-6.5071859747846466</v>
      </c>
      <c r="Y54" s="4">
        <v>-2.1535995848734446</v>
      </c>
      <c r="Z54" s="4">
        <v>1.6805651725236601</v>
      </c>
      <c r="AA54" s="3">
        <f t="shared" si="16"/>
        <v>7.057319589015405</v>
      </c>
      <c r="AB54" s="3">
        <f t="shared" si="19"/>
        <v>1.6287378531414853</v>
      </c>
      <c r="AC54" s="3">
        <f t="shared" si="17"/>
        <v>6.7180243737715113</v>
      </c>
      <c r="AD54" s="48"/>
      <c r="AE54" s="46">
        <f t="shared" si="12"/>
        <v>40.325004528621093</v>
      </c>
      <c r="AF54" s="46">
        <f t="shared" si="13"/>
        <v>-256.4140300018023</v>
      </c>
      <c r="AG54" s="47">
        <f t="shared" si="14"/>
        <v>84622.437995394648</v>
      </c>
      <c r="AH54" s="45" t="str">
        <f t="shared" si="18"/>
        <v>-256.41403,40.32500,84622</v>
      </c>
      <c r="AI54" s="44">
        <f t="shared" si="20"/>
        <v>334.21304233620759</v>
      </c>
    </row>
    <row r="55" spans="1:35" ht="18" customHeight="1" x14ac:dyDescent="0.25">
      <c r="A55" s="36">
        <f t="shared" si="15"/>
        <v>0.74010416666666667</v>
      </c>
      <c r="B55" s="42">
        <f t="shared" si="0"/>
        <v>40.344852437842775</v>
      </c>
      <c r="C55" s="43">
        <f t="shared" si="1"/>
        <v>103.65945374408091</v>
      </c>
      <c r="D55" s="18">
        <f t="shared" si="2"/>
        <v>84.581146547940079</v>
      </c>
      <c r="E55" s="21" t="str">
        <f t="shared" si="3"/>
        <v>Umbra</v>
      </c>
      <c r="F55" s="23">
        <f>IF($E55&lt;&gt;"Umbra",fracil2($S$2,$S$3,$S$4,$A55,$Q$2,$O$3,$Q$4,$U55,$V55,$W55),0)</f>
        <v>0</v>
      </c>
      <c r="G55" s="19">
        <f t="shared" si="4"/>
        <v>71.084555307224889</v>
      </c>
      <c r="H55" s="19">
        <f t="shared" si="5"/>
        <v>10.968777606749375</v>
      </c>
      <c r="I55" s="19">
        <f t="shared" si="6"/>
        <v>12.17679555614427</v>
      </c>
      <c r="J55" s="28">
        <f t="shared" si="7"/>
        <v>0.26608539336479908</v>
      </c>
      <c r="K55" s="24">
        <f t="shared" si="8"/>
        <v>378.77843632639298</v>
      </c>
      <c r="L55" s="32">
        <f t="shared" si="9"/>
        <v>0.51350750499270614</v>
      </c>
      <c r="M55" s="35">
        <f t="shared" si="10"/>
        <v>21.642293215453538</v>
      </c>
      <c r="O55" s="29">
        <f t="shared" si="11"/>
        <v>366.35618065211571</v>
      </c>
      <c r="P55" s="44"/>
      <c r="Q55" s="4"/>
      <c r="S55" s="3"/>
      <c r="T55" s="48">
        <v>0.74010416666666667</v>
      </c>
      <c r="U55" s="29">
        <v>-509.14771806017285</v>
      </c>
      <c r="V55" s="29">
        <v>4906.1205946320897</v>
      </c>
      <c r="W55" s="29">
        <v>4161.9998922772511</v>
      </c>
      <c r="X55" s="4">
        <v>-6.4917414454385165</v>
      </c>
      <c r="Y55" s="4">
        <v>-2.1557962749088482</v>
      </c>
      <c r="Z55" s="4">
        <v>1.6703765528921442</v>
      </c>
      <c r="AA55" s="3">
        <f t="shared" si="16"/>
        <v>7.0413295904812516</v>
      </c>
      <c r="AB55" s="3">
        <f t="shared" si="19"/>
        <v>1.6310619434450055</v>
      </c>
      <c r="AC55" s="3">
        <f t="shared" si="17"/>
        <v>6.7020301803539848</v>
      </c>
      <c r="AD55" s="48"/>
      <c r="AE55" s="46">
        <f t="shared" si="12"/>
        <v>40.344852437842775</v>
      </c>
      <c r="AF55" s="46">
        <f t="shared" si="13"/>
        <v>-256.34054625591909</v>
      </c>
      <c r="AG55" s="47">
        <f t="shared" si="14"/>
        <v>84581.146547940079</v>
      </c>
      <c r="AH55" s="45" t="str">
        <f t="shared" si="18"/>
        <v>-256.34055,40.34485,84581</v>
      </c>
      <c r="AI55" s="44">
        <f t="shared" si="20"/>
        <v>340.82104393132016</v>
      </c>
    </row>
    <row r="56" spans="1:35" ht="18" customHeight="1" x14ac:dyDescent="0.25">
      <c r="A56" s="36">
        <f t="shared" si="15"/>
        <v>0.74011575231481475</v>
      </c>
      <c r="B56" s="42">
        <f t="shared" si="0"/>
        <v>40.364623438809033</v>
      </c>
      <c r="C56" s="43">
        <f t="shared" si="1"/>
        <v>103.73289127938287</v>
      </c>
      <c r="D56" s="18">
        <f t="shared" si="2"/>
        <v>84.538004334121979</v>
      </c>
      <c r="E56" s="21" t="str">
        <f t="shared" si="3"/>
        <v>Umbra</v>
      </c>
      <c r="F56" s="23">
        <f>IF($E56&lt;&gt;"Umbra",fracil2($S$2,$S$3,$S$4,$A56,$Q$2,$O$3,$Q$4,$U56,$V56,$W56),0)</f>
        <v>0</v>
      </c>
      <c r="G56" s="19">
        <f t="shared" si="4"/>
        <v>71.029594649745235</v>
      </c>
      <c r="H56" s="19">
        <f t="shared" si="5"/>
        <v>10.715679673206081</v>
      </c>
      <c r="I56" s="19">
        <f t="shared" si="6"/>
        <v>11.923697622600976</v>
      </c>
      <c r="J56" s="28">
        <f t="shared" si="7"/>
        <v>0.25793794439077306</v>
      </c>
      <c r="K56" s="24">
        <f t="shared" si="8"/>
        <v>385.25379847529831</v>
      </c>
      <c r="L56" s="32">
        <f t="shared" si="9"/>
        <v>0.51421418638779348</v>
      </c>
      <c r="M56" s="35">
        <f t="shared" si="10"/>
        <v>21.528994723399673</v>
      </c>
      <c r="O56" s="29">
        <f t="shared" si="11"/>
        <v>372.94637101298974</v>
      </c>
      <c r="P56" s="44"/>
      <c r="Q56" s="4"/>
      <c r="S56" s="3"/>
      <c r="T56" s="48">
        <v>0.74011575231481475</v>
      </c>
      <c r="U56" s="29">
        <v>-515.63960485046164</v>
      </c>
      <c r="V56" s="29">
        <v>4903.9610857736188</v>
      </c>
      <c r="W56" s="29">
        <v>4163.6671974527644</v>
      </c>
      <c r="X56" s="4">
        <v>-6.4762488467818189</v>
      </c>
      <c r="Y56" s="4">
        <v>-2.1579683596139745</v>
      </c>
      <c r="Z56" s="4">
        <v>1.6601825474221206</v>
      </c>
      <c r="AA56" s="3">
        <f t="shared" si="16"/>
        <v>7.0252994710049812</v>
      </c>
      <c r="AB56" s="3">
        <f t="shared" si="19"/>
        <v>1.6335058889999159</v>
      </c>
      <c r="AC56" s="3">
        <f t="shared" si="17"/>
        <v>6.6859960034478103</v>
      </c>
      <c r="AD56" s="48"/>
      <c r="AE56" s="46">
        <f t="shared" si="12"/>
        <v>40.364623438809033</v>
      </c>
      <c r="AF56" s="46">
        <f t="shared" si="13"/>
        <v>-256.2671087206171</v>
      </c>
      <c r="AG56" s="47">
        <f t="shared" si="14"/>
        <v>84538.004334121972</v>
      </c>
      <c r="AH56" s="45" t="str">
        <f t="shared" si="18"/>
        <v>-256.26711,40.36462,84538</v>
      </c>
      <c r="AI56" s="44">
        <f t="shared" si="20"/>
        <v>347.42077745799759</v>
      </c>
    </row>
    <row r="57" spans="1:35" ht="18" customHeight="1" x14ac:dyDescent="0.25">
      <c r="A57" s="36">
        <f t="shared" si="15"/>
        <v>0.7401273263888889</v>
      </c>
      <c r="B57" s="42">
        <f t="shared" si="0"/>
        <v>40.384262466777166</v>
      </c>
      <c r="C57" s="43">
        <f t="shared" si="1"/>
        <v>103.80607305471351</v>
      </c>
      <c r="D57" s="18">
        <f t="shared" si="2"/>
        <v>84.493103468888876</v>
      </c>
      <c r="E57" s="21" t="str">
        <f t="shared" si="3"/>
        <v>Umbra</v>
      </c>
      <c r="F57" s="23">
        <f>IF($E57&lt;&gt;"Umbra",fracil2($S$2,$S$3,$S$4,$A57,$Q$2,$O$3,$Q$4,$U57,$V57,$W57),0)</f>
        <v>0</v>
      </c>
      <c r="G57" s="19">
        <f t="shared" si="4"/>
        <v>70.976839627721148</v>
      </c>
      <c r="H57" s="19">
        <f t="shared" si="5"/>
        <v>10.470677829038211</v>
      </c>
      <c r="I57" s="19">
        <f t="shared" si="6"/>
        <v>11.678695778433106</v>
      </c>
      <c r="J57" s="28">
        <f t="shared" si="7"/>
        <v>0.25022445344896282</v>
      </c>
      <c r="K57" s="24">
        <f t="shared" si="8"/>
        <v>391.70803788150909</v>
      </c>
      <c r="L57" s="32">
        <f t="shared" si="9"/>
        <v>0.51489691506069313</v>
      </c>
      <c r="M57" s="35">
        <f t="shared" si="10"/>
        <v>21.418692630086458</v>
      </c>
      <c r="O57" s="29">
        <f t="shared" si="11"/>
        <v>379.50994135310538</v>
      </c>
      <c r="P57" s="44"/>
      <c r="Q57" s="4"/>
      <c r="S57" s="3"/>
      <c r="T57" s="48">
        <v>0.7401273263888889</v>
      </c>
      <c r="U57" s="29">
        <v>-522.1051536362728</v>
      </c>
      <c r="V57" s="29">
        <v>4901.8030304900785</v>
      </c>
      <c r="W57" s="29">
        <v>4165.3215382316712</v>
      </c>
      <c r="X57" s="4">
        <v>-6.4607478185847915</v>
      </c>
      <c r="Y57" s="4">
        <v>-2.1601083685756266</v>
      </c>
      <c r="Z57" s="4">
        <v>1.6500107608680554</v>
      </c>
      <c r="AA57" s="3">
        <f t="shared" si="16"/>
        <v>7.0092700083759771</v>
      </c>
      <c r="AB57" s="3">
        <f t="shared" si="19"/>
        <v>1.6350569762609746</v>
      </c>
      <c r="AC57" s="3">
        <f t="shared" si="17"/>
        <v>6.6699626347384902</v>
      </c>
      <c r="AD57" s="48"/>
      <c r="AE57" s="46">
        <f t="shared" si="12"/>
        <v>40.384262466777166</v>
      </c>
      <c r="AF57" s="46">
        <f t="shared" si="13"/>
        <v>-256.19392694528648</v>
      </c>
      <c r="AG57" s="47">
        <f t="shared" si="14"/>
        <v>84493.103468888876</v>
      </c>
      <c r="AH57" s="45" t="str">
        <f t="shared" si="18"/>
        <v>-256.19393,40.38426,84493</v>
      </c>
      <c r="AI57" s="44">
        <f t="shared" si="20"/>
        <v>353.99348207775176</v>
      </c>
    </row>
    <row r="58" spans="1:35" ht="18" customHeight="1" x14ac:dyDescent="0.25">
      <c r="A58" s="36">
        <f t="shared" si="15"/>
        <v>0.74013888888888879</v>
      </c>
      <c r="B58" s="42">
        <f t="shared" si="0"/>
        <v>40.403782008738609</v>
      </c>
      <c r="C58" s="43">
        <f t="shared" si="1"/>
        <v>103.87904567789782</v>
      </c>
      <c r="D58" s="18">
        <f t="shared" si="2"/>
        <v>84.446394422635422</v>
      </c>
      <c r="E58" s="21" t="str">
        <f t="shared" si="3"/>
        <v>Umbra</v>
      </c>
      <c r="F58" s="23">
        <f>IF($E58&lt;&gt;"Umbra",fracil2($S$2,$S$3,$S$4,$A58,$Q$2,$O$3,$Q$4,$U58,$V58,$W58),0)</f>
        <v>0</v>
      </c>
      <c r="G58" s="19">
        <f t="shared" si="4"/>
        <v>70.926144491493503</v>
      </c>
      <c r="H58" s="19">
        <f t="shared" si="5"/>
        <v>10.233194182339689</v>
      </c>
      <c r="I58" s="19">
        <f t="shared" si="6"/>
        <v>11.441212131734584</v>
      </c>
      <c r="J58" s="28">
        <f t="shared" si="7"/>
        <v>0.2429103434258908</v>
      </c>
      <c r="K58" s="24">
        <f t="shared" si="8"/>
        <v>398.14494944021828</v>
      </c>
      <c r="L58" s="32">
        <f t="shared" si="9"/>
        <v>0.51555739445899296</v>
      </c>
      <c r="M58" s="35">
        <f t="shared" si="10"/>
        <v>21.311170670784865</v>
      </c>
      <c r="O58" s="29">
        <f t="shared" si="11"/>
        <v>386.05107846855299</v>
      </c>
      <c r="P58" s="44"/>
      <c r="Q58" s="4"/>
      <c r="S58" s="3"/>
      <c r="T58" s="48">
        <v>0.74013888888888879</v>
      </c>
      <c r="U58" s="29">
        <v>-528.54829895474256</v>
      </c>
      <c r="V58" s="29">
        <v>4899.6451626730686</v>
      </c>
      <c r="W58" s="29">
        <v>4166.9639608490907</v>
      </c>
      <c r="X58" s="4">
        <v>-6.4452253229335614</v>
      </c>
      <c r="Y58" s="4">
        <v>-2.162216275884508</v>
      </c>
      <c r="Z58" s="4">
        <v>1.6398540868318645</v>
      </c>
      <c r="AA58" s="3">
        <f t="shared" si="16"/>
        <v>6.9932274461212165</v>
      </c>
      <c r="AB58" s="3">
        <f t="shared" si="19"/>
        <v>1.6380154650961498</v>
      </c>
      <c r="AC58" s="3">
        <f t="shared" si="17"/>
        <v>6.6539163174675533</v>
      </c>
      <c r="AD58" s="48"/>
      <c r="AE58" s="46">
        <f t="shared" si="12"/>
        <v>40.403782008738609</v>
      </c>
      <c r="AF58" s="46">
        <f t="shared" si="13"/>
        <v>-256.12095432210219</v>
      </c>
      <c r="AG58" s="47">
        <f t="shared" si="14"/>
        <v>84446.394422635422</v>
      </c>
      <c r="AH58" s="45" t="str">
        <f t="shared" si="18"/>
        <v>-256.12095,40.40378,84446</v>
      </c>
      <c r="AI58" s="44">
        <f t="shared" si="20"/>
        <v>360.5433696439199</v>
      </c>
    </row>
    <row r="59" spans="1:35" ht="18" customHeight="1" x14ac:dyDescent="0.25">
      <c r="A59" s="36">
        <f t="shared" si="15"/>
        <v>0.74015047453703708</v>
      </c>
      <c r="B59" s="42">
        <f t="shared" si="0"/>
        <v>40.423252926891294</v>
      </c>
      <c r="C59" s="43">
        <f t="shared" si="1"/>
        <v>103.95207573835926</v>
      </c>
      <c r="D59" s="18">
        <f t="shared" si="2"/>
        <v>84.397673562696582</v>
      </c>
      <c r="E59" s="21" t="str">
        <f t="shared" si="3"/>
        <v>Umbra</v>
      </c>
      <c r="F59" s="23">
        <f>IF($E59&lt;&gt;"Umbra",fracil2($S$2,$S$3,$S$4,$A59,$Q$2,$O$3,$Q$4,$U59,$V59,$W59),0)</f>
        <v>0</v>
      </c>
      <c r="G59" s="19">
        <f t="shared" si="4"/>
        <v>70.87723200351077</v>
      </c>
      <c r="H59" s="19">
        <f t="shared" si="5"/>
        <v>10.002009521932669</v>
      </c>
      <c r="I59" s="19">
        <f t="shared" si="6"/>
        <v>11.210027471327564</v>
      </c>
      <c r="J59" s="28">
        <f t="shared" si="7"/>
        <v>0.23594394815651182</v>
      </c>
      <c r="K59" s="24">
        <f t="shared" si="8"/>
        <v>404.58776164890185</v>
      </c>
      <c r="L59" s="32">
        <f t="shared" si="9"/>
        <v>0.51619909165722377</v>
      </c>
      <c r="M59" s="35">
        <f t="shared" si="10"/>
        <v>21.205913536903143</v>
      </c>
      <c r="O59" s="29">
        <f t="shared" si="11"/>
        <v>392.59366267865244</v>
      </c>
      <c r="P59" s="44"/>
      <c r="Q59" s="4"/>
      <c r="S59" s="3"/>
      <c r="T59" s="48">
        <v>0.74015047453703708</v>
      </c>
      <c r="U59" s="29">
        <v>-534.99236274711348</v>
      </c>
      <c r="V59" s="29">
        <v>4897.479672459026</v>
      </c>
      <c r="W59" s="29">
        <v>4168.6004104317326</v>
      </c>
      <c r="X59" s="4">
        <v>-6.4296210338696937</v>
      </c>
      <c r="Y59" s="4">
        <v>-2.1642981971449387</v>
      </c>
      <c r="Z59" s="4">
        <v>1.6296747101004001</v>
      </c>
      <c r="AA59" s="3">
        <f t="shared" si="16"/>
        <v>6.9771092141434368</v>
      </c>
      <c r="AB59" s="3">
        <f t="shared" si="19"/>
        <v>1.6424373635732774</v>
      </c>
      <c r="AC59" s="3">
        <f t="shared" si="17"/>
        <v>6.6377944709393644</v>
      </c>
      <c r="AD59" s="48"/>
      <c r="AE59" s="46">
        <f t="shared" si="12"/>
        <v>40.423252926891294</v>
      </c>
      <c r="AF59" s="46">
        <f t="shared" si="13"/>
        <v>-256.04792426164073</v>
      </c>
      <c r="AG59" s="47">
        <f t="shared" si="14"/>
        <v>84397.673562696582</v>
      </c>
      <c r="AH59" s="45" t="str">
        <f t="shared" si="18"/>
        <v>-256.04792,40.42325,84398</v>
      </c>
      <c r="AI59" s="44">
        <f t="shared" si="20"/>
        <v>367.09436800336942</v>
      </c>
    </row>
    <row r="60" spans="1:35" ht="18" customHeight="1" x14ac:dyDescent="0.25">
      <c r="A60" s="36">
        <f t="shared" si="15"/>
        <v>0.74016202546296295</v>
      </c>
      <c r="B60" s="42">
        <f t="shared" si="0"/>
        <v>40.44257192765695</v>
      </c>
      <c r="C60" s="43">
        <f t="shared" si="1"/>
        <v>104.02477291202143</v>
      </c>
      <c r="D60" s="18">
        <f t="shared" si="2"/>
        <v>84.347170876446398</v>
      </c>
      <c r="E60" s="21" t="str">
        <f t="shared" si="3"/>
        <v>Umbra</v>
      </c>
      <c r="F60" s="23">
        <f>IF($E60&lt;&gt;"Umbra",fracil2($S$2,$S$3,$S$4,$A60,$Q$2,$O$3,$Q$4,$U60,$V60,$W60),0)</f>
        <v>0</v>
      </c>
      <c r="G60" s="19">
        <f t="shared" si="4"/>
        <v>70.830257587238421</v>
      </c>
      <c r="H60" s="19">
        <f t="shared" si="5"/>
        <v>9.7780139760100333</v>
      </c>
      <c r="I60" s="19">
        <f t="shared" si="6"/>
        <v>10.986031925404928</v>
      </c>
      <c r="J60" s="28">
        <f t="shared" si="7"/>
        <v>0.22933860912359813</v>
      </c>
      <c r="K60" s="24">
        <f t="shared" si="8"/>
        <v>411.00180181451071</v>
      </c>
      <c r="L60" s="32">
        <f t="shared" si="9"/>
        <v>0.51681964908459799</v>
      </c>
      <c r="M60" s="35">
        <f t="shared" si="10"/>
        <v>21.10337420691399</v>
      </c>
      <c r="O60" s="29">
        <f t="shared" si="11"/>
        <v>399.10275331652565</v>
      </c>
      <c r="P60" s="44"/>
      <c r="Q60" s="4"/>
      <c r="S60" s="3"/>
      <c r="T60" s="48">
        <v>0.74016202546296295</v>
      </c>
      <c r="U60" s="29">
        <v>-541.40304705347478</v>
      </c>
      <c r="V60" s="29">
        <v>4895.3181050519579</v>
      </c>
      <c r="W60" s="29">
        <v>4170.2221930217056</v>
      </c>
      <c r="X60" s="4">
        <v>-6.4140139655114208</v>
      </c>
      <c r="Y60" s="4">
        <v>-2.1663415594198479</v>
      </c>
      <c r="Z60" s="4">
        <v>1.6195257932693761</v>
      </c>
      <c r="AA60" s="3">
        <f t="shared" si="16"/>
        <v>6.9609966741056528</v>
      </c>
      <c r="AB60" s="3">
        <f t="shared" si="19"/>
        <v>1.6467763416603045</v>
      </c>
      <c r="AC60" s="3">
        <f t="shared" si="17"/>
        <v>6.6216784787107441</v>
      </c>
      <c r="AD60" s="48"/>
      <c r="AE60" s="46">
        <f t="shared" si="12"/>
        <v>40.44257192765695</v>
      </c>
      <c r="AF60" s="46">
        <f t="shared" si="13"/>
        <v>-255.97522708797857</v>
      </c>
      <c r="AG60" s="47">
        <f t="shared" si="14"/>
        <v>84347.170876446398</v>
      </c>
      <c r="AH60" s="45" t="str">
        <f t="shared" si="18"/>
        <v>-255.97523,40.44257,84347</v>
      </c>
      <c r="AI60" s="44">
        <f t="shared" si="20"/>
        <v>373.61151242907164</v>
      </c>
    </row>
    <row r="61" spans="1:35" ht="18" customHeight="1" x14ac:dyDescent="0.25">
      <c r="A61" s="36">
        <f t="shared" si="15"/>
        <v>0.74017361111111113</v>
      </c>
      <c r="B61" s="42">
        <f t="shared" si="0"/>
        <v>40.461856207330889</v>
      </c>
      <c r="C61" s="43">
        <f t="shared" si="1"/>
        <v>104.09757710332306</v>
      </c>
      <c r="D61" s="18">
        <f t="shared" si="2"/>
        <v>84.294549155552886</v>
      </c>
      <c r="E61" s="21" t="str">
        <f t="shared" si="3"/>
        <v>Umbra</v>
      </c>
      <c r="F61" s="23">
        <f>IF($E61&lt;&gt;"Umbra",fracil2($S$2,$S$3,$S$4,$A61,$Q$2,$O$3,$Q$4,$U61,$V61,$W61),0)</f>
        <v>0</v>
      </c>
      <c r="G61" s="19">
        <f t="shared" si="4"/>
        <v>70.784845815989257</v>
      </c>
      <c r="H61" s="19">
        <f t="shared" si="5"/>
        <v>9.5595342248730901</v>
      </c>
      <c r="I61" s="19">
        <f t="shared" si="6"/>
        <v>10.767552174267985</v>
      </c>
      <c r="J61" s="28">
        <f t="shared" si="7"/>
        <v>0.22303262713790281</v>
      </c>
      <c r="K61" s="24">
        <f t="shared" si="8"/>
        <v>417.42564994822777</v>
      </c>
      <c r="L61" s="32">
        <f t="shared" si="9"/>
        <v>0.51742379141665451</v>
      </c>
      <c r="M61" s="35">
        <f t="shared" si="10"/>
        <v>21.002825997242216</v>
      </c>
      <c r="O61" s="29">
        <f t="shared" si="11"/>
        <v>405.61775005347062</v>
      </c>
      <c r="P61" s="44"/>
      <c r="Q61" s="4"/>
      <c r="S61" s="3"/>
      <c r="T61" s="48">
        <v>0.74017361111111113</v>
      </c>
      <c r="U61" s="29">
        <v>-547.81914719255508</v>
      </c>
      <c r="V61" s="29">
        <v>4893.1473911509611</v>
      </c>
      <c r="W61" s="29">
        <v>4171.8391322837406</v>
      </c>
      <c r="X61" s="4">
        <v>-6.3983054739891445</v>
      </c>
      <c r="Y61" s="4">
        <v>-2.1683571729289071</v>
      </c>
      <c r="Z61" s="4">
        <v>1.6093448694037138</v>
      </c>
      <c r="AA61" s="3">
        <f t="shared" si="16"/>
        <v>6.9447877344486022</v>
      </c>
      <c r="AB61" s="3">
        <f t="shared" si="19"/>
        <v>1.6516471006555034</v>
      </c>
      <c r="AC61" s="3">
        <f t="shared" si="17"/>
        <v>6.6054662311901993</v>
      </c>
      <c r="AD61" s="48"/>
      <c r="AE61" s="46">
        <f t="shared" si="12"/>
        <v>40.461856207330889</v>
      </c>
      <c r="AF61" s="46">
        <f t="shared" si="13"/>
        <v>-255.90242289667694</v>
      </c>
      <c r="AG61" s="47">
        <f t="shared" si="14"/>
        <v>84294.549155552886</v>
      </c>
      <c r="AH61" s="45" t="str">
        <f t="shared" si="18"/>
        <v>-255.90242,40.46186,84295</v>
      </c>
      <c r="AI61" s="44">
        <f t="shared" si="20"/>
        <v>380.13426838377467</v>
      </c>
    </row>
    <row r="62" spans="1:35" ht="18" customHeight="1" x14ac:dyDescent="0.25">
      <c r="A62" s="36">
        <f t="shared" si="15"/>
        <v>0.74018517361111114</v>
      </c>
      <c r="B62" s="42">
        <f t="shared" si="0"/>
        <v>40.480995032476805</v>
      </c>
      <c r="C62" s="43">
        <f t="shared" si="1"/>
        <v>104.17006591743146</v>
      </c>
      <c r="D62" s="18">
        <f t="shared" si="2"/>
        <v>84.240078915987397</v>
      </c>
      <c r="E62" s="21" t="str">
        <f t="shared" si="3"/>
        <v>Umbra</v>
      </c>
      <c r="F62" s="23">
        <f>IF($E62&lt;&gt;"Umbra",fracil2($S$2,$S$3,$S$4,$A62,$Q$2,$O$3,$Q$4,$U62,$V62,$W62),0)</f>
        <v>0</v>
      </c>
      <c r="G62" s="19">
        <f t="shared" si="4"/>
        <v>70.741162944831032</v>
      </c>
      <c r="H62" s="19">
        <f t="shared" si="5"/>
        <v>9.3475417557973923</v>
      </c>
      <c r="I62" s="19">
        <f t="shared" si="6"/>
        <v>10.555559705192287</v>
      </c>
      <c r="J62" s="28">
        <f t="shared" si="7"/>
        <v>0.217042622038845</v>
      </c>
      <c r="K62" s="24">
        <f t="shared" si="8"/>
        <v>423.82184730895193</v>
      </c>
      <c r="L62" s="32">
        <f t="shared" si="9"/>
        <v>0.5180089472338103</v>
      </c>
      <c r="M62" s="35">
        <f t="shared" si="10"/>
        <v>20.904762232642536</v>
      </c>
      <c r="O62" s="29">
        <f t="shared" si="11"/>
        <v>412.10089339944881</v>
      </c>
      <c r="P62" s="44"/>
      <c r="Q62" s="4"/>
      <c r="S62" s="3"/>
      <c r="T62" s="48">
        <v>0.74018517361111114</v>
      </c>
      <c r="U62" s="29">
        <v>-554.20373407053773</v>
      </c>
      <c r="V62" s="29">
        <v>4890.9800333349785</v>
      </c>
      <c r="W62" s="29">
        <v>4173.4419280017137</v>
      </c>
      <c r="X62" s="4">
        <v>-6.3825816588349316</v>
      </c>
      <c r="Y62" s="4">
        <v>-2.1703318300097041</v>
      </c>
      <c r="Z62" s="4">
        <v>1.5991894648456528</v>
      </c>
      <c r="AA62" s="3">
        <f t="shared" si="16"/>
        <v>6.9285709802615623</v>
      </c>
      <c r="AB62" s="3">
        <f t="shared" si="19"/>
        <v>1.6557344346444978</v>
      </c>
      <c r="AC62" s="3">
        <f t="shared" si="17"/>
        <v>6.5892463354559325</v>
      </c>
      <c r="AD62" s="48"/>
      <c r="AE62" s="46">
        <f t="shared" si="12"/>
        <v>40.480995032476805</v>
      </c>
      <c r="AF62" s="46">
        <f t="shared" si="13"/>
        <v>-255.82993408256854</v>
      </c>
      <c r="AG62" s="47">
        <f t="shared" si="14"/>
        <v>84240.078915987397</v>
      </c>
      <c r="AH62" s="45" t="str">
        <f t="shared" si="18"/>
        <v>-255.82993,40.48100,84240</v>
      </c>
      <c r="AI62" s="44">
        <f t="shared" si="20"/>
        <v>386.62485162932245</v>
      </c>
    </row>
    <row r="63" spans="1:35" ht="18" customHeight="1" x14ac:dyDescent="0.25">
      <c r="A63" s="36">
        <f t="shared" si="15"/>
        <v>0.74019674768518529</v>
      </c>
      <c r="B63" s="42">
        <f t="shared" si="0"/>
        <v>40.500036580158088</v>
      </c>
      <c r="C63" s="43">
        <f t="shared" si="1"/>
        <v>104.24241731202912</v>
      </c>
      <c r="D63" s="18">
        <f t="shared" si="2"/>
        <v>84.183602561162843</v>
      </c>
      <c r="E63" s="21" t="str">
        <f t="shared" si="3"/>
        <v>Umbra</v>
      </c>
      <c r="F63" s="23">
        <f>IF($E63&lt;&gt;"Umbra",fracil2($S$2,$S$3,$S$4,$A63,$Q$2,$O$3,$Q$4,$U63,$V63,$W63),0)</f>
        <v>0</v>
      </c>
      <c r="G63" s="19">
        <f t="shared" si="4"/>
        <v>70.699007211988075</v>
      </c>
      <c r="H63" s="19">
        <f t="shared" si="5"/>
        <v>9.1412112024231824</v>
      </c>
      <c r="I63" s="19">
        <f t="shared" si="6"/>
        <v>10.349229151818077</v>
      </c>
      <c r="J63" s="28">
        <f t="shared" si="7"/>
        <v>0.21133404200156813</v>
      </c>
      <c r="K63" s="24">
        <f t="shared" si="8"/>
        <v>430.20591367247539</v>
      </c>
      <c r="L63" s="32">
        <f t="shared" si="9"/>
        <v>0.51857749800868203</v>
      </c>
      <c r="M63" s="35">
        <f t="shared" si="10"/>
        <v>20.808843886799693</v>
      </c>
      <c r="O63" s="29">
        <f t="shared" si="11"/>
        <v>418.5681492331766</v>
      </c>
      <c r="P63" s="44"/>
      <c r="Q63" s="4"/>
      <c r="S63" s="3"/>
      <c r="T63" s="48">
        <v>0.74019674768518529</v>
      </c>
      <c r="U63" s="29">
        <v>-560.5727089693579</v>
      </c>
      <c r="V63" s="29">
        <v>4888.8106782815503</v>
      </c>
      <c r="W63" s="29">
        <v>4175.0346089133491</v>
      </c>
      <c r="X63" s="4">
        <v>-6.3667993913850411</v>
      </c>
      <c r="Y63" s="4">
        <v>-2.1722689464589306</v>
      </c>
      <c r="Z63" s="4">
        <v>1.5890333156178256</v>
      </c>
      <c r="AA63" s="3">
        <f t="shared" si="16"/>
        <v>6.9123016242084017</v>
      </c>
      <c r="AB63" s="3">
        <f t="shared" si="19"/>
        <v>1.6594265618376358</v>
      </c>
      <c r="AC63" s="3">
        <f t="shared" si="17"/>
        <v>6.5729739985904461</v>
      </c>
      <c r="AD63" s="48"/>
      <c r="AE63" s="46">
        <f t="shared" si="12"/>
        <v>40.500036580158088</v>
      </c>
      <c r="AF63" s="46">
        <f t="shared" si="13"/>
        <v>-255.75758268797088</v>
      </c>
      <c r="AG63" s="47">
        <f t="shared" si="14"/>
        <v>84183.602561162843</v>
      </c>
      <c r="AH63" s="45" t="str">
        <f t="shared" si="18"/>
        <v>-255.75758,40.50004,84184</v>
      </c>
      <c r="AI63" s="44">
        <f t="shared" si="20"/>
        <v>393.09926529064222</v>
      </c>
    </row>
    <row r="64" spans="1:35" ht="18" customHeight="1" x14ac:dyDescent="0.25">
      <c r="A64" s="36">
        <f t="shared" si="15"/>
        <v>0.74020832175925921</v>
      </c>
      <c r="B64" s="42">
        <f t="shared" si="0"/>
        <v>40.519004048351931</v>
      </c>
      <c r="C64" s="43">
        <f t="shared" si="1"/>
        <v>104.31472764096304</v>
      </c>
      <c r="D64" s="18">
        <f t="shared" si="2"/>
        <v>84.125018253809685</v>
      </c>
      <c r="E64" s="21" t="str">
        <f t="shared" si="3"/>
        <v>Umbra</v>
      </c>
      <c r="F64" s="23">
        <f>IF($E64&lt;&gt;"Umbra",fracil2($S$2,$S$3,$S$4,$A64,$Q$2,$O$3,$Q$4,$U64,$V64,$W64),0)</f>
        <v>0</v>
      </c>
      <c r="G64" s="19">
        <f t="shared" si="4"/>
        <v>70.658285197933452</v>
      </c>
      <c r="H64" s="19">
        <f t="shared" si="5"/>
        <v>8.9400149289118929</v>
      </c>
      <c r="I64" s="19">
        <f t="shared" si="6"/>
        <v>10.148032878306788</v>
      </c>
      <c r="J64" s="28">
        <f t="shared" si="7"/>
        <v>0.20588270971294548</v>
      </c>
      <c r="K64" s="24">
        <f t="shared" si="8"/>
        <v>436.58609263180853</v>
      </c>
      <c r="L64" s="32">
        <f t="shared" si="9"/>
        <v>0.51913087815821701</v>
      </c>
      <c r="M64" s="35">
        <f t="shared" si="10"/>
        <v>20.714830409890968</v>
      </c>
      <c r="O64" s="29">
        <f t="shared" si="11"/>
        <v>425.02806666922282</v>
      </c>
      <c r="P64" s="44"/>
      <c r="Q64" s="4"/>
      <c r="S64" s="3"/>
      <c r="T64" s="48">
        <v>0.74020832175925921</v>
      </c>
      <c r="U64" s="29">
        <v>-566.93375460889649</v>
      </c>
      <c r="V64" s="29">
        <v>4886.6367132396672</v>
      </c>
      <c r="W64" s="29">
        <v>4176.6190985376934</v>
      </c>
      <c r="X64" s="4">
        <v>-6.3509350885288551</v>
      </c>
      <c r="Y64" s="4">
        <v>-2.174169150596359</v>
      </c>
      <c r="Z64" s="4">
        <v>1.578863056027908</v>
      </c>
      <c r="AA64" s="3">
        <f t="shared" si="16"/>
        <v>6.8959550856862242</v>
      </c>
      <c r="AB64" s="3">
        <f t="shared" si="19"/>
        <v>1.6672811610577785</v>
      </c>
      <c r="AC64" s="3">
        <f t="shared" si="17"/>
        <v>6.55662463952532</v>
      </c>
      <c r="AD64" s="48"/>
      <c r="AE64" s="46">
        <f t="shared" si="12"/>
        <v>40.519004048351931</v>
      </c>
      <c r="AF64" s="46">
        <f t="shared" si="13"/>
        <v>-255.68527235903696</v>
      </c>
      <c r="AG64" s="47">
        <f t="shared" si="14"/>
        <v>84125.018253809685</v>
      </c>
      <c r="AH64" s="45" t="str">
        <f t="shared" si="18"/>
        <v>-255.68527,40.51900,84125</v>
      </c>
      <c r="AI64" s="44">
        <f t="shared" si="20"/>
        <v>399.56606938531456</v>
      </c>
    </row>
    <row r="65" spans="1:35" ht="18" customHeight="1" x14ac:dyDescent="0.25">
      <c r="A65" s="36">
        <f t="shared" si="15"/>
        <v>0.74021993055555557</v>
      </c>
      <c r="B65" s="42">
        <f t="shared" si="0"/>
        <v>40.537927530071954</v>
      </c>
      <c r="C65" s="43">
        <f t="shared" si="1"/>
        <v>104.38710574512316</v>
      </c>
      <c r="D65" s="18">
        <f t="shared" si="2"/>
        <v>84.064189925581559</v>
      </c>
      <c r="E65" s="21" t="str">
        <f t="shared" si="3"/>
        <v>Umbra</v>
      </c>
      <c r="F65" s="23">
        <f>IF($E65&lt;&gt;"Umbra",fracil2($S$2,$S$3,$S$4,$A65,$Q$2,$O$3,$Q$4,$U65,$V65,$W65),0)</f>
        <v>0</v>
      </c>
      <c r="G65" s="19">
        <f t="shared" si="4"/>
        <v>70.618850386399501</v>
      </c>
      <c r="H65" s="19">
        <f t="shared" si="5"/>
        <v>8.7434273202436579</v>
      </c>
      <c r="I65" s="19">
        <f t="shared" si="6"/>
        <v>9.9514452696385529</v>
      </c>
      <c r="J65" s="28">
        <f t="shared" si="7"/>
        <v>0.20066570609729126</v>
      </c>
      <c r="K65" s="24">
        <f t="shared" si="8"/>
        <v>442.97185907589659</v>
      </c>
      <c r="L65" s="32">
        <f t="shared" si="9"/>
        <v>0.51967065353516562</v>
      </c>
      <c r="M65" s="35">
        <f t="shared" si="10"/>
        <v>20.622521140225466</v>
      </c>
      <c r="O65" s="29">
        <f t="shared" si="11"/>
        <v>431.4904149420575</v>
      </c>
      <c r="P65" s="44"/>
      <c r="Q65" s="4"/>
      <c r="S65" s="3"/>
      <c r="T65" s="48">
        <v>0.74021993055555557</v>
      </c>
      <c r="U65" s="29">
        <v>-573.2969575336781</v>
      </c>
      <c r="V65" s="29">
        <v>4884.4546642022315</v>
      </c>
      <c r="W65" s="29">
        <v>4178.1978853150631</v>
      </c>
      <c r="X65" s="4">
        <v>-6.3349584682833502</v>
      </c>
      <c r="Y65" s="4">
        <v>-2.1760335360255114</v>
      </c>
      <c r="Z65" s="4">
        <v>1.5686613021033657</v>
      </c>
      <c r="AA65" s="3">
        <f t="shared" si="16"/>
        <v>6.8794999110036512</v>
      </c>
      <c r="AB65" s="3">
        <f t="shared" si="19"/>
        <v>1.6733234494253468</v>
      </c>
      <c r="AC65" s="3">
        <f t="shared" si="17"/>
        <v>6.5401668039509318</v>
      </c>
      <c r="AD65" s="48"/>
      <c r="AE65" s="46">
        <f t="shared" si="12"/>
        <v>40.537927530071954</v>
      </c>
      <c r="AF65" s="46">
        <f t="shared" si="13"/>
        <v>-255.61289425487684</v>
      </c>
      <c r="AG65" s="47">
        <f t="shared" si="14"/>
        <v>84064.189925581566</v>
      </c>
      <c r="AH65" s="45" t="str">
        <f t="shared" si="18"/>
        <v>-255.61289,40.53793,84064</v>
      </c>
      <c r="AI65" s="44">
        <f t="shared" si="20"/>
        <v>406.03506309331664</v>
      </c>
    </row>
    <row r="66" spans="1:35" ht="18" customHeight="1" x14ac:dyDescent="0.25">
      <c r="A66" s="36">
        <f t="shared" si="15"/>
        <v>0.7402314699074074</v>
      </c>
      <c r="B66" s="42">
        <f t="shared" si="0"/>
        <v>40.556634913713047</v>
      </c>
      <c r="C66" s="43">
        <f t="shared" si="1"/>
        <v>104.45888993268568</v>
      </c>
      <c r="D66" s="18">
        <f t="shared" si="2"/>
        <v>84.001654767286709</v>
      </c>
      <c r="E66" s="21" t="str">
        <f t="shared" si="3"/>
        <v>Umbra</v>
      </c>
      <c r="F66" s="23">
        <f>IF($E66&lt;&gt;"Umbra",fracil2($S$2,$S$3,$S$4,$A66,$Q$2,$O$3,$Q$4,$U66,$V66,$W66),0)</f>
        <v>0</v>
      </c>
      <c r="G66" s="19">
        <f t="shared" si="4"/>
        <v>70.580987796787028</v>
      </c>
      <c r="H66" s="19">
        <f t="shared" si="5"/>
        <v>8.5529853461925178</v>
      </c>
      <c r="I66" s="19">
        <f t="shared" si="6"/>
        <v>9.7610032955874129</v>
      </c>
      <c r="J66" s="28">
        <f t="shared" si="7"/>
        <v>0.19571461995636927</v>
      </c>
      <c r="K66" s="24">
        <f t="shared" si="8"/>
        <v>449.30468095335323</v>
      </c>
      <c r="L66" s="32">
        <f t="shared" si="9"/>
        <v>0.52019267903453403</v>
      </c>
      <c r="M66" s="35">
        <f t="shared" si="10"/>
        <v>20.532670612232753</v>
      </c>
      <c r="O66" s="29">
        <f t="shared" si="11"/>
        <v>437.89615968949687</v>
      </c>
      <c r="P66" s="44"/>
      <c r="Q66" s="4"/>
      <c r="S66" s="3"/>
      <c r="T66" s="48">
        <v>0.7402314699074074</v>
      </c>
      <c r="U66" s="29">
        <v>-579.60424676048842</v>
      </c>
      <c r="V66" s="29">
        <v>4882.2845008820459</v>
      </c>
      <c r="W66" s="29">
        <v>4179.756607488107</v>
      </c>
      <c r="X66" s="4">
        <v>-6.3190113215356947</v>
      </c>
      <c r="Y66" s="4">
        <v>-2.1778435362287274</v>
      </c>
      <c r="Z66" s="4">
        <v>1.558520200005185</v>
      </c>
      <c r="AA66" s="3">
        <f t="shared" si="16"/>
        <v>6.8630817978378884</v>
      </c>
      <c r="AB66" s="3">
        <f t="shared" si="19"/>
        <v>1.6795837290345825</v>
      </c>
      <c r="AC66" s="3">
        <f t="shared" si="17"/>
        <v>6.52374621589819</v>
      </c>
      <c r="AD66" s="48"/>
      <c r="AE66" s="46">
        <f t="shared" si="12"/>
        <v>40.556634913713047</v>
      </c>
      <c r="AF66" s="46">
        <f t="shared" si="13"/>
        <v>-255.54111006731432</v>
      </c>
      <c r="AG66" s="47">
        <f t="shared" si="14"/>
        <v>84001.654767286702</v>
      </c>
      <c r="AH66" s="45" t="str">
        <f t="shared" si="18"/>
        <v>-255.54111,40.55663,84002</v>
      </c>
      <c r="AI66" s="44">
        <f t="shared" si="20"/>
        <v>412.4471658286152</v>
      </c>
    </row>
    <row r="67" spans="1:35" ht="18" customHeight="1" x14ac:dyDescent="0.25">
      <c r="A67" s="36">
        <f t="shared" si="15"/>
        <v>0.74024306712962973</v>
      </c>
      <c r="B67" s="42">
        <f t="shared" si="0"/>
        <v>40.57533232644861</v>
      </c>
      <c r="C67" s="43">
        <f t="shared" si="1"/>
        <v>104.53086889006627</v>
      </c>
      <c r="D67" s="18">
        <f t="shared" si="2"/>
        <v>83.936701319287749</v>
      </c>
      <c r="E67" s="21" t="str">
        <f t="shared" si="3"/>
        <v>Umbra</v>
      </c>
      <c r="F67" s="23">
        <f>IF($E67&lt;&gt;"Umbra",fracil2($S$2,$S$3,$S$4,$A67,$Q$2,$O$3,$Q$4,$U67,$V67,$W67),0)</f>
        <v>0</v>
      </c>
      <c r="G67" s="19">
        <f t="shared" si="4"/>
        <v>70.544215471123181</v>
      </c>
      <c r="H67" s="19">
        <f t="shared" si="5"/>
        <v>8.3663627394504836</v>
      </c>
      <c r="I67" s="19">
        <f t="shared" si="6"/>
        <v>9.5743806888453786</v>
      </c>
      <c r="J67" s="28">
        <f t="shared" si="7"/>
        <v>0.19096064917570846</v>
      </c>
      <c r="K67" s="24">
        <f t="shared" si="8"/>
        <v>455.65398983200538</v>
      </c>
      <c r="L67" s="32">
        <f t="shared" si="9"/>
        <v>0.52070339465147253</v>
      </c>
      <c r="M67" s="35">
        <f t="shared" si="10"/>
        <v>20.44420973226163</v>
      </c>
      <c r="O67" s="29">
        <f t="shared" si="11"/>
        <v>444.315712518601</v>
      </c>
      <c r="P67" s="44"/>
      <c r="Q67" s="4"/>
      <c r="S67" s="3"/>
      <c r="T67" s="48">
        <v>0.74024306712962973</v>
      </c>
      <c r="U67" s="29">
        <v>-585.92496727029777</v>
      </c>
      <c r="V67" s="29">
        <v>4880.102400175997</v>
      </c>
      <c r="W67" s="29">
        <v>4181.3124318679465</v>
      </c>
      <c r="X67" s="4">
        <v>-6.3029139468415876</v>
      </c>
      <c r="Y67" s="4">
        <v>-2.1796173638293279</v>
      </c>
      <c r="Z67" s="4">
        <v>1.5483272146846332</v>
      </c>
      <c r="AA67" s="3">
        <f t="shared" si="16"/>
        <v>6.8465154084197888</v>
      </c>
      <c r="AB67" s="3">
        <f t="shared" si="19"/>
        <v>1.6862769419945534</v>
      </c>
      <c r="AC67" s="3">
        <f t="shared" si="17"/>
        <v>6.5071775129414569</v>
      </c>
      <c r="AD67" s="48"/>
      <c r="AE67" s="46">
        <f t="shared" si="12"/>
        <v>40.57533232644861</v>
      </c>
      <c r="AF67" s="46">
        <f t="shared" si="13"/>
        <v>-255.46913110993373</v>
      </c>
      <c r="AG67" s="47">
        <f t="shared" si="14"/>
        <v>83936.701319287749</v>
      </c>
      <c r="AH67" s="45" t="str">
        <f t="shared" si="18"/>
        <v>-255.46913,40.57533,83937</v>
      </c>
      <c r="AI67" s="44">
        <f t="shared" si="20"/>
        <v>418.87287148488133</v>
      </c>
    </row>
    <row r="68" spans="1:35" ht="18" customHeight="1" x14ac:dyDescent="0.25">
      <c r="A68" s="36">
        <f t="shared" si="15"/>
        <v>0.74025462962962962</v>
      </c>
      <c r="B68" s="42">
        <f t="shared" si="0"/>
        <v>40.593896675555293</v>
      </c>
      <c r="C68" s="43">
        <f t="shared" si="1"/>
        <v>104.60257409624562</v>
      </c>
      <c r="D68" s="18">
        <f t="shared" si="2"/>
        <v>83.869718829471822</v>
      </c>
      <c r="E68" s="21" t="str">
        <f t="shared" si="3"/>
        <v>Umbra</v>
      </c>
      <c r="F68" s="23">
        <f>IF($E68&lt;&gt;"Umbra",fracil2($S$2,$S$3,$S$4,$A68,$Q$2,$O$3,$Q$4,$U68,$V68,$W68),0)</f>
        <v>0</v>
      </c>
      <c r="G68" s="19">
        <f t="shared" si="4"/>
        <v>70.508740128098751</v>
      </c>
      <c r="H68" s="19">
        <f t="shared" si="5"/>
        <v>8.1845851253354134</v>
      </c>
      <c r="I68" s="19">
        <f t="shared" si="6"/>
        <v>9.3926030747303084</v>
      </c>
      <c r="J68" s="28">
        <f t="shared" si="7"/>
        <v>0.18642290417568599</v>
      </c>
      <c r="K68" s="24">
        <f t="shared" si="8"/>
        <v>461.97826984681996</v>
      </c>
      <c r="L68" s="32">
        <f t="shared" si="9"/>
        <v>0.52119999113806448</v>
      </c>
      <c r="M68" s="35">
        <f t="shared" si="10"/>
        <v>20.357632495271343</v>
      </c>
      <c r="O68" s="29">
        <f t="shared" si="11"/>
        <v>450.70724753742797</v>
      </c>
      <c r="P68" s="44"/>
      <c r="Q68" s="4"/>
      <c r="S68" s="3"/>
      <c r="T68" s="48">
        <v>0.74025462962962962</v>
      </c>
      <c r="U68" s="29">
        <v>-592.21746606289412</v>
      </c>
      <c r="V68" s="29">
        <v>4877.9227304423248</v>
      </c>
      <c r="W68" s="29">
        <v>4182.855094304</v>
      </c>
      <c r="X68" s="4">
        <v>-6.2867671756996852</v>
      </c>
      <c r="Y68" s="4">
        <v>-2.1813413274403999</v>
      </c>
      <c r="Z68" s="4">
        <v>1.5381482589409003</v>
      </c>
      <c r="AA68" s="3">
        <f t="shared" si="16"/>
        <v>6.8299042141700177</v>
      </c>
      <c r="AB68" s="3">
        <f t="shared" si="19"/>
        <v>1.695896132669011</v>
      </c>
      <c r="AC68" s="3">
        <f t="shared" si="17"/>
        <v>6.4905641854221319</v>
      </c>
      <c r="AD68" s="48"/>
      <c r="AE68" s="46">
        <f t="shared" si="12"/>
        <v>40.593896675555293</v>
      </c>
      <c r="AF68" s="46">
        <f t="shared" si="13"/>
        <v>-255.39742590375437</v>
      </c>
      <c r="AG68" s="47">
        <f t="shared" si="14"/>
        <v>83869.718829471822</v>
      </c>
      <c r="AH68" s="45" t="str">
        <f t="shared" si="18"/>
        <v>-255.39743,40.59390,83870</v>
      </c>
      <c r="AI68" s="44">
        <f t="shared" si="20"/>
        <v>425.2703170067889</v>
      </c>
    </row>
    <row r="69" spans="1:35" ht="18" customHeight="1" x14ac:dyDescent="0.25">
      <c r="A69" s="36">
        <f t="shared" si="15"/>
        <v>0.74026621527777781</v>
      </c>
      <c r="B69" s="42">
        <f t="shared" si="0"/>
        <v>40.612380456774304</v>
      </c>
      <c r="C69" s="43">
        <f t="shared" si="1"/>
        <v>104.67419724966953</v>
      </c>
      <c r="D69" s="18">
        <f t="shared" si="2"/>
        <v>83.800493533371991</v>
      </c>
      <c r="E69" s="21" t="str">
        <f t="shared" si="3"/>
        <v>Umbra</v>
      </c>
      <c r="F69" s="23">
        <f>IF($E69&lt;&gt;"Umbra",fracil2($S$2,$S$3,$S$4,$A69,$Q$2,$O$3,$Q$4,$U69,$V69,$W69),0)</f>
        <v>0</v>
      </c>
      <c r="G69" s="19">
        <f t="shared" si="4"/>
        <v>70.474377690300898</v>
      </c>
      <c r="H69" s="19">
        <f t="shared" si="5"/>
        <v>8.0069592397425229</v>
      </c>
      <c r="I69" s="19">
        <f t="shared" si="6"/>
        <v>9.2149771891374179</v>
      </c>
      <c r="J69" s="28">
        <f t="shared" si="7"/>
        <v>0.18207679420161357</v>
      </c>
      <c r="K69" s="24">
        <f t="shared" si="8"/>
        <v>468.29437174740929</v>
      </c>
      <c r="L69" s="32">
        <f t="shared" si="9"/>
        <v>0.5216845015306274</v>
      </c>
      <c r="M69" s="35">
        <f t="shared" si="10"/>
        <v>20.27265782447796</v>
      </c>
      <c r="O69" s="29">
        <f t="shared" si="11"/>
        <v>457.08795488895493</v>
      </c>
      <c r="P69" s="44"/>
      <c r="Q69" s="4"/>
      <c r="S69" s="3"/>
      <c r="T69" s="48">
        <v>0.74026621527777781</v>
      </c>
      <c r="U69" s="29">
        <v>-598.49939990342057</v>
      </c>
      <c r="V69" s="29">
        <v>4875.7394056089188</v>
      </c>
      <c r="W69" s="29">
        <v>4184.3889473206791</v>
      </c>
      <c r="X69" s="4">
        <v>-6.2705210117075953</v>
      </c>
      <c r="Y69" s="4">
        <v>-2.1830184417970937</v>
      </c>
      <c r="Z69" s="4">
        <v>1.5279536691782685</v>
      </c>
      <c r="AA69" s="3">
        <f t="shared" si="16"/>
        <v>6.81319643710997</v>
      </c>
      <c r="AB69" s="3">
        <f t="shared" si="19"/>
        <v>1.7023292096450475</v>
      </c>
      <c r="AC69" s="3">
        <f t="shared" si="17"/>
        <v>6.4738544521520733</v>
      </c>
      <c r="AD69" s="48"/>
      <c r="AE69" s="46">
        <f t="shared" si="12"/>
        <v>40.612380456774304</v>
      </c>
      <c r="AF69" s="46">
        <f t="shared" si="13"/>
        <v>-255.32580275033047</v>
      </c>
      <c r="AG69" s="47">
        <f t="shared" si="14"/>
        <v>83800.493533371991</v>
      </c>
      <c r="AH69" s="45" t="str">
        <f t="shared" si="18"/>
        <v>-255.32580,40.61238,83800</v>
      </c>
      <c r="AI69" s="44">
        <f t="shared" si="20"/>
        <v>431.65673009386842</v>
      </c>
    </row>
    <row r="70" spans="1:35" ht="18" customHeight="1" x14ac:dyDescent="0.25">
      <c r="A70" s="36">
        <f t="shared" si="15"/>
        <v>0.7402777777777777</v>
      </c>
      <c r="B70" s="42">
        <f t="shared" ref="B70:B133" si="21">latitude($U70,$V70,$W70)</f>
        <v>40.630741041617682</v>
      </c>
      <c r="C70" s="43">
        <f t="shared" ref="C70:C133" si="22">longitude($S$2,$S$3,$S$4,$A70,$U70,$V70)</f>
        <v>104.74557844325423</v>
      </c>
      <c r="D70" s="18">
        <f t="shared" ref="D70:D133" si="23">altitude($U70,$V70,$W70)</f>
        <v>83.729159052249997</v>
      </c>
      <c r="E70" s="21" t="str">
        <f t="shared" ref="E70:E133" si="24">illum2($S$2,$S$3,$S$4,$A70,$U70,$V70,$W70)</f>
        <v>Umbra</v>
      </c>
      <c r="F70" s="23">
        <f>IF($E70&lt;&gt;"Umbra",fracil2($S$2,$S$3,$S$4,$A70,$Q$2,$O$3,$Q$4,$U70,$V70,$W70),0)</f>
        <v>0</v>
      </c>
      <c r="G70" s="19">
        <f t="shared" ref="G70:G133" si="25">azimuth($S$2,$S$3,$S$4,$A70,$Q$2,$O$3,$Q$4,$U70,$V70,$W70)</f>
        <v>70.441176692057496</v>
      </c>
      <c r="H70" s="19">
        <f t="shared" ref="H70:H133" si="26">elev($S$2,$S$3,$S$4,$A70,$Q$2,$O$3,$Q$4,$U70,$V70,$W70)</f>
        <v>7.8336944150107275</v>
      </c>
      <c r="I70" s="19">
        <f t="shared" ref="I70:I133" si="27">elev($S$2,$S$3,$S$4,$A70,$Q$2,$O$3,$Q$4,$U70,$V70,$W70)+DEGREES(ACOS($Q$3/$Q$4))</f>
        <v>9.0417123644056225</v>
      </c>
      <c r="J70" s="28">
        <f t="shared" ref="J70:J133" si="28">vang($S$2,$S$3,$S$4,$A70,$Q$2,$O$3,$Q$4,$U70,$V70,$W70,$X70,$Y70,$Z70)</f>
        <v>0.17792090089090612</v>
      </c>
      <c r="K70" s="24">
        <f t="shared" ref="K70:K133" si="29">slant_rng($S$2,$S$3,$S$4,$A70,$Q$2,$O$3,$Q$4,$U70,$V70,$W70)</f>
        <v>474.58802082041899</v>
      </c>
      <c r="L70" s="32">
        <f t="shared" ref="L70:L133" si="30">radec2("ra",$S$2,$S$3,$S$4,$A70,$Q$2,$O$3,$Q$4,$U70,$V70,$W70)/24</f>
        <v>0.52215634022179569</v>
      </c>
      <c r="M70" s="35">
        <f t="shared" ref="M70:M133" si="31">radec2("dec",$S$2,$S$3,$S$4,$A70,$Q$2,$O$3,$Q$4,$U70,$V70,$W70)</f>
        <v>20.189390264684079</v>
      </c>
      <c r="O70" s="29">
        <f t="shared" ref="O70:O133" si="32">DEGREES(ACOS(SIN(RADIANS($B70))*SIN(RADIANS($O$2))+COS(RADIANS($B70))*COS(RADIANS($O$2))*COS(RADIANS($C70-$O$3))))*111.2</f>
        <v>463.44355920478023</v>
      </c>
      <c r="P70" s="44"/>
      <c r="Q70" s="4"/>
      <c r="S70" s="3"/>
      <c r="T70" s="48">
        <v>0.7402777777777777</v>
      </c>
      <c r="U70" s="29">
        <v>-604.75615633813163</v>
      </c>
      <c r="V70" s="29">
        <v>4873.5575290746838</v>
      </c>
      <c r="W70" s="29">
        <v>4185.9104421682805</v>
      </c>
      <c r="X70" s="4">
        <v>-6.2542084036292813</v>
      </c>
      <c r="Y70" s="4">
        <v>-2.1846429171986492</v>
      </c>
      <c r="Z70" s="4">
        <v>1.5177660285703896</v>
      </c>
      <c r="AA70" s="3">
        <f t="shared" si="16"/>
        <v>6.7964256156582552</v>
      </c>
      <c r="AB70" s="3">
        <f t="shared" si="19"/>
        <v>1.7121540374526685</v>
      </c>
      <c r="AC70" s="3">
        <f t="shared" si="17"/>
        <v>6.4570818590434556</v>
      </c>
      <c r="AD70" s="48"/>
      <c r="AE70" s="46">
        <f t="shared" ref="AE70:AE133" si="33">$B70</f>
        <v>40.630741041617682</v>
      </c>
      <c r="AF70" s="46">
        <f t="shared" ref="AF70:AF133" si="34">$C70-360</f>
        <v>-255.25442155674577</v>
      </c>
      <c r="AG70" s="47">
        <f t="shared" ref="AG70:AG133" si="35">$D70*1000</f>
        <v>83729.159052250005</v>
      </c>
      <c r="AH70" s="45" t="str">
        <f t="shared" si="18"/>
        <v>-255.25442,40.63074,83729</v>
      </c>
      <c r="AI70" s="44">
        <f t="shared" si="20"/>
        <v>438.01782414993528</v>
      </c>
    </row>
    <row r="71" spans="1:35" ht="18" customHeight="1" x14ac:dyDescent="0.25">
      <c r="A71" s="36">
        <f t="shared" ref="A71:A134" si="36">$T71+$S$5/86400</f>
        <v>0.74028935185185185</v>
      </c>
      <c r="B71" s="42">
        <f t="shared" si="21"/>
        <v>40.64902190471927</v>
      </c>
      <c r="C71" s="43">
        <f t="shared" si="22"/>
        <v>104.81688225805036</v>
      </c>
      <c r="D71" s="18">
        <f t="shared" si="23"/>
        <v>83.655520381442329</v>
      </c>
      <c r="E71" s="21" t="str">
        <f t="shared" si="24"/>
        <v>Umbra</v>
      </c>
      <c r="F71" s="23">
        <f>IF($E71&lt;&gt;"Umbra",fracil2($S$2,$S$3,$S$4,$A71,$Q$2,$O$3,$Q$4,$U71,$V71,$W71),0)</f>
        <v>0</v>
      </c>
      <c r="G71" s="19">
        <f t="shared" si="25"/>
        <v>70.409001640976172</v>
      </c>
      <c r="H71" s="19">
        <f t="shared" si="26"/>
        <v>7.6642113990740564</v>
      </c>
      <c r="I71" s="19">
        <f t="shared" si="27"/>
        <v>8.8722293484689523</v>
      </c>
      <c r="J71" s="28">
        <f t="shared" si="28"/>
        <v>0.17393510123464628</v>
      </c>
      <c r="K71" s="24">
        <f t="shared" si="29"/>
        <v>480.87363812564143</v>
      </c>
      <c r="L71" s="32">
        <f t="shared" si="30"/>
        <v>0.52261715658963359</v>
      </c>
      <c r="M71" s="35">
        <f t="shared" si="31"/>
        <v>20.107580203946355</v>
      </c>
      <c r="O71" s="29">
        <f t="shared" si="32"/>
        <v>469.78876303195329</v>
      </c>
      <c r="P71" s="44"/>
      <c r="Q71" s="4"/>
      <c r="S71" s="3"/>
      <c r="T71" s="48">
        <v>0.74028935185185185</v>
      </c>
      <c r="U71" s="29">
        <v>-611.00242601307355</v>
      </c>
      <c r="V71" s="29">
        <v>4871.372002372369</v>
      </c>
      <c r="W71" s="29">
        <v>4187.423170083579</v>
      </c>
      <c r="X71" s="4">
        <v>-6.2377860604929447</v>
      </c>
      <c r="Y71" s="4">
        <v>-2.186216613130183</v>
      </c>
      <c r="Z71" s="4">
        <v>1.507560259391187</v>
      </c>
      <c r="AA71" s="3">
        <f t="shared" ref="AA71:AA134" si="37">SQRT($X71*$X71+$Y71*$Y71+$Z71*$Z71)</f>
        <v>6.7795468839519151</v>
      </c>
      <c r="AB71" s="3">
        <f t="shared" si="19"/>
        <v>1.721427694534907</v>
      </c>
      <c r="AC71" s="3">
        <f t="shared" ref="AC71:AC134" si="38">vrel($S$2,$S$3,$S$4,$A71,$B71,$C71,$U71,$V71,$W71,$X71,$Y71,$Z71)</f>
        <v>6.4402015390707357</v>
      </c>
      <c r="AD71" s="48"/>
      <c r="AE71" s="46">
        <f t="shared" si="33"/>
        <v>40.64902190471927</v>
      </c>
      <c r="AF71" s="46">
        <f t="shared" si="34"/>
        <v>-255.18311774194964</v>
      </c>
      <c r="AG71" s="47">
        <f t="shared" si="35"/>
        <v>83655.520381442329</v>
      </c>
      <c r="AH71" s="45" t="str">
        <f t="shared" ref="AH71:AH134" si="39">CONCATENATE(TEXT($AF71,"00.00000"),",",TEXT($AE71,"00.00000"),",",TEXT($AG71,"00000"))</f>
        <v>-255.18312,40.64902,83656</v>
      </c>
      <c r="AI71" s="44">
        <f t="shared" si="20"/>
        <v>444.36832689231738</v>
      </c>
    </row>
    <row r="72" spans="1:35" ht="18" customHeight="1" x14ac:dyDescent="0.25">
      <c r="A72" s="36">
        <f t="shared" si="36"/>
        <v>0.74030097222222224</v>
      </c>
      <c r="B72" s="42">
        <f t="shared" si="21"/>
        <v>40.667284623992778</v>
      </c>
      <c r="C72" s="43">
        <f t="shared" si="22"/>
        <v>104.88835082641062</v>
      </c>
      <c r="D72" s="18">
        <f t="shared" si="23"/>
        <v>83.579280499069682</v>
      </c>
      <c r="E72" s="21" t="str">
        <f t="shared" si="24"/>
        <v>Umbra</v>
      </c>
      <c r="F72" s="23">
        <f>IF($E72&lt;&gt;"Umbra",fracil2($S$2,$S$3,$S$4,$A72,$Q$2,$O$3,$Q$4,$U72,$V72,$W72),0)</f>
        <v>0</v>
      </c>
      <c r="G72" s="19">
        <f t="shared" si="25"/>
        <v>70.377710293958557</v>
      </c>
      <c r="H72" s="19">
        <f t="shared" si="26"/>
        <v>7.4977957428819293</v>
      </c>
      <c r="I72" s="19">
        <f t="shared" si="27"/>
        <v>8.7058136922768252</v>
      </c>
      <c r="J72" s="28">
        <f t="shared" si="28"/>
        <v>0.17009745964445491</v>
      </c>
      <c r="K72" s="24">
        <f t="shared" si="29"/>
        <v>487.17244105129362</v>
      </c>
      <c r="L72" s="32">
        <f t="shared" si="30"/>
        <v>0.52306891652499055</v>
      </c>
      <c r="M72" s="35">
        <f t="shared" si="31"/>
        <v>20.026896055192573</v>
      </c>
      <c r="O72" s="29">
        <f t="shared" si="32"/>
        <v>476.1450971471109</v>
      </c>
      <c r="P72" s="44"/>
      <c r="Q72" s="4"/>
      <c r="S72" s="3"/>
      <c r="T72" s="48">
        <v>0.74030097222222224</v>
      </c>
      <c r="U72" s="29">
        <v>-617.25926853761666</v>
      </c>
      <c r="V72" s="29">
        <v>4869.1754183072326</v>
      </c>
      <c r="W72" s="29">
        <v>4188.9321963056445</v>
      </c>
      <c r="X72" s="4">
        <v>-6.2211922771827872</v>
      </c>
      <c r="Y72" s="4">
        <v>-2.1877423922199455</v>
      </c>
      <c r="Z72" s="4">
        <v>1.4973004615613754</v>
      </c>
      <c r="AA72" s="3">
        <f t="shared" si="37"/>
        <v>6.7624964914288066</v>
      </c>
      <c r="AB72" s="3">
        <f t="shared" ref="AB72:AB135" si="40">-($AC72-$AC71)/(($A72-$A71)*86400)*1000/9.806</f>
        <v>1.7319868107338734</v>
      </c>
      <c r="AC72" s="3">
        <f t="shared" si="38"/>
        <v>6.4231497409539848</v>
      </c>
      <c r="AD72" s="48"/>
      <c r="AE72" s="46">
        <f t="shared" si="33"/>
        <v>40.667284623992778</v>
      </c>
      <c r="AF72" s="46">
        <f t="shared" si="34"/>
        <v>-255.1116491735894</v>
      </c>
      <c r="AG72" s="47">
        <f t="shared" si="35"/>
        <v>83579.28049906969</v>
      </c>
      <c r="AH72" s="45" t="str">
        <f t="shared" si="39"/>
        <v>-255.11165,40.66728,83579</v>
      </c>
      <c r="AI72" s="44">
        <f t="shared" ref="AI72:AI135" si="41">IFERROR(ACOS(SIN(RADIANS($B71))*SIN(RADIANS($B72))+COS(RADIANS($B71))*COS(RADIANS($B72))*COS(RADIANS($C71-$C72)))*6371,0)+AI71</f>
        <v>450.72979244890843</v>
      </c>
    </row>
    <row r="73" spans="1:35" ht="18" customHeight="1" x14ac:dyDescent="0.25">
      <c r="A73" s="36">
        <f t="shared" si="36"/>
        <v>0.74031251157407407</v>
      </c>
      <c r="B73" s="42">
        <f t="shared" si="21"/>
        <v>40.685306698608905</v>
      </c>
      <c r="C73" s="43">
        <f t="shared" si="22"/>
        <v>104.95910528518517</v>
      </c>
      <c r="D73" s="18">
        <f t="shared" si="23"/>
        <v>83.501354853819976</v>
      </c>
      <c r="E73" s="21" t="str">
        <f t="shared" si="24"/>
        <v>Umbra</v>
      </c>
      <c r="F73" s="23">
        <f>IF($E73&lt;&gt;"Umbra",fracil2($S$2,$S$3,$S$4,$A73,$Q$2,$O$3,$Q$4,$U73,$V73,$W73),0)</f>
        <v>0</v>
      </c>
      <c r="G73" s="19">
        <f t="shared" si="25"/>
        <v>70.34762168188341</v>
      </c>
      <c r="H73" s="19">
        <f t="shared" si="26"/>
        <v>7.3363159898124621</v>
      </c>
      <c r="I73" s="19">
        <f t="shared" si="27"/>
        <v>8.5443339392073572</v>
      </c>
      <c r="J73" s="28">
        <f t="shared" si="28"/>
        <v>0.16644521436665749</v>
      </c>
      <c r="K73" s="24">
        <f t="shared" si="29"/>
        <v>493.40692295881763</v>
      </c>
      <c r="L73" s="32">
        <f t="shared" si="30"/>
        <v>0.52350663945546716</v>
      </c>
      <c r="M73" s="35">
        <f t="shared" si="31"/>
        <v>19.948277849883741</v>
      </c>
      <c r="O73" s="29">
        <f t="shared" si="32"/>
        <v>482.43448290761785</v>
      </c>
      <c r="P73" s="44"/>
      <c r="Q73" s="4"/>
      <c r="S73" s="3"/>
      <c r="T73" s="48">
        <v>0.74031251157407407</v>
      </c>
      <c r="U73" s="29">
        <v>-623.45025170454869</v>
      </c>
      <c r="V73" s="29">
        <v>4866.9946687774036</v>
      </c>
      <c r="W73" s="29">
        <v>4190.4191347546966</v>
      </c>
      <c r="X73" s="4">
        <v>-6.2046252476061481</v>
      </c>
      <c r="Y73" s="4">
        <v>-2.1891998011124034</v>
      </c>
      <c r="Z73" s="4">
        <v>1.4871109539641907</v>
      </c>
      <c r="AA73" s="3">
        <f t="shared" si="37"/>
        <v>6.7454776867040716</v>
      </c>
      <c r="AB73" s="3">
        <f t="shared" si="40"/>
        <v>1.7408955647328825</v>
      </c>
      <c r="AC73" s="3">
        <f t="shared" si="38"/>
        <v>6.4061297327119693</v>
      </c>
      <c r="AD73" s="48"/>
      <c r="AE73" s="46">
        <f t="shared" si="33"/>
        <v>40.685306698608905</v>
      </c>
      <c r="AF73" s="46">
        <f t="shared" si="34"/>
        <v>-255.04089471481484</v>
      </c>
      <c r="AG73" s="47">
        <f t="shared" si="35"/>
        <v>83501.354853819968</v>
      </c>
      <c r="AH73" s="45" t="str">
        <f t="shared" si="39"/>
        <v>-255.04089,40.68531,83501</v>
      </c>
      <c r="AI73" s="44">
        <f t="shared" si="41"/>
        <v>457.02409402996756</v>
      </c>
    </row>
    <row r="74" spans="1:35" ht="18" customHeight="1" x14ac:dyDescent="0.25">
      <c r="A74" s="36">
        <f t="shared" si="36"/>
        <v>0.74032408564814822</v>
      </c>
      <c r="B74" s="42">
        <f t="shared" si="21"/>
        <v>40.703301876837429</v>
      </c>
      <c r="C74" s="43">
        <f t="shared" si="22"/>
        <v>105.02998924383888</v>
      </c>
      <c r="D74" s="18">
        <f t="shared" si="23"/>
        <v>83.420808031631168</v>
      </c>
      <c r="E74" s="21" t="str">
        <f t="shared" si="24"/>
        <v>Umbra</v>
      </c>
      <c r="F74" s="23">
        <f>IF($E74&lt;&gt;"Umbra",fracil2($S$2,$S$3,$S$4,$A74,$Q$2,$O$3,$Q$4,$U74,$V74,$W74),0)</f>
        <v>0</v>
      </c>
      <c r="G74" s="19">
        <f t="shared" si="25"/>
        <v>70.318354693644707</v>
      </c>
      <c r="H74" s="19">
        <f t="shared" si="26"/>
        <v>7.1776796266851104</v>
      </c>
      <c r="I74" s="19">
        <f t="shared" si="27"/>
        <v>8.3856975760800054</v>
      </c>
      <c r="J74" s="28">
        <f t="shared" si="28"/>
        <v>0.16292560774370179</v>
      </c>
      <c r="K74" s="24">
        <f t="shared" si="29"/>
        <v>499.65128012065622</v>
      </c>
      <c r="L74" s="32">
        <f t="shared" si="30"/>
        <v>0.52393597504749889</v>
      </c>
      <c r="M74" s="35">
        <f t="shared" si="31"/>
        <v>19.870708800446081</v>
      </c>
      <c r="O74" s="29">
        <f t="shared" si="32"/>
        <v>488.73189719232806</v>
      </c>
      <c r="P74" s="44"/>
      <c r="Q74" s="4"/>
      <c r="S74" s="3"/>
      <c r="T74" s="48">
        <v>0.74032408564814822</v>
      </c>
      <c r="U74" s="29">
        <v>-629.64858688270112</v>
      </c>
      <c r="V74" s="29">
        <v>4864.8040298622918</v>
      </c>
      <c r="W74" s="29">
        <v>4191.9016216761402</v>
      </c>
      <c r="X74" s="4">
        <v>-6.1878845183012725</v>
      </c>
      <c r="Y74" s="4">
        <v>-2.1906042346534189</v>
      </c>
      <c r="Z74" s="4">
        <v>1.4768702327162371</v>
      </c>
      <c r="AA74" s="3">
        <f t="shared" si="37"/>
        <v>6.7282841355725589</v>
      </c>
      <c r="AB74" s="3">
        <f t="shared" si="40"/>
        <v>1.7534738601418092</v>
      </c>
      <c r="AC74" s="3">
        <f t="shared" si="38"/>
        <v>6.3889351680393061</v>
      </c>
      <c r="AD74" s="48"/>
      <c r="AE74" s="46">
        <f t="shared" si="33"/>
        <v>40.703301876837429</v>
      </c>
      <c r="AF74" s="46">
        <f t="shared" si="34"/>
        <v>-254.97001075616112</v>
      </c>
      <c r="AG74" s="47">
        <f t="shared" si="35"/>
        <v>83420.808031631168</v>
      </c>
      <c r="AH74" s="45" t="str">
        <f t="shared" si="39"/>
        <v>-254.97001,40.70330,83421</v>
      </c>
      <c r="AI74" s="44">
        <f t="shared" si="41"/>
        <v>463.32626766204419</v>
      </c>
    </row>
    <row r="75" spans="1:35" ht="18" customHeight="1" x14ac:dyDescent="0.25">
      <c r="A75" s="36">
        <f t="shared" si="36"/>
        <v>0.74033564814814812</v>
      </c>
      <c r="B75" s="42">
        <f t="shared" si="21"/>
        <v>40.721173877275817</v>
      </c>
      <c r="C75" s="43">
        <f t="shared" si="22"/>
        <v>105.10061708084747</v>
      </c>
      <c r="D75" s="18">
        <f t="shared" si="23"/>
        <v>83.338033536640978</v>
      </c>
      <c r="E75" s="21" t="str">
        <f t="shared" si="24"/>
        <v>Umbra</v>
      </c>
      <c r="F75" s="23">
        <f>IF($E75&lt;&gt;"Umbra",fracil2($S$2,$S$3,$S$4,$A75,$Q$2,$O$3,$Q$4,$U75,$V75,$W75),0)</f>
        <v>0</v>
      </c>
      <c r="G75" s="19">
        <f t="shared" si="25"/>
        <v>70.290015012306768</v>
      </c>
      <c r="H75" s="19">
        <f t="shared" si="26"/>
        <v>7.0226177122731555</v>
      </c>
      <c r="I75" s="19">
        <f t="shared" si="27"/>
        <v>8.2306356616680514</v>
      </c>
      <c r="J75" s="28">
        <f t="shared" si="28"/>
        <v>0.15955031374861342</v>
      </c>
      <c r="K75" s="24">
        <f t="shared" si="29"/>
        <v>505.87149552095639</v>
      </c>
      <c r="L75" s="32">
        <f t="shared" si="30"/>
        <v>0.52435502799272216</v>
      </c>
      <c r="M75" s="35">
        <f t="shared" si="31"/>
        <v>19.794575930727675</v>
      </c>
      <c r="O75" s="29">
        <f t="shared" si="32"/>
        <v>495.0031389428442</v>
      </c>
      <c r="P75" s="44"/>
      <c r="Q75" s="4"/>
      <c r="S75" s="3"/>
      <c r="T75" s="48">
        <v>0.74033564814814812</v>
      </c>
      <c r="U75" s="29">
        <v>-635.82105582572535</v>
      </c>
      <c r="V75" s="29">
        <v>4862.6152354796841</v>
      </c>
      <c r="W75" s="29">
        <v>4193.3717042427143</v>
      </c>
      <c r="X75" s="4">
        <v>-6.1710537072895271</v>
      </c>
      <c r="Y75" s="4">
        <v>-2.191945759115268</v>
      </c>
      <c r="Z75" s="4">
        <v>1.4666317875453949</v>
      </c>
      <c r="AA75" s="3">
        <f t="shared" si="37"/>
        <v>6.7110013313509196</v>
      </c>
      <c r="AB75" s="3">
        <f t="shared" si="40"/>
        <v>1.7643197281345371</v>
      </c>
      <c r="AC75" s="3">
        <f t="shared" si="38"/>
        <v>6.3716515497046293</v>
      </c>
      <c r="AD75" s="48"/>
      <c r="AE75" s="46">
        <f t="shared" si="33"/>
        <v>40.721173877275817</v>
      </c>
      <c r="AF75" s="46">
        <f t="shared" si="34"/>
        <v>-254.89938291915252</v>
      </c>
      <c r="AG75" s="47">
        <f t="shared" si="35"/>
        <v>83338.033536640985</v>
      </c>
      <c r="AH75" s="45" t="str">
        <f t="shared" si="39"/>
        <v>-254.89938,40.72117,83338</v>
      </c>
      <c r="AI75" s="44">
        <f t="shared" si="41"/>
        <v>469.60209914748765</v>
      </c>
    </row>
    <row r="76" spans="1:35" ht="18" customHeight="1" x14ac:dyDescent="0.25">
      <c r="A76" s="36">
        <f t="shared" si="36"/>
        <v>0.7403472337962963</v>
      </c>
      <c r="B76" s="42">
        <f t="shared" si="21"/>
        <v>40.738982563828657</v>
      </c>
      <c r="C76" s="43">
        <f t="shared" si="22"/>
        <v>105.17122531848007</v>
      </c>
      <c r="D76" s="18">
        <f t="shared" si="23"/>
        <v>83.252724791157561</v>
      </c>
      <c r="E76" s="21" t="str">
        <f t="shared" si="24"/>
        <v>Umbra</v>
      </c>
      <c r="F76" s="23">
        <f>IF($E76&lt;&gt;"Umbra",fracil2($S$2,$S$3,$S$4,$A76,$Q$2,$O$3,$Q$4,$U76,$V76,$W76),0)</f>
        <v>0</v>
      </c>
      <c r="G76" s="19">
        <f t="shared" si="25"/>
        <v>70.262476123130028</v>
      </c>
      <c r="H76" s="19">
        <f t="shared" si="26"/>
        <v>6.8704783364173858</v>
      </c>
      <c r="I76" s="19">
        <f t="shared" si="27"/>
        <v>8.0784962858122817</v>
      </c>
      <c r="J76" s="28">
        <f t="shared" si="28"/>
        <v>0.15630072003723175</v>
      </c>
      <c r="K76" s="24">
        <f t="shared" si="29"/>
        <v>512.08831013508905</v>
      </c>
      <c r="L76" s="32">
        <f t="shared" si="30"/>
        <v>0.52476558187674782</v>
      </c>
      <c r="M76" s="35">
        <f t="shared" si="31"/>
        <v>19.719571831163094</v>
      </c>
      <c r="O76" s="29">
        <f t="shared" si="32"/>
        <v>501.26922323285515</v>
      </c>
      <c r="P76" s="44"/>
      <c r="Q76" s="4"/>
      <c r="S76" s="3"/>
      <c r="T76" s="48">
        <v>0.7403472337962963</v>
      </c>
      <c r="U76" s="29">
        <v>-641.98822830701943</v>
      </c>
      <c r="V76" s="29">
        <v>4860.4210073624054</v>
      </c>
      <c r="W76" s="29">
        <v>4194.8342923264427</v>
      </c>
      <c r="X76" s="4">
        <v>-6.1540709371418627</v>
      </c>
      <c r="Y76" s="4">
        <v>-2.1932265310755383</v>
      </c>
      <c r="Z76" s="4">
        <v>1.4563601988015666</v>
      </c>
      <c r="AA76" s="3">
        <f t="shared" si="37"/>
        <v>6.6935653238495476</v>
      </c>
      <c r="AB76" s="3">
        <f t="shared" si="40"/>
        <v>1.7763820286828484</v>
      </c>
      <c r="AC76" s="3">
        <f t="shared" si="38"/>
        <v>6.3542149283291405</v>
      </c>
      <c r="AD76" s="48"/>
      <c r="AE76" s="46">
        <f t="shared" si="33"/>
        <v>40.738982563828657</v>
      </c>
      <c r="AF76" s="46">
        <f t="shared" si="34"/>
        <v>-254.82877468151992</v>
      </c>
      <c r="AG76" s="47">
        <f t="shared" si="35"/>
        <v>83252.724791157554</v>
      </c>
      <c r="AH76" s="45" t="str">
        <f t="shared" si="39"/>
        <v>-254.82877,40.73898,83253</v>
      </c>
      <c r="AI76" s="44">
        <f t="shared" si="41"/>
        <v>475.87262415534627</v>
      </c>
    </row>
    <row r="77" spans="1:35" ht="18" customHeight="1" x14ac:dyDescent="0.25">
      <c r="A77" s="36">
        <f t="shared" si="36"/>
        <v>0.74035880787037034</v>
      </c>
      <c r="B77" s="42">
        <f t="shared" si="21"/>
        <v>40.756684849338022</v>
      </c>
      <c r="C77" s="43">
        <f t="shared" si="22"/>
        <v>105.24164438751508</v>
      </c>
      <c r="D77" s="18">
        <f t="shared" si="23"/>
        <v>83.165054912684354</v>
      </c>
      <c r="E77" s="21" t="str">
        <f t="shared" si="24"/>
        <v>Umbra</v>
      </c>
      <c r="F77" s="23">
        <f>IF($E77&lt;&gt;"Umbra",fracil2($S$2,$S$3,$S$4,$A77,$Q$2,$O$3,$Q$4,$U77,$V77,$W77),0)</f>
        <v>0</v>
      </c>
      <c r="G77" s="19">
        <f t="shared" si="25"/>
        <v>70.235778401206815</v>
      </c>
      <c r="H77" s="19">
        <f t="shared" si="26"/>
        <v>6.7215055319790311</v>
      </c>
      <c r="I77" s="19">
        <f t="shared" si="27"/>
        <v>7.9295234813739262</v>
      </c>
      <c r="J77" s="28">
        <f t="shared" si="28"/>
        <v>0.15317797822080648</v>
      </c>
      <c r="K77" s="24">
        <f t="shared" si="29"/>
        <v>518.28670007799542</v>
      </c>
      <c r="L77" s="32">
        <f t="shared" si="30"/>
        <v>0.52516698927309902</v>
      </c>
      <c r="M77" s="35">
        <f t="shared" si="31"/>
        <v>19.645826154894333</v>
      </c>
      <c r="O77" s="29">
        <f t="shared" si="32"/>
        <v>507.5151030718215</v>
      </c>
      <c r="P77" s="44"/>
      <c r="Q77" s="4"/>
      <c r="S77" s="3"/>
      <c r="T77" s="48">
        <v>0.74035880787037034</v>
      </c>
      <c r="U77" s="29">
        <v>-648.13510035899094</v>
      </c>
      <c r="V77" s="29">
        <v>4858.2266896277606</v>
      </c>
      <c r="W77" s="29">
        <v>4196.2858297217354</v>
      </c>
      <c r="X77" s="4">
        <v>-6.1369713374668899</v>
      </c>
      <c r="Y77" s="4">
        <v>-2.194440960655764</v>
      </c>
      <c r="Z77" s="4">
        <v>1.4460790689765122</v>
      </c>
      <c r="AA77" s="3">
        <f t="shared" si="37"/>
        <v>6.6760117585595902</v>
      </c>
      <c r="AB77" s="3">
        <f t="shared" si="40"/>
        <v>1.7901257968816753</v>
      </c>
      <c r="AC77" s="3">
        <f t="shared" si="38"/>
        <v>6.3366609547649722</v>
      </c>
      <c r="AD77" s="48"/>
      <c r="AE77" s="46">
        <f t="shared" si="33"/>
        <v>40.756684849338022</v>
      </c>
      <c r="AF77" s="46">
        <f t="shared" si="34"/>
        <v>-254.75835561248493</v>
      </c>
      <c r="AG77" s="47">
        <f t="shared" si="35"/>
        <v>83165.054912684354</v>
      </c>
      <c r="AH77" s="45" t="str">
        <f t="shared" si="39"/>
        <v>-254.75836,40.75668,83165</v>
      </c>
      <c r="AI77" s="44">
        <f t="shared" si="41"/>
        <v>482.12278876516575</v>
      </c>
    </row>
    <row r="78" spans="1:35" ht="18" customHeight="1" x14ac:dyDescent="0.25">
      <c r="A78" s="36">
        <f t="shared" si="36"/>
        <v>0.74037035879629631</v>
      </c>
      <c r="B78" s="42">
        <f t="shared" si="21"/>
        <v>40.774245921075213</v>
      </c>
      <c r="C78" s="43">
        <f t="shared" si="22"/>
        <v>105.3117289275325</v>
      </c>
      <c r="D78" s="18">
        <f t="shared" si="23"/>
        <v>83.075182158712778</v>
      </c>
      <c r="E78" s="21" t="str">
        <f t="shared" si="24"/>
        <v>Umbra</v>
      </c>
      <c r="F78" s="23">
        <f>IF($E78&lt;&gt;"Umbra",fracil2($S$2,$S$3,$S$4,$A78,$Q$2,$O$3,$Q$4,$U78,$V78,$W78),0)</f>
        <v>0</v>
      </c>
      <c r="G78" s="19">
        <f t="shared" si="25"/>
        <v>70.209927951186401</v>
      </c>
      <c r="H78" s="19">
        <f t="shared" si="26"/>
        <v>6.5758716841349516</v>
      </c>
      <c r="I78" s="19">
        <f t="shared" si="27"/>
        <v>7.7838896335298466</v>
      </c>
      <c r="J78" s="28">
        <f t="shared" si="28"/>
        <v>0.15018143943042664</v>
      </c>
      <c r="K78" s="24">
        <f t="shared" si="29"/>
        <v>524.45384272564286</v>
      </c>
      <c r="L78" s="32">
        <f t="shared" si="30"/>
        <v>0.52555885474965247</v>
      </c>
      <c r="M78" s="35">
        <f t="shared" si="31"/>
        <v>19.57344995617467</v>
      </c>
      <c r="O78" s="29">
        <f t="shared" si="32"/>
        <v>513.72796120980138</v>
      </c>
      <c r="P78" s="44"/>
      <c r="Q78" s="4"/>
      <c r="S78" s="3"/>
      <c r="T78" s="48">
        <v>0.74037035879629631</v>
      </c>
      <c r="U78" s="29">
        <v>-654.24939087584312</v>
      </c>
      <c r="V78" s="29">
        <v>4856.0367207548888</v>
      </c>
      <c r="W78" s="29">
        <v>4197.7234596710859</v>
      </c>
      <c r="X78" s="4">
        <v>-6.1197839135131415</v>
      </c>
      <c r="Y78" s="4">
        <v>-2.1955845012515378</v>
      </c>
      <c r="Z78" s="4">
        <v>1.4358078235819032</v>
      </c>
      <c r="AA78" s="3">
        <f t="shared" si="37"/>
        <v>6.658369962422424</v>
      </c>
      <c r="AB78" s="3">
        <f t="shared" si="40"/>
        <v>1.8027075376525943</v>
      </c>
      <c r="AC78" s="3">
        <f t="shared" si="38"/>
        <v>6.3190189593509061</v>
      </c>
      <c r="AD78" s="48"/>
      <c r="AE78" s="46">
        <f t="shared" si="33"/>
        <v>40.774245921075213</v>
      </c>
      <c r="AF78" s="46">
        <f t="shared" si="34"/>
        <v>-254.6882710724675</v>
      </c>
      <c r="AG78" s="47">
        <f t="shared" si="35"/>
        <v>83075.182158712778</v>
      </c>
      <c r="AH78" s="45" t="str">
        <f t="shared" si="39"/>
        <v>-254.68827,40.77425,83075</v>
      </c>
      <c r="AI78" s="44">
        <f t="shared" si="41"/>
        <v>488.33977794203707</v>
      </c>
    </row>
    <row r="79" spans="1:35" ht="18" customHeight="1" x14ac:dyDescent="0.25">
      <c r="A79" s="36">
        <f t="shared" si="36"/>
        <v>0.74038193287037035</v>
      </c>
      <c r="B79" s="42">
        <f t="shared" si="21"/>
        <v>40.791762156467833</v>
      </c>
      <c r="C79" s="43">
        <f t="shared" si="22"/>
        <v>105.38186821942068</v>
      </c>
      <c r="D79" s="18">
        <f t="shared" si="23"/>
        <v>82.982583994677952</v>
      </c>
      <c r="E79" s="21" t="str">
        <f t="shared" si="24"/>
        <v>Umbra</v>
      </c>
      <c r="F79" s="23">
        <f>IF($E79&lt;&gt;"Umbra",fracil2($S$2,$S$3,$S$4,$A79,$Q$2,$O$3,$Q$4,$U79,$V79,$W79),0)</f>
        <v>0</v>
      </c>
      <c r="G79" s="19">
        <f t="shared" si="25"/>
        <v>70.18476878585588</v>
      </c>
      <c r="H79" s="19">
        <f t="shared" si="26"/>
        <v>6.432656058916538</v>
      </c>
      <c r="I79" s="19">
        <f t="shared" si="27"/>
        <v>7.6406740083114331</v>
      </c>
      <c r="J79" s="28">
        <f t="shared" si="28"/>
        <v>0.14728851532797271</v>
      </c>
      <c r="K79" s="24">
        <f t="shared" si="29"/>
        <v>530.62388412509961</v>
      </c>
      <c r="L79" s="32">
        <f t="shared" si="30"/>
        <v>0.52594363356871898</v>
      </c>
      <c r="M79" s="35">
        <f t="shared" si="31"/>
        <v>19.501985732573619</v>
      </c>
      <c r="O79" s="29">
        <f t="shared" si="32"/>
        <v>519.94228466719358</v>
      </c>
      <c r="P79" s="44"/>
      <c r="Q79" s="4"/>
      <c r="S79" s="3"/>
      <c r="T79" s="48">
        <v>0.74038193287037035</v>
      </c>
      <c r="U79" s="29">
        <v>-660.36454877706569</v>
      </c>
      <c r="V79" s="29">
        <v>4853.8391366201258</v>
      </c>
      <c r="W79" s="29">
        <v>4199.1550576497721</v>
      </c>
      <c r="X79" s="4">
        <v>-6.1024084092170572</v>
      </c>
      <c r="Y79" s="4">
        <v>-2.196660884326282</v>
      </c>
      <c r="Z79" s="4">
        <v>1.425488903019281</v>
      </c>
      <c r="AA79" s="3">
        <f t="shared" si="37"/>
        <v>6.6405365781872847</v>
      </c>
      <c r="AB79" s="3">
        <f t="shared" si="40"/>
        <v>1.8186183839108778</v>
      </c>
      <c r="AC79" s="3">
        <f t="shared" si="38"/>
        <v>6.3011855874783302</v>
      </c>
      <c r="AD79" s="48"/>
      <c r="AE79" s="46">
        <f t="shared" si="33"/>
        <v>40.791762156467833</v>
      </c>
      <c r="AF79" s="46">
        <f t="shared" si="34"/>
        <v>-254.61813178057932</v>
      </c>
      <c r="AG79" s="47">
        <f t="shared" si="35"/>
        <v>82982.58399467796</v>
      </c>
      <c r="AH79" s="45" t="str">
        <f t="shared" si="39"/>
        <v>-254.61813,40.79176,82983</v>
      </c>
      <c r="AI79" s="44">
        <f t="shared" si="41"/>
        <v>494.55810128496842</v>
      </c>
    </row>
    <row r="80" spans="1:35" ht="18" customHeight="1" x14ac:dyDescent="0.25">
      <c r="A80" s="36">
        <f t="shared" si="36"/>
        <v>0.74039350694444439</v>
      </c>
      <c r="B80" s="42">
        <f t="shared" si="21"/>
        <v>40.809174207558563</v>
      </c>
      <c r="C80" s="43">
        <f t="shared" si="22"/>
        <v>105.45181808631581</v>
      </c>
      <c r="D80" s="18">
        <f t="shared" si="23"/>
        <v>82.887535439655039</v>
      </c>
      <c r="E80" s="21" t="str">
        <f t="shared" si="24"/>
        <v>Umbra</v>
      </c>
      <c r="F80" s="23">
        <f>IF($E80&lt;&gt;"Umbra",fracil2($S$2,$S$3,$S$4,$A80,$Q$2,$O$3,$Q$4,$U80,$V80,$W80),0)</f>
        <v>0</v>
      </c>
      <c r="G80" s="19">
        <f t="shared" si="25"/>
        <v>70.160344454536528</v>
      </c>
      <c r="H80" s="19">
        <f t="shared" si="26"/>
        <v>6.2922551309733468</v>
      </c>
      <c r="I80" s="19">
        <f t="shared" si="27"/>
        <v>7.5002730803682418</v>
      </c>
      <c r="J80" s="28">
        <f t="shared" si="28"/>
        <v>0.14450385235679766</v>
      </c>
      <c r="K80" s="24">
        <f t="shared" si="29"/>
        <v>536.77532174450425</v>
      </c>
      <c r="L80" s="32">
        <f t="shared" si="30"/>
        <v>0.52632033431003389</v>
      </c>
      <c r="M80" s="35">
        <f t="shared" si="31"/>
        <v>19.431656556672252</v>
      </c>
      <c r="O80" s="29">
        <f t="shared" si="32"/>
        <v>526.13649916146994</v>
      </c>
      <c r="P80" s="44"/>
      <c r="Q80" s="4"/>
      <c r="S80" s="3"/>
      <c r="T80" s="48">
        <v>0.74039350694444439</v>
      </c>
      <c r="U80" s="29">
        <v>-666.4597993289168</v>
      </c>
      <c r="V80" s="29">
        <v>4851.6413963943878</v>
      </c>
      <c r="W80" s="29">
        <v>4200.5757511843776</v>
      </c>
      <c r="X80" s="4">
        <v>-6.0848968522816467</v>
      </c>
      <c r="Y80" s="4">
        <v>-2.1976636304482513</v>
      </c>
      <c r="Z80" s="4">
        <v>1.415155816588566</v>
      </c>
      <c r="AA80" s="3">
        <f t="shared" si="37"/>
        <v>6.6225645425866961</v>
      </c>
      <c r="AB80" s="3">
        <f t="shared" si="40"/>
        <v>1.8327357903516455</v>
      </c>
      <c r="AC80" s="3">
        <f t="shared" si="38"/>
        <v>6.2832137803181967</v>
      </c>
      <c r="AD80" s="48"/>
      <c r="AE80" s="46">
        <f t="shared" si="33"/>
        <v>40.809174207558563</v>
      </c>
      <c r="AF80" s="46">
        <f t="shared" si="34"/>
        <v>-254.54818191368418</v>
      </c>
      <c r="AG80" s="47">
        <f t="shared" si="35"/>
        <v>82887.535439655039</v>
      </c>
      <c r="AH80" s="45" t="str">
        <f t="shared" si="39"/>
        <v>-254.54818,40.80917,82888</v>
      </c>
      <c r="AI80" s="44">
        <f t="shared" si="41"/>
        <v>500.75618134677387</v>
      </c>
    </row>
    <row r="81" spans="1:35" ht="18" customHeight="1" x14ac:dyDescent="0.25">
      <c r="A81" s="36">
        <f t="shared" si="36"/>
        <v>0.74040508101851854</v>
      </c>
      <c r="B81" s="42">
        <f t="shared" si="21"/>
        <v>40.826482311195072</v>
      </c>
      <c r="C81" s="43">
        <f t="shared" si="22"/>
        <v>105.52157751080064</v>
      </c>
      <c r="D81" s="18">
        <f t="shared" si="23"/>
        <v>82.790011546209826</v>
      </c>
      <c r="E81" s="21" t="str">
        <f t="shared" si="24"/>
        <v>Umbra</v>
      </c>
      <c r="F81" s="23">
        <f>IF($E81&lt;&gt;"Umbra",fracil2($S$2,$S$3,$S$4,$A81,$Q$2,$O$3,$Q$4,$U81,$V81,$W81),0)</f>
        <v>0</v>
      </c>
      <c r="G81" s="19">
        <f t="shared" si="25"/>
        <v>70.136626504433892</v>
      </c>
      <c r="H81" s="19">
        <f t="shared" si="26"/>
        <v>6.1545629585597181</v>
      </c>
      <c r="I81" s="19">
        <f t="shared" si="27"/>
        <v>7.3625809079546132</v>
      </c>
      <c r="J81" s="28">
        <f t="shared" si="28"/>
        <v>0.14182195497913919</v>
      </c>
      <c r="K81" s="24">
        <f t="shared" si="29"/>
        <v>542.90801493495462</v>
      </c>
      <c r="L81" s="32">
        <f t="shared" si="30"/>
        <v>0.52668926815570349</v>
      </c>
      <c r="M81" s="35">
        <f t="shared" si="31"/>
        <v>19.3624223745332</v>
      </c>
      <c r="O81" s="29">
        <f t="shared" si="32"/>
        <v>532.31054739697356</v>
      </c>
      <c r="P81" s="44"/>
      <c r="Q81" s="4"/>
      <c r="S81" s="3"/>
      <c r="T81" s="48">
        <v>0.74040508101851854</v>
      </c>
      <c r="U81" s="29">
        <v>-672.53508563081164</v>
      </c>
      <c r="V81" s="29">
        <v>4849.4435511792944</v>
      </c>
      <c r="W81" s="29">
        <v>4201.9855496089158</v>
      </c>
      <c r="X81" s="4">
        <v>-6.0672431985471444</v>
      </c>
      <c r="Y81" s="4">
        <v>-2.1985901769267029</v>
      </c>
      <c r="Z81" s="4">
        <v>1.4048073265739427</v>
      </c>
      <c r="AA81" s="3">
        <f t="shared" si="37"/>
        <v>6.6044471699901575</v>
      </c>
      <c r="AB81" s="3">
        <f t="shared" si="40"/>
        <v>1.8475346315883618</v>
      </c>
      <c r="AC81" s="3">
        <f t="shared" si="38"/>
        <v>6.2650968557207225</v>
      </c>
      <c r="AD81" s="48"/>
      <c r="AE81" s="46">
        <f t="shared" si="33"/>
        <v>40.826482311195072</v>
      </c>
      <c r="AF81" s="46">
        <f t="shared" si="34"/>
        <v>-254.47842248919937</v>
      </c>
      <c r="AG81" s="47">
        <f t="shared" si="35"/>
        <v>82790.011546209833</v>
      </c>
      <c r="AH81" s="45" t="str">
        <f t="shared" si="39"/>
        <v>-254.47842,40.82648,82790</v>
      </c>
      <c r="AI81" s="44">
        <f t="shared" si="41"/>
        <v>506.93396612984287</v>
      </c>
    </row>
    <row r="82" spans="1:35" ht="18" customHeight="1" x14ac:dyDescent="0.25">
      <c r="A82" s="36">
        <f t="shared" si="36"/>
        <v>0.74041665509259269</v>
      </c>
      <c r="B82" s="42">
        <f t="shared" si="21"/>
        <v>40.843685884572686</v>
      </c>
      <c r="C82" s="43">
        <f t="shared" si="22"/>
        <v>105.59114195568255</v>
      </c>
      <c r="D82" s="18">
        <f t="shared" si="23"/>
        <v>82.689992200344932</v>
      </c>
      <c r="E82" s="21" t="str">
        <f t="shared" si="24"/>
        <v>Umbra</v>
      </c>
      <c r="F82" s="23">
        <f>IF($E82&lt;&gt;"Umbra",fracil2($S$2,$S$3,$S$4,$A82,$Q$2,$O$3,$Q$4,$U82,$V82,$W82),0)</f>
        <v>0</v>
      </c>
      <c r="G82" s="19">
        <f t="shared" si="25"/>
        <v>70.113588539903162</v>
      </c>
      <c r="H82" s="19">
        <f t="shared" si="26"/>
        <v>6.0194855290214466</v>
      </c>
      <c r="I82" s="19">
        <f t="shared" si="27"/>
        <v>7.2275034784163417</v>
      </c>
      <c r="J82" s="28">
        <f t="shared" si="28"/>
        <v>0.13923778509120971</v>
      </c>
      <c r="K82" s="24">
        <f t="shared" si="29"/>
        <v>549.02151932831259</v>
      </c>
      <c r="L82" s="32">
        <f t="shared" si="30"/>
        <v>0.52705071419409133</v>
      </c>
      <c r="M82" s="35">
        <f t="shared" si="31"/>
        <v>19.294248761566436</v>
      </c>
      <c r="O82" s="29">
        <f t="shared" si="32"/>
        <v>538.46406251212954</v>
      </c>
      <c r="P82" s="44"/>
      <c r="Q82" s="4"/>
      <c r="S82" s="3"/>
      <c r="T82" s="48">
        <v>0.74041665509259269</v>
      </c>
      <c r="U82" s="29">
        <v>-678.59006191392643</v>
      </c>
      <c r="V82" s="29">
        <v>4847.2457572044277</v>
      </c>
      <c r="W82" s="29">
        <v>4203.3843956046858</v>
      </c>
      <c r="X82" s="4">
        <v>-6.0494421234860534</v>
      </c>
      <c r="Y82" s="4">
        <v>-2.1994378549004874</v>
      </c>
      <c r="Z82" s="4">
        <v>1.3944426727304455</v>
      </c>
      <c r="AA82" s="3">
        <f t="shared" si="37"/>
        <v>6.5861785012637144</v>
      </c>
      <c r="AB82" s="3">
        <f t="shared" si="40"/>
        <v>1.862940816656619</v>
      </c>
      <c r="AC82" s="3">
        <f t="shared" si="38"/>
        <v>6.246828858072468</v>
      </c>
      <c r="AD82" s="48"/>
      <c r="AE82" s="46">
        <f t="shared" si="33"/>
        <v>40.843685884572686</v>
      </c>
      <c r="AF82" s="46">
        <f t="shared" si="34"/>
        <v>-254.40885804431747</v>
      </c>
      <c r="AG82" s="47">
        <f t="shared" si="35"/>
        <v>82689.992200344932</v>
      </c>
      <c r="AH82" s="45" t="str">
        <f t="shared" si="39"/>
        <v>-254.40886,40.84369,82690</v>
      </c>
      <c r="AI82" s="44">
        <f t="shared" si="41"/>
        <v>513.09109380236032</v>
      </c>
    </row>
    <row r="83" spans="1:35" ht="18" customHeight="1" x14ac:dyDescent="0.25">
      <c r="A83" s="36">
        <f t="shared" si="36"/>
        <v>0.74042826388888894</v>
      </c>
      <c r="B83" s="42">
        <f t="shared" si="21"/>
        <v>40.860848770354742</v>
      </c>
      <c r="C83" s="43">
        <f t="shared" si="22"/>
        <v>105.6607718808288</v>
      </c>
      <c r="D83" s="18">
        <f t="shared" si="23"/>
        <v>82.587065535275542</v>
      </c>
      <c r="E83" s="21" t="str">
        <f t="shared" si="24"/>
        <v>Umbra</v>
      </c>
      <c r="F83" s="23">
        <f>IF($E83&lt;&gt;"Umbra",fracil2($S$2,$S$3,$S$4,$A83,$Q$2,$O$3,$Q$4,$U83,$V83,$W83),0)</f>
        <v>0</v>
      </c>
      <c r="G83" s="19">
        <f t="shared" si="25"/>
        <v>70.091130022782494</v>
      </c>
      <c r="H83" s="19">
        <f t="shared" si="26"/>
        <v>5.886431904988604</v>
      </c>
      <c r="I83" s="19">
        <f t="shared" si="27"/>
        <v>7.0944498543834991</v>
      </c>
      <c r="J83" s="28">
        <f t="shared" si="28"/>
        <v>0.13673727736828734</v>
      </c>
      <c r="K83" s="24">
        <f t="shared" si="29"/>
        <v>555.13864794817664</v>
      </c>
      <c r="L83" s="32">
        <f t="shared" si="30"/>
        <v>0.52740625104330152</v>
      </c>
      <c r="M83" s="35">
        <f t="shared" si="31"/>
        <v>19.226841600009053</v>
      </c>
      <c r="O83" s="29">
        <f t="shared" si="32"/>
        <v>544.62007628240849</v>
      </c>
      <c r="P83" s="44"/>
      <c r="Q83" s="4"/>
      <c r="S83" s="3"/>
      <c r="T83" s="48">
        <v>0.74042826388888894</v>
      </c>
      <c r="U83" s="29">
        <v>-684.64714705877986</v>
      </c>
      <c r="V83" s="29">
        <v>4845.0398679046239</v>
      </c>
      <c r="W83" s="29">
        <v>4204.7774567869174</v>
      </c>
      <c r="X83" s="4">
        <v>-6.0314200113146796</v>
      </c>
      <c r="Y83" s="4">
        <v>-2.2002066599833507</v>
      </c>
      <c r="Z83" s="4">
        <v>1.3840218084930631</v>
      </c>
      <c r="AA83" s="3">
        <f t="shared" si="37"/>
        <v>6.5676824729813692</v>
      </c>
      <c r="AB83" s="3">
        <f t="shared" si="40"/>
        <v>1.8804616892911949</v>
      </c>
      <c r="AC83" s="3">
        <f t="shared" si="38"/>
        <v>6.2283337313253808</v>
      </c>
      <c r="AD83" s="48"/>
      <c r="AE83" s="46">
        <f t="shared" si="33"/>
        <v>40.860848770354742</v>
      </c>
      <c r="AF83" s="46">
        <f t="shared" si="34"/>
        <v>-254.3392281191712</v>
      </c>
      <c r="AG83" s="47">
        <f t="shared" si="35"/>
        <v>82587.065535275542</v>
      </c>
      <c r="AH83" s="45" t="str">
        <f t="shared" si="39"/>
        <v>-254.33923,40.86085,82587</v>
      </c>
      <c r="AI83" s="44">
        <f t="shared" si="41"/>
        <v>519.25061109789226</v>
      </c>
    </row>
    <row r="84" spans="1:35" ht="18" customHeight="1" x14ac:dyDescent="0.25">
      <c r="A84" s="36">
        <f t="shared" si="36"/>
        <v>0.74043981481481491</v>
      </c>
      <c r="B84" s="42">
        <f t="shared" si="21"/>
        <v>40.877833066324378</v>
      </c>
      <c r="C84" s="43">
        <f t="shared" si="22"/>
        <v>105.7299052566138</v>
      </c>
      <c r="D84" s="18">
        <f t="shared" si="23"/>
        <v>82.482038325439134</v>
      </c>
      <c r="E84" s="21" t="str">
        <f t="shared" si="24"/>
        <v>Umbra</v>
      </c>
      <c r="F84" s="23">
        <f>IF($E84&lt;&gt;"Umbra",fracil2($S$2,$S$3,$S$4,$A84,$Q$2,$O$3,$Q$4,$U84,$V84,$W84),0)</f>
        <v>0</v>
      </c>
      <c r="G84" s="19">
        <f t="shared" si="25"/>
        <v>70.069405728441993</v>
      </c>
      <c r="H84" s="19">
        <f t="shared" si="26"/>
        <v>5.7563805342026937</v>
      </c>
      <c r="I84" s="19">
        <f t="shared" si="27"/>
        <v>6.9643984835975887</v>
      </c>
      <c r="J84" s="28">
        <f t="shared" si="28"/>
        <v>0.13433590880837018</v>
      </c>
      <c r="K84" s="24">
        <f t="shared" si="29"/>
        <v>561.20999033969701</v>
      </c>
      <c r="L84" s="32">
        <f t="shared" si="30"/>
        <v>0.52775329092737999</v>
      </c>
      <c r="M84" s="35">
        <f t="shared" si="31"/>
        <v>19.160709096151674</v>
      </c>
      <c r="O84" s="29">
        <f t="shared" si="32"/>
        <v>550.72893857304473</v>
      </c>
      <c r="P84" s="44"/>
      <c r="Q84" s="4"/>
      <c r="S84" s="3"/>
      <c r="T84" s="48">
        <v>0.74043981481481491</v>
      </c>
      <c r="U84" s="29">
        <v>-690.65751451869824</v>
      </c>
      <c r="V84" s="29">
        <v>4842.8437037046169</v>
      </c>
      <c r="W84" s="29">
        <v>4206.1535325853338</v>
      </c>
      <c r="X84" s="4">
        <v>-6.0133156707112576</v>
      </c>
      <c r="Y84" s="4">
        <v>-2.200887688188681</v>
      </c>
      <c r="Z84" s="4">
        <v>1.3736273853193786</v>
      </c>
      <c r="AA84" s="3">
        <f t="shared" si="37"/>
        <v>6.5491010196317365</v>
      </c>
      <c r="AB84" s="3">
        <f t="shared" si="40"/>
        <v>1.898588645789367</v>
      </c>
      <c r="AC84" s="3">
        <f t="shared" si="38"/>
        <v>6.2097534061852144</v>
      </c>
      <c r="AD84" s="48"/>
      <c r="AE84" s="46">
        <f t="shared" si="33"/>
        <v>40.877833066324378</v>
      </c>
      <c r="AF84" s="46">
        <f t="shared" si="34"/>
        <v>-254.27009474338621</v>
      </c>
      <c r="AG84" s="47">
        <f t="shared" si="35"/>
        <v>82482.038325439134</v>
      </c>
      <c r="AH84" s="45" t="str">
        <f t="shared" si="39"/>
        <v>-254.27009,40.87783,82482</v>
      </c>
      <c r="AI84" s="44">
        <f t="shared" si="41"/>
        <v>525.36284471488034</v>
      </c>
    </row>
    <row r="85" spans="1:35" ht="18" customHeight="1" x14ac:dyDescent="0.25">
      <c r="A85" s="36">
        <f t="shared" si="36"/>
        <v>0.74045138888888884</v>
      </c>
      <c r="B85" s="42">
        <f t="shared" si="21"/>
        <v>40.894767079443916</v>
      </c>
      <c r="C85" s="43">
        <f t="shared" si="22"/>
        <v>105.7990640655746</v>
      </c>
      <c r="D85" s="18">
        <f t="shared" si="23"/>
        <v>82.374099565446159</v>
      </c>
      <c r="E85" s="21" t="str">
        <f t="shared" si="24"/>
        <v>Umbra</v>
      </c>
      <c r="F85" s="23">
        <f>IF($E85&lt;&gt;"Umbra",fracil2($S$2,$S$3,$S$4,$A85,$Q$2,$O$3,$Q$4,$U85,$V85,$W85),0)</f>
        <v>0</v>
      </c>
      <c r="G85" s="19">
        <f t="shared" si="25"/>
        <v>70.048232549585137</v>
      </c>
      <c r="H85" s="19">
        <f t="shared" si="26"/>
        <v>5.6282572218813689</v>
      </c>
      <c r="I85" s="19">
        <f t="shared" si="27"/>
        <v>6.8362751712762639</v>
      </c>
      <c r="J85" s="28">
        <f t="shared" si="28"/>
        <v>0.1320110635137523</v>
      </c>
      <c r="K85" s="24">
        <f t="shared" si="29"/>
        <v>567.28133968368229</v>
      </c>
      <c r="L85" s="32">
        <f t="shared" si="30"/>
        <v>0.52809470687625415</v>
      </c>
      <c r="M85" s="35">
        <f t="shared" si="31"/>
        <v>19.095312193443402</v>
      </c>
      <c r="O85" s="29">
        <f t="shared" si="32"/>
        <v>556.83679690309987</v>
      </c>
      <c r="P85" s="44"/>
      <c r="Q85" s="4"/>
      <c r="S85" s="3"/>
      <c r="T85" s="48">
        <v>0.74045138888888884</v>
      </c>
      <c r="U85" s="29">
        <v>-696.66639643066583</v>
      </c>
      <c r="V85" s="29">
        <v>4840.6407818390962</v>
      </c>
      <c r="W85" s="29">
        <v>4207.5230130867621</v>
      </c>
      <c r="X85" s="4">
        <v>-5.994986396793812</v>
      </c>
      <c r="Y85" s="4">
        <v>-2.2014833414100043</v>
      </c>
      <c r="Z85" s="4">
        <v>1.3631798460765823</v>
      </c>
      <c r="AA85" s="3">
        <f t="shared" si="37"/>
        <v>6.5302871371018583</v>
      </c>
      <c r="AB85" s="3">
        <f t="shared" si="40"/>
        <v>1.9184698927194677</v>
      </c>
      <c r="AC85" s="3">
        <f t="shared" si="38"/>
        <v>6.190940890417445</v>
      </c>
      <c r="AD85" s="48"/>
      <c r="AE85" s="46">
        <f t="shared" si="33"/>
        <v>40.894767079443916</v>
      </c>
      <c r="AF85" s="46">
        <f t="shared" si="34"/>
        <v>-254.20093593442539</v>
      </c>
      <c r="AG85" s="47">
        <f t="shared" si="35"/>
        <v>82374.099565446159</v>
      </c>
      <c r="AH85" s="45" t="str">
        <f t="shared" si="39"/>
        <v>-254.20094,40.89477,82374</v>
      </c>
      <c r="AI85" s="44">
        <f t="shared" si="41"/>
        <v>531.4739704017843</v>
      </c>
    </row>
    <row r="86" spans="1:35" ht="18" customHeight="1" x14ac:dyDescent="0.25">
      <c r="A86" s="36">
        <f t="shared" si="36"/>
        <v>0.74046295138888896</v>
      </c>
      <c r="B86" s="42">
        <f t="shared" si="21"/>
        <v>40.911565898933674</v>
      </c>
      <c r="C86" s="43">
        <f t="shared" si="22"/>
        <v>105.86789152478907</v>
      </c>
      <c r="D86" s="18">
        <f t="shared" si="23"/>
        <v>82.263760903177172</v>
      </c>
      <c r="E86" s="21" t="str">
        <f t="shared" si="24"/>
        <v>Umbra</v>
      </c>
      <c r="F86" s="23">
        <f>IF($E86&lt;&gt;"Umbra",fracil2($S$2,$S$3,$S$4,$A86,$Q$2,$O$3,$Q$4,$U86,$V86,$W86),0)</f>
        <v>0</v>
      </c>
      <c r="G86" s="19">
        <f t="shared" si="25"/>
        <v>70.027675572391146</v>
      </c>
      <c r="H86" s="19">
        <f t="shared" si="26"/>
        <v>5.5026390422749119</v>
      </c>
      <c r="I86" s="19">
        <f t="shared" si="27"/>
        <v>6.7106569916698069</v>
      </c>
      <c r="J86" s="28">
        <f t="shared" si="28"/>
        <v>0.12977066892074976</v>
      </c>
      <c r="K86" s="24">
        <f t="shared" si="29"/>
        <v>573.32139741610331</v>
      </c>
      <c r="L86" s="32">
        <f t="shared" si="30"/>
        <v>0.52842904755473274</v>
      </c>
      <c r="M86" s="35">
        <f t="shared" si="31"/>
        <v>19.030972520668335</v>
      </c>
      <c r="O86" s="29">
        <f t="shared" si="32"/>
        <v>562.91223225129511</v>
      </c>
      <c r="P86" s="44"/>
      <c r="Q86" s="4"/>
      <c r="S86" s="3"/>
      <c r="T86" s="48">
        <v>0.74046295138888896</v>
      </c>
      <c r="U86" s="29">
        <v>-702.64355162504512</v>
      </c>
      <c r="V86" s="29">
        <v>4838.4422064781438</v>
      </c>
      <c r="W86" s="29">
        <v>4208.8790165453838</v>
      </c>
      <c r="X86" s="4">
        <v>-5.9765169418866151</v>
      </c>
      <c r="Y86" s="4">
        <v>-2.2019874936655603</v>
      </c>
      <c r="Z86" s="4">
        <v>1.3527302029143911</v>
      </c>
      <c r="AA86" s="3">
        <f t="shared" si="37"/>
        <v>6.5113272595373433</v>
      </c>
      <c r="AB86" s="3">
        <f t="shared" si="40"/>
        <v>1.9352694291576842</v>
      </c>
      <c r="AC86" s="3">
        <f t="shared" si="38"/>
        <v>6.1719826156469546</v>
      </c>
      <c r="AD86" s="48"/>
      <c r="AE86" s="46">
        <f t="shared" si="33"/>
        <v>40.911565898933674</v>
      </c>
      <c r="AF86" s="46">
        <f t="shared" si="34"/>
        <v>-254.13210847521094</v>
      </c>
      <c r="AG86" s="47">
        <f t="shared" si="35"/>
        <v>82263.760903177172</v>
      </c>
      <c r="AH86" s="45" t="str">
        <f t="shared" si="39"/>
        <v>-254.13211,40.91157,82264</v>
      </c>
      <c r="AI86" s="44">
        <f t="shared" si="41"/>
        <v>537.55256372944461</v>
      </c>
    </row>
    <row r="87" spans="1:35" ht="18" customHeight="1" x14ac:dyDescent="0.25">
      <c r="A87" s="36">
        <f t="shared" si="36"/>
        <v>0.74047452546296288</v>
      </c>
      <c r="B87" s="42">
        <f t="shared" si="21"/>
        <v>40.928288524819898</v>
      </c>
      <c r="C87" s="43">
        <f t="shared" si="22"/>
        <v>105.9366334937426</v>
      </c>
      <c r="D87" s="18">
        <f t="shared" si="23"/>
        <v>82.150612583124712</v>
      </c>
      <c r="E87" s="21" t="str">
        <f t="shared" si="24"/>
        <v>Umbra</v>
      </c>
      <c r="F87" s="23">
        <f>IF($E87&lt;&gt;"Umbra",fracil2($S$2,$S$3,$S$4,$A87,$Q$2,$O$3,$Q$4,$U87,$V87,$W87),0)</f>
        <v>0</v>
      </c>
      <c r="G87" s="19">
        <f t="shared" si="25"/>
        <v>70.007656481778284</v>
      </c>
      <c r="H87" s="19">
        <f t="shared" si="26"/>
        <v>5.3789969638812289</v>
      </c>
      <c r="I87" s="19">
        <f t="shared" si="27"/>
        <v>6.587014913276124</v>
      </c>
      <c r="J87" s="28">
        <f t="shared" si="28"/>
        <v>0.12760287631351158</v>
      </c>
      <c r="K87" s="24">
        <f t="shared" si="29"/>
        <v>579.3516657423753</v>
      </c>
      <c r="L87" s="32">
        <f t="shared" si="30"/>
        <v>0.52875769243450521</v>
      </c>
      <c r="M87" s="35">
        <f t="shared" si="31"/>
        <v>18.967416598829246</v>
      </c>
      <c r="O87" s="29">
        <f t="shared" si="32"/>
        <v>568.97693532101573</v>
      </c>
      <c r="P87" s="44"/>
      <c r="Q87" s="4"/>
      <c r="S87" s="3"/>
      <c r="T87" s="48">
        <v>0.74047452546296288</v>
      </c>
      <c r="U87" s="29">
        <v>-708.60982335800099</v>
      </c>
      <c r="V87" s="29">
        <v>4836.2403451190012</v>
      </c>
      <c r="W87" s="29">
        <v>4210.2262962974228</v>
      </c>
      <c r="X87" s="4">
        <v>-5.9578357411657903</v>
      </c>
      <c r="Y87" s="4">
        <v>-2.2023988768662179</v>
      </c>
      <c r="Z87" s="4">
        <v>1.3422405483161499</v>
      </c>
      <c r="AA87" s="3">
        <f t="shared" si="37"/>
        <v>6.492147350536503</v>
      </c>
      <c r="AB87" s="3">
        <f t="shared" si="40"/>
        <v>1.9557475694213</v>
      </c>
      <c r="AC87" s="3">
        <f t="shared" si="38"/>
        <v>6.1528045549814516</v>
      </c>
      <c r="AD87" s="48"/>
      <c r="AE87" s="46">
        <f t="shared" si="33"/>
        <v>40.928288524819898</v>
      </c>
      <c r="AF87" s="46">
        <f t="shared" si="34"/>
        <v>-254.06336650625741</v>
      </c>
      <c r="AG87" s="47">
        <f t="shared" si="35"/>
        <v>82150.612583124719</v>
      </c>
      <c r="AH87" s="45" t="str">
        <f t="shared" si="39"/>
        <v>-254.06337,40.92829,82151</v>
      </c>
      <c r="AI87" s="44">
        <f t="shared" si="41"/>
        <v>543.62032521322988</v>
      </c>
    </row>
    <row r="88" spans="1:35" ht="18" customHeight="1" x14ac:dyDescent="0.25">
      <c r="A88" s="36">
        <f t="shared" si="36"/>
        <v>0.74048611111111118</v>
      </c>
      <c r="B88" s="42">
        <f t="shared" si="21"/>
        <v>40.944934897362401</v>
      </c>
      <c r="C88" s="43">
        <f t="shared" si="22"/>
        <v>106.00528884678312</v>
      </c>
      <c r="D88" s="18">
        <f t="shared" si="23"/>
        <v>82.034615142939401</v>
      </c>
      <c r="E88" s="21" t="str">
        <f t="shared" si="24"/>
        <v>Umbra</v>
      </c>
      <c r="F88" s="23">
        <f>IF($E88&lt;&gt;"Umbra",fracil2($S$2,$S$3,$S$4,$A88,$Q$2,$O$3,$Q$4,$U88,$V88,$W88),0)</f>
        <v>0</v>
      </c>
      <c r="G88" s="19">
        <f t="shared" si="25"/>
        <v>69.988157592367557</v>
      </c>
      <c r="H88" s="19">
        <f t="shared" si="26"/>
        <v>5.2572640577502145</v>
      </c>
      <c r="I88" s="19">
        <f t="shared" si="27"/>
        <v>6.4652820071451096</v>
      </c>
      <c r="J88" s="28">
        <f t="shared" si="28"/>
        <v>0.12550438124866689</v>
      </c>
      <c r="K88" s="24">
        <f t="shared" si="29"/>
        <v>585.37200703680321</v>
      </c>
      <c r="L88" s="32">
        <f t="shared" si="30"/>
        <v>0.52908083649238991</v>
      </c>
      <c r="M88" s="35">
        <f t="shared" si="31"/>
        <v>18.904618551946808</v>
      </c>
      <c r="O88" s="29">
        <f t="shared" si="32"/>
        <v>575.03082489505903</v>
      </c>
      <c r="P88" s="44"/>
      <c r="Q88" s="4"/>
      <c r="S88" s="3"/>
      <c r="T88" s="48">
        <v>0.74048611111111118</v>
      </c>
      <c r="U88" s="29">
        <v>-714.56512607535785</v>
      </c>
      <c r="V88" s="29">
        <v>4834.0352252278535</v>
      </c>
      <c r="W88" s="29">
        <v>4211.5648246441215</v>
      </c>
      <c r="X88" s="4">
        <v>-5.9389344005107079</v>
      </c>
      <c r="Y88" s="4">
        <v>-2.202713872940858</v>
      </c>
      <c r="Z88" s="4">
        <v>1.3317092221330078</v>
      </c>
      <c r="AA88" s="3">
        <f t="shared" si="37"/>
        <v>6.4727381896636063</v>
      </c>
      <c r="AB88" s="3">
        <f t="shared" si="40"/>
        <v>1.9771235971632719</v>
      </c>
      <c r="AC88" s="3">
        <f t="shared" si="38"/>
        <v>6.1333974933134314</v>
      </c>
      <c r="AD88" s="48"/>
      <c r="AE88" s="46">
        <f t="shared" si="33"/>
        <v>40.944934897362401</v>
      </c>
      <c r="AF88" s="46">
        <f t="shared" si="34"/>
        <v>-253.99471115321688</v>
      </c>
      <c r="AG88" s="47">
        <f t="shared" si="35"/>
        <v>82034.615142939409</v>
      </c>
      <c r="AH88" s="45" t="str">
        <f t="shared" si="39"/>
        <v>-253.99471,40.94493,82035</v>
      </c>
      <c r="AI88" s="44">
        <f t="shared" si="41"/>
        <v>549.67717695710257</v>
      </c>
    </row>
    <row r="89" spans="1:35" ht="18" customHeight="1" x14ac:dyDescent="0.25">
      <c r="A89" s="36">
        <f t="shared" si="36"/>
        <v>0.74049767361111118</v>
      </c>
      <c r="B89" s="42">
        <f t="shared" si="21"/>
        <v>40.961446366526971</v>
      </c>
      <c r="C89" s="43">
        <f t="shared" si="22"/>
        <v>106.07361129254788</v>
      </c>
      <c r="D89" s="18">
        <f t="shared" si="23"/>
        <v>81.916155059772791</v>
      </c>
      <c r="E89" s="21" t="str">
        <f t="shared" si="24"/>
        <v>Umbra</v>
      </c>
      <c r="F89" s="23">
        <f>IF($E89&lt;&gt;"Umbra",fracil2($S$2,$S$3,$S$4,$A89,$Q$2,$O$3,$Q$4,$U89,$V89,$W89),0)</f>
        <v>0</v>
      </c>
      <c r="G89" s="19">
        <f t="shared" si="25"/>
        <v>69.96922323799356</v>
      </c>
      <c r="H89" s="19">
        <f t="shared" si="26"/>
        <v>5.1378012189668905</v>
      </c>
      <c r="I89" s="19">
        <f t="shared" si="27"/>
        <v>6.3458191683617855</v>
      </c>
      <c r="J89" s="28">
        <f t="shared" si="28"/>
        <v>0.12347918113330084</v>
      </c>
      <c r="K89" s="24">
        <f t="shared" si="29"/>
        <v>591.36081633479125</v>
      </c>
      <c r="L89" s="32">
        <f t="shared" si="30"/>
        <v>0.52939755773073094</v>
      </c>
      <c r="M89" s="35">
        <f t="shared" si="31"/>
        <v>18.842778304499273</v>
      </c>
      <c r="O89" s="29">
        <f t="shared" si="32"/>
        <v>581.05223562809806</v>
      </c>
      <c r="P89" s="44"/>
      <c r="Q89" s="4"/>
      <c r="S89" s="3"/>
      <c r="T89" s="48">
        <v>0.74049767361111118</v>
      </c>
      <c r="U89" s="29">
        <v>-720.48832678055385</v>
      </c>
      <c r="V89" s="29">
        <v>4831.8347064918116</v>
      </c>
      <c r="W89" s="29">
        <v>4212.8898763359866</v>
      </c>
      <c r="X89" s="4">
        <v>-5.9198724313127959</v>
      </c>
      <c r="Y89" s="4">
        <v>-2.202928140995259</v>
      </c>
      <c r="Z89" s="4">
        <v>1.3211720684127215</v>
      </c>
      <c r="AA89" s="3">
        <f t="shared" si="37"/>
        <v>6.4531602825096517</v>
      </c>
      <c r="AB89" s="3">
        <f t="shared" si="40"/>
        <v>1.9982822301097394</v>
      </c>
      <c r="AC89" s="3">
        <f t="shared" si="38"/>
        <v>6.113821932920513</v>
      </c>
      <c r="AD89" s="48"/>
      <c r="AE89" s="46">
        <f t="shared" si="33"/>
        <v>40.961446366526971</v>
      </c>
      <c r="AF89" s="46">
        <f t="shared" si="34"/>
        <v>-253.92638870745213</v>
      </c>
      <c r="AG89" s="47">
        <f t="shared" si="35"/>
        <v>81916.155059772791</v>
      </c>
      <c r="AH89" s="45" t="str">
        <f t="shared" si="39"/>
        <v>-253.92639,40.96145,81916</v>
      </c>
      <c r="AI89" s="44">
        <f t="shared" si="41"/>
        <v>555.70144858656147</v>
      </c>
    </row>
    <row r="90" spans="1:35" ht="18" customHeight="1" x14ac:dyDescent="0.25">
      <c r="A90" s="36">
        <f t="shared" si="36"/>
        <v>0.74050925925925926</v>
      </c>
      <c r="B90" s="42">
        <f t="shared" si="21"/>
        <v>40.977899443867003</v>
      </c>
      <c r="C90" s="43">
        <f t="shared" si="22"/>
        <v>106.14191825379433</v>
      </c>
      <c r="D90" s="18">
        <f t="shared" si="23"/>
        <v>81.794655474926003</v>
      </c>
      <c r="E90" s="21" t="str">
        <f t="shared" si="24"/>
        <v>Umbra</v>
      </c>
      <c r="F90" s="23">
        <f>IF($E90&lt;&gt;"Umbra",fracil2($S$2,$S$3,$S$4,$A90,$Q$2,$O$3,$Q$4,$U90,$V90,$W90),0)</f>
        <v>0</v>
      </c>
      <c r="G90" s="19">
        <f t="shared" si="25"/>
        <v>69.950753968885849</v>
      </c>
      <c r="H90" s="19">
        <f t="shared" si="26"/>
        <v>5.0199848785706571</v>
      </c>
      <c r="I90" s="19">
        <f t="shared" si="27"/>
        <v>6.2280028279655522</v>
      </c>
      <c r="J90" s="28">
        <f t="shared" si="28"/>
        <v>0.1215146699056231</v>
      </c>
      <c r="K90" s="24">
        <f t="shared" si="29"/>
        <v>597.3458740242221</v>
      </c>
      <c r="L90" s="32">
        <f t="shared" si="30"/>
        <v>0.52970950676240269</v>
      </c>
      <c r="M90" s="35">
        <f t="shared" si="31"/>
        <v>18.781576701439871</v>
      </c>
      <c r="O90" s="29">
        <f t="shared" si="32"/>
        <v>587.0691539551708</v>
      </c>
      <c r="P90" s="44"/>
      <c r="Q90" s="4"/>
      <c r="S90" s="3"/>
      <c r="T90" s="48">
        <v>0.74050925925925926</v>
      </c>
      <c r="U90" s="29">
        <v>-726.40674763396089</v>
      </c>
      <c r="V90" s="29">
        <v>4829.6286613076873</v>
      </c>
      <c r="W90" s="29">
        <v>4214.2075778006038</v>
      </c>
      <c r="X90" s="4">
        <v>-5.9005536541356927</v>
      </c>
      <c r="Y90" s="4">
        <v>-2.2030391607412949</v>
      </c>
      <c r="Z90" s="4">
        <v>1.3105788106600613</v>
      </c>
      <c r="AA90" s="3">
        <f t="shared" si="37"/>
        <v>6.4333142149319062</v>
      </c>
      <c r="AB90" s="3">
        <f t="shared" si="40"/>
        <v>2.0215821039080071</v>
      </c>
      <c r="AC90" s="3">
        <f t="shared" si="38"/>
        <v>6.0939784751756116</v>
      </c>
      <c r="AD90" s="48"/>
      <c r="AE90" s="46">
        <f t="shared" si="33"/>
        <v>40.977899443867003</v>
      </c>
      <c r="AF90" s="46">
        <f t="shared" si="34"/>
        <v>-253.85808174620567</v>
      </c>
      <c r="AG90" s="47">
        <f t="shared" si="35"/>
        <v>81794.655474925996</v>
      </c>
      <c r="AH90" s="45" t="str">
        <f t="shared" si="39"/>
        <v>-253.85808,40.97790,81795</v>
      </c>
      <c r="AI90" s="44">
        <f t="shared" si="41"/>
        <v>561.72114105540356</v>
      </c>
    </row>
    <row r="91" spans="1:35" ht="18" customHeight="1" x14ac:dyDescent="0.25">
      <c r="A91" s="36">
        <f t="shared" si="36"/>
        <v>0.7405208680555555</v>
      </c>
      <c r="B91" s="42">
        <f t="shared" si="21"/>
        <v>40.994271641956061</v>
      </c>
      <c r="C91" s="43">
        <f t="shared" si="22"/>
        <v>106.21011007426708</v>
      </c>
      <c r="D91" s="18">
        <f t="shared" si="23"/>
        <v>81.670237150454341</v>
      </c>
      <c r="E91" s="21" t="str">
        <f t="shared" si="24"/>
        <v>Umbra</v>
      </c>
      <c r="F91" s="23">
        <f>IF($E91&lt;&gt;"Umbra",fracil2($S$2,$S$3,$S$4,$A91,$Q$2,$O$3,$Q$4,$U91,$V91,$W91),0)</f>
        <v>0</v>
      </c>
      <c r="G91" s="19">
        <f t="shared" si="25"/>
        <v>69.93274756689722</v>
      </c>
      <c r="H91" s="19">
        <f t="shared" si="26"/>
        <v>4.9039264846830104</v>
      </c>
      <c r="I91" s="19">
        <f t="shared" si="27"/>
        <v>6.1119444340779054</v>
      </c>
      <c r="J91" s="28">
        <f t="shared" si="28"/>
        <v>0.11961088312892761</v>
      </c>
      <c r="K91" s="24">
        <f t="shared" si="29"/>
        <v>603.31845248321315</v>
      </c>
      <c r="L91" s="32">
        <f t="shared" si="30"/>
        <v>0.53001644515875324</v>
      </c>
      <c r="M91" s="35">
        <f t="shared" si="31"/>
        <v>18.721089437209919</v>
      </c>
      <c r="O91" s="29">
        <f t="shared" si="32"/>
        <v>593.07285795374787</v>
      </c>
      <c r="P91" s="44"/>
      <c r="Q91" s="4"/>
      <c r="S91" s="3"/>
      <c r="T91" s="48">
        <v>0.7405208680555555</v>
      </c>
      <c r="U91" s="29">
        <v>-732.31225373536506</v>
      </c>
      <c r="V91" s="29">
        <v>4827.4201087681222</v>
      </c>
      <c r="W91" s="29">
        <v>4215.5161010267302</v>
      </c>
      <c r="X91" s="4">
        <v>-5.8809948085643109</v>
      </c>
      <c r="Y91" s="4">
        <v>-2.2030426526980111</v>
      </c>
      <c r="Z91" s="4">
        <v>1.2999419888884611</v>
      </c>
      <c r="AA91" s="3">
        <f t="shared" si="37"/>
        <v>6.4132165129864713</v>
      </c>
      <c r="AB91" s="3">
        <f t="shared" si="40"/>
        <v>2.0431085357677037</v>
      </c>
      <c r="AC91" s="3">
        <f t="shared" si="38"/>
        <v>6.0738836487070529</v>
      </c>
      <c r="AD91" s="48"/>
      <c r="AE91" s="46">
        <f t="shared" si="33"/>
        <v>40.994271641956061</v>
      </c>
      <c r="AF91" s="46">
        <f t="shared" si="34"/>
        <v>-253.78988992573292</v>
      </c>
      <c r="AG91" s="47">
        <f t="shared" si="35"/>
        <v>81670.237150454341</v>
      </c>
      <c r="AH91" s="45" t="str">
        <f t="shared" si="39"/>
        <v>-253.78989,40.99427,81670</v>
      </c>
      <c r="AI91" s="44">
        <f t="shared" si="41"/>
        <v>567.72753575282809</v>
      </c>
    </row>
    <row r="92" spans="1:35" ht="18" customHeight="1" x14ac:dyDescent="0.25">
      <c r="A92" s="36">
        <f t="shared" si="36"/>
        <v>0.74053240740740733</v>
      </c>
      <c r="B92" s="42">
        <f t="shared" si="21"/>
        <v>41.010464393598454</v>
      </c>
      <c r="C92" s="43">
        <f t="shared" si="22"/>
        <v>106.27778104844798</v>
      </c>
      <c r="D92" s="18">
        <f t="shared" si="23"/>
        <v>81.543642840686516</v>
      </c>
      <c r="E92" s="21" t="str">
        <f t="shared" si="24"/>
        <v>Umbra</v>
      </c>
      <c r="F92" s="23">
        <f>IF($E92&lt;&gt;"Umbra",fracil2($S$2,$S$3,$S$4,$A92,$Q$2,$O$3,$Q$4,$U92,$V92,$W92),0)</f>
        <v>0</v>
      </c>
      <c r="G92" s="19">
        <f t="shared" si="25"/>
        <v>69.915311934784853</v>
      </c>
      <c r="H92" s="19">
        <f t="shared" si="26"/>
        <v>4.7902459408872122</v>
      </c>
      <c r="I92" s="19">
        <f t="shared" si="27"/>
        <v>5.9982638902821073</v>
      </c>
      <c r="J92" s="28">
        <f t="shared" si="28"/>
        <v>0.11777598966474268</v>
      </c>
      <c r="K92" s="24">
        <f t="shared" si="29"/>
        <v>609.24295709392356</v>
      </c>
      <c r="L92" s="32">
        <f t="shared" si="30"/>
        <v>0.53031669145753191</v>
      </c>
      <c r="M92" s="35">
        <f t="shared" si="31"/>
        <v>18.661633807998033</v>
      </c>
      <c r="O92" s="29">
        <f t="shared" si="32"/>
        <v>599.02762001601138</v>
      </c>
      <c r="T92" s="48">
        <v>0.74053240740740733</v>
      </c>
      <c r="U92" s="29">
        <v>-738.16906568715581</v>
      </c>
      <c r="V92" s="29">
        <v>4825.2224978664244</v>
      </c>
      <c r="W92" s="29">
        <v>4216.8075710732883</v>
      </c>
      <c r="X92" s="4">
        <v>-5.8613074584896001</v>
      </c>
      <c r="Y92" s="4">
        <v>-2.2029355373646453</v>
      </c>
      <c r="Z92" s="4">
        <v>1.2893247279876434</v>
      </c>
      <c r="AA92" s="3">
        <f t="shared" si="37"/>
        <v>6.3929811793036189</v>
      </c>
      <c r="AB92" s="3">
        <f t="shared" si="40"/>
        <v>2.0694560439698764</v>
      </c>
      <c r="AC92" s="3">
        <f t="shared" si="38"/>
        <v>6.0536514419978236</v>
      </c>
      <c r="AD92" s="48"/>
      <c r="AE92" s="46">
        <f t="shared" si="33"/>
        <v>41.010464393598454</v>
      </c>
      <c r="AF92" s="46">
        <f t="shared" si="34"/>
        <v>-253.72221895155201</v>
      </c>
      <c r="AG92" s="47">
        <f t="shared" si="35"/>
        <v>81543.642840686516</v>
      </c>
      <c r="AH92" s="45" t="str">
        <f t="shared" si="39"/>
        <v>-253.72222,41.01046,81544</v>
      </c>
      <c r="AI92" s="44">
        <f t="shared" si="41"/>
        <v>573.68488620065511</v>
      </c>
    </row>
    <row r="93" spans="1:35" ht="18" customHeight="1" x14ac:dyDescent="0.25">
      <c r="A93" s="36">
        <f t="shared" si="36"/>
        <v>0.74054396990740745</v>
      </c>
      <c r="B93" s="42">
        <f t="shared" si="21"/>
        <v>41.026576625483749</v>
      </c>
      <c r="C93" s="43">
        <f t="shared" si="22"/>
        <v>106.34533325724101</v>
      </c>
      <c r="D93" s="18">
        <f t="shared" si="23"/>
        <v>81.414093106252949</v>
      </c>
      <c r="E93" s="21" t="str">
        <f t="shared" si="24"/>
        <v>Umbra</v>
      </c>
      <c r="F93" s="23">
        <f>IF($E93&lt;&gt;"Umbra",fracil2($S$2,$S$3,$S$4,$A93,$Q$2,$O$3,$Q$4,$U93,$V93,$W93),0)</f>
        <v>0</v>
      </c>
      <c r="G93" s="19">
        <f t="shared" si="25"/>
        <v>69.898305117865817</v>
      </c>
      <c r="H93" s="19">
        <f t="shared" si="26"/>
        <v>4.6781953437843997</v>
      </c>
      <c r="I93" s="19">
        <f t="shared" si="27"/>
        <v>5.8862132931792948</v>
      </c>
      <c r="J93" s="28">
        <f t="shared" si="28"/>
        <v>0.11599593024471692</v>
      </c>
      <c r="K93" s="24">
        <f t="shared" si="29"/>
        <v>615.15464209814752</v>
      </c>
      <c r="L93" s="32">
        <f t="shared" si="30"/>
        <v>0.53061229880306449</v>
      </c>
      <c r="M93" s="35">
        <f t="shared" si="31"/>
        <v>18.602842535123685</v>
      </c>
      <c r="O93" s="29">
        <f t="shared" si="32"/>
        <v>604.96893040269617</v>
      </c>
      <c r="T93" s="48">
        <v>0.74054396990740745</v>
      </c>
      <c r="U93" s="29">
        <v>-744.01273833378104</v>
      </c>
      <c r="V93" s="29">
        <v>4823.0225559163746</v>
      </c>
      <c r="W93" s="29">
        <v>4218.0898809555501</v>
      </c>
      <c r="X93" s="4">
        <v>-5.8413649565445471</v>
      </c>
      <c r="Y93" s="4">
        <v>-2.2027140075593756</v>
      </c>
      <c r="Z93" s="4">
        <v>1.2786612277625546</v>
      </c>
      <c r="AA93" s="3">
        <f t="shared" si="37"/>
        <v>6.3724773903112597</v>
      </c>
      <c r="AB93" s="3">
        <f t="shared" si="40"/>
        <v>2.0926890757340826</v>
      </c>
      <c r="AC93" s="3">
        <f t="shared" si="38"/>
        <v>6.0331510538300437</v>
      </c>
      <c r="AD93" s="48"/>
      <c r="AE93" s="46">
        <f t="shared" si="33"/>
        <v>41.026576625483749</v>
      </c>
      <c r="AF93" s="46">
        <f t="shared" si="34"/>
        <v>-253.65466674275899</v>
      </c>
      <c r="AG93" s="47">
        <f t="shared" si="35"/>
        <v>81414.093106252956</v>
      </c>
      <c r="AH93" s="45" t="str">
        <f t="shared" si="39"/>
        <v>-253.65467,41.02658,81414</v>
      </c>
      <c r="AI93" s="44">
        <f t="shared" si="41"/>
        <v>579.62870789162639</v>
      </c>
    </row>
    <row r="94" spans="1:35" ht="18" customHeight="1" x14ac:dyDescent="0.25">
      <c r="A94" s="36">
        <f t="shared" si="36"/>
        <v>0.74055554398148138</v>
      </c>
      <c r="B94" s="42">
        <f t="shared" si="21"/>
        <v>41.042616642437679</v>
      </c>
      <c r="C94" s="43">
        <f t="shared" si="22"/>
        <v>106.41280693391727</v>
      </c>
      <c r="D94" s="18">
        <f t="shared" si="23"/>
        <v>81.281479441637202</v>
      </c>
      <c r="E94" s="21" t="str">
        <f t="shared" si="24"/>
        <v>Umbra</v>
      </c>
      <c r="F94" s="23">
        <f>IF($E94&lt;&gt;"Umbra",fracil2($S$2,$S$3,$S$4,$A94,$Q$2,$O$3,$Q$4,$U94,$V94,$W94),0)</f>
        <v>0</v>
      </c>
      <c r="G94" s="19">
        <f t="shared" si="25"/>
        <v>69.881719045126658</v>
      </c>
      <c r="H94" s="19">
        <f t="shared" si="26"/>
        <v>4.5676568231513732</v>
      </c>
      <c r="I94" s="19">
        <f t="shared" si="27"/>
        <v>5.7756747725462683</v>
      </c>
      <c r="J94" s="28">
        <f t="shared" si="28"/>
        <v>0.11426729575552026</v>
      </c>
      <c r="K94" s="24">
        <f t="shared" si="29"/>
        <v>621.05695917968012</v>
      </c>
      <c r="L94" s="32">
        <f t="shared" si="30"/>
        <v>0.53090354374783499</v>
      </c>
      <c r="M94" s="35">
        <f t="shared" si="31"/>
        <v>18.544648640853627</v>
      </c>
      <c r="O94" s="29">
        <f t="shared" si="32"/>
        <v>610.90030110370913</v>
      </c>
      <c r="T94" s="48">
        <v>0.74055554398148138</v>
      </c>
      <c r="U94" s="29">
        <v>-749.84621627714876</v>
      </c>
      <c r="V94" s="29">
        <v>4820.8191705633981</v>
      </c>
      <c r="W94" s="29">
        <v>4219.36366732235</v>
      </c>
      <c r="X94" s="4">
        <v>-5.821146967338537</v>
      </c>
      <c r="Y94" s="4">
        <v>-2.2023735602263788</v>
      </c>
      <c r="Z94" s="4">
        <v>1.2679440520192145</v>
      </c>
      <c r="AA94" s="3">
        <f t="shared" si="37"/>
        <v>6.3516835117305526</v>
      </c>
      <c r="AB94" s="3">
        <f t="shared" si="40"/>
        <v>2.1201505083993011</v>
      </c>
      <c r="AC94" s="3">
        <f t="shared" si="38"/>
        <v>6.0123608579449428</v>
      </c>
      <c r="AD94" s="48"/>
      <c r="AE94" s="46">
        <f t="shared" si="33"/>
        <v>41.042616642437679</v>
      </c>
      <c r="AF94" s="46">
        <f t="shared" si="34"/>
        <v>-253.58719306608273</v>
      </c>
      <c r="AG94" s="47">
        <f t="shared" si="35"/>
        <v>81281.479441637202</v>
      </c>
      <c r="AH94" s="45" t="str">
        <f t="shared" si="39"/>
        <v>-253.58719,41.04262,81281</v>
      </c>
      <c r="AI94" s="44">
        <f t="shared" si="41"/>
        <v>585.56251183084123</v>
      </c>
    </row>
    <row r="95" spans="1:35" ht="18" customHeight="1" x14ac:dyDescent="0.25">
      <c r="A95" s="36">
        <f t="shared" si="36"/>
        <v>0.7405671412037037</v>
      </c>
      <c r="B95" s="42">
        <f t="shared" si="21"/>
        <v>41.058574425855369</v>
      </c>
      <c r="C95" s="43">
        <f t="shared" si="22"/>
        <v>106.48015219143932</v>
      </c>
      <c r="D95" s="18">
        <f t="shared" si="23"/>
        <v>81.145842812277806</v>
      </c>
      <c r="E95" s="21" t="str">
        <f t="shared" si="24"/>
        <v>Umbra</v>
      </c>
      <c r="F95" s="23">
        <f>IF($E95&lt;&gt;"Umbra",fracil2($S$2,$S$3,$S$4,$A95,$Q$2,$O$3,$Q$4,$U95,$V95,$W95),0)</f>
        <v>0</v>
      </c>
      <c r="G95" s="19">
        <f t="shared" si="25"/>
        <v>69.86553696682796</v>
      </c>
      <c r="H95" s="19">
        <f t="shared" si="26"/>
        <v>4.4586587735446956</v>
      </c>
      <c r="I95" s="19">
        <f t="shared" si="27"/>
        <v>5.6666767229395907</v>
      </c>
      <c r="J95" s="28">
        <f t="shared" si="28"/>
        <v>0.1125889915123575</v>
      </c>
      <c r="K95" s="24">
        <f t="shared" si="29"/>
        <v>626.9455662506208</v>
      </c>
      <c r="L95" s="32">
        <f t="shared" si="30"/>
        <v>0.53119041289309654</v>
      </c>
      <c r="M95" s="35">
        <f t="shared" si="31"/>
        <v>18.487085413844099</v>
      </c>
      <c r="O95" s="29">
        <f t="shared" si="32"/>
        <v>616.81741516127602</v>
      </c>
      <c r="T95" s="48">
        <v>0.7405671412037037</v>
      </c>
      <c r="U95" s="29">
        <v>-755.66578586284436</v>
      </c>
      <c r="V95" s="29">
        <v>4818.6137415272824</v>
      </c>
      <c r="W95" s="29">
        <v>4220.6281102038893</v>
      </c>
      <c r="X95" s="4">
        <v>-5.8006557322535421</v>
      </c>
      <c r="Y95" s="4">
        <v>-2.2019098562092236</v>
      </c>
      <c r="Z95" s="4">
        <v>1.2571779068535378</v>
      </c>
      <c r="AA95" s="3">
        <f t="shared" si="37"/>
        <v>6.3306010953524652</v>
      </c>
      <c r="AB95" s="3">
        <f t="shared" si="40"/>
        <v>2.1452554476732262</v>
      </c>
      <c r="AC95" s="3">
        <f t="shared" si="38"/>
        <v>5.9912824102750308</v>
      </c>
      <c r="AD95" s="48"/>
      <c r="AE95" s="46">
        <f t="shared" si="33"/>
        <v>41.058574425855369</v>
      </c>
      <c r="AF95" s="46">
        <f t="shared" si="34"/>
        <v>-253.51984780856068</v>
      </c>
      <c r="AG95" s="47">
        <f t="shared" si="35"/>
        <v>81145.842812277813</v>
      </c>
      <c r="AH95" s="45" t="str">
        <f t="shared" si="39"/>
        <v>-253.51985,41.05857,81146</v>
      </c>
      <c r="AI95" s="44">
        <f t="shared" si="41"/>
        <v>591.48198678765141</v>
      </c>
    </row>
    <row r="96" spans="1:35" ht="18" customHeight="1" x14ac:dyDescent="0.25">
      <c r="A96" s="36">
        <f t="shared" si="36"/>
        <v>0.74057869212962968</v>
      </c>
      <c r="B96" s="42">
        <f t="shared" si="21"/>
        <v>41.074378495076594</v>
      </c>
      <c r="C96" s="43">
        <f t="shared" si="22"/>
        <v>106.54707082263626</v>
      </c>
      <c r="D96" s="18">
        <f t="shared" si="23"/>
        <v>81.007777169901601</v>
      </c>
      <c r="E96" s="21" t="str">
        <f t="shared" si="24"/>
        <v>Umbra</v>
      </c>
      <c r="F96" s="23">
        <f>IF($E96&lt;&gt;"Umbra",fracil2($S$2,$S$3,$S$4,$A96,$Q$2,$O$3,$Q$4,$U96,$V96,$W96),0)</f>
        <v>0</v>
      </c>
      <c r="G96" s="19">
        <f t="shared" si="25"/>
        <v>69.849829950316803</v>
      </c>
      <c r="H96" s="19">
        <f t="shared" si="26"/>
        <v>4.3516265281971185</v>
      </c>
      <c r="I96" s="19">
        <f t="shared" si="27"/>
        <v>5.5596444775920135</v>
      </c>
      <c r="J96" s="28">
        <f t="shared" si="28"/>
        <v>0.11096596333993802</v>
      </c>
      <c r="K96" s="24">
        <f t="shared" si="29"/>
        <v>632.79434393655754</v>
      </c>
      <c r="L96" s="32">
        <f t="shared" si="30"/>
        <v>0.53147175616574793</v>
      </c>
      <c r="M96" s="35">
        <f t="shared" si="31"/>
        <v>18.430373947500911</v>
      </c>
      <c r="O96" s="29">
        <f t="shared" si="32"/>
        <v>622.69407037268479</v>
      </c>
      <c r="T96" s="48">
        <v>0.74057869212962968</v>
      </c>
      <c r="U96" s="29">
        <v>-761.44518593780197</v>
      </c>
      <c r="V96" s="29">
        <v>4816.4162739090489</v>
      </c>
      <c r="W96" s="29">
        <v>4221.8775427829059</v>
      </c>
      <c r="X96" s="4">
        <v>-5.7799752670658018</v>
      </c>
      <c r="Y96" s="4">
        <v>-2.2013212429909208</v>
      </c>
      <c r="Z96" s="4">
        <v>1.2464097874961637</v>
      </c>
      <c r="AA96" s="3">
        <f t="shared" si="37"/>
        <v>6.3093158631583597</v>
      </c>
      <c r="AB96" s="3">
        <f t="shared" si="40"/>
        <v>2.1745500982970998</v>
      </c>
      <c r="AC96" s="3">
        <f t="shared" si="38"/>
        <v>5.970001419287569</v>
      </c>
      <c r="AD96" s="48"/>
      <c r="AE96" s="46">
        <f t="shared" si="33"/>
        <v>41.074378495076594</v>
      </c>
      <c r="AF96" s="46">
        <f t="shared" si="34"/>
        <v>-253.45292917736373</v>
      </c>
      <c r="AG96" s="47">
        <f t="shared" si="35"/>
        <v>81007.777169901601</v>
      </c>
      <c r="AH96" s="45" t="str">
        <f t="shared" si="39"/>
        <v>-253.45293,41.07438,81008</v>
      </c>
      <c r="AI96" s="44">
        <f t="shared" si="41"/>
        <v>597.36091825875178</v>
      </c>
    </row>
    <row r="97" spans="1:35" ht="18" customHeight="1" x14ac:dyDescent="0.25">
      <c r="A97" s="36">
        <f t="shared" si="36"/>
        <v>0.74059026620370372</v>
      </c>
      <c r="B97" s="42">
        <f t="shared" si="21"/>
        <v>41.090108440702771</v>
      </c>
      <c r="C97" s="43">
        <f t="shared" si="22"/>
        <v>106.613893083699</v>
      </c>
      <c r="D97" s="18">
        <f t="shared" si="23"/>
        <v>80.866570753508313</v>
      </c>
      <c r="E97" s="21" t="str">
        <f t="shared" si="24"/>
        <v>Umbra</v>
      </c>
      <c r="F97" s="23">
        <f>IF($E97&lt;&gt;"Umbra",fracil2($S$2,$S$3,$S$4,$A97,$Q$2,$O$3,$Q$4,$U97,$V97,$W97),0)</f>
        <v>0</v>
      </c>
      <c r="G97" s="19">
        <f t="shared" si="25"/>
        <v>69.834496359661117</v>
      </c>
      <c r="H97" s="19">
        <f t="shared" si="26"/>
        <v>4.2459746909036129</v>
      </c>
      <c r="I97" s="19">
        <f t="shared" si="27"/>
        <v>5.4539926402985079</v>
      </c>
      <c r="J97" s="28">
        <f t="shared" si="28"/>
        <v>0.10938777405929632</v>
      </c>
      <c r="K97" s="24">
        <f t="shared" si="29"/>
        <v>638.63218212959111</v>
      </c>
      <c r="L97" s="32">
        <f t="shared" si="30"/>
        <v>0.53174915605653439</v>
      </c>
      <c r="M97" s="35">
        <f t="shared" si="31"/>
        <v>18.374218462112239</v>
      </c>
      <c r="O97" s="29">
        <f t="shared" si="32"/>
        <v>628.55933980890893</v>
      </c>
      <c r="T97" s="48">
        <v>0.74059026620370372</v>
      </c>
      <c r="U97" s="29">
        <v>-767.21334037369377</v>
      </c>
      <c r="V97" s="29">
        <v>4814.215817731887</v>
      </c>
      <c r="W97" s="29">
        <v>4223.1182521943674</v>
      </c>
      <c r="X97" s="4">
        <v>-5.7589931316270686</v>
      </c>
      <c r="Y97" s="4">
        <v>-2.2006008108373791</v>
      </c>
      <c r="Z97" s="4">
        <v>1.2355841268359233</v>
      </c>
      <c r="AA97" s="3">
        <f t="shared" si="37"/>
        <v>6.2877113446209325</v>
      </c>
      <c r="AB97" s="3">
        <f t="shared" si="40"/>
        <v>2.2027308608375886</v>
      </c>
      <c r="AC97" s="3">
        <f t="shared" si="38"/>
        <v>5.9484014404662613</v>
      </c>
      <c r="AD97" s="48"/>
      <c r="AE97" s="46">
        <f t="shared" si="33"/>
        <v>41.090108440702771</v>
      </c>
      <c r="AF97" s="46">
        <f t="shared" si="34"/>
        <v>-253.386106916301</v>
      </c>
      <c r="AG97" s="47">
        <f t="shared" si="35"/>
        <v>80866.570753508306</v>
      </c>
      <c r="AH97" s="45" t="str">
        <f t="shared" si="39"/>
        <v>-253.38611,41.09011,80867</v>
      </c>
      <c r="AI97" s="44">
        <f t="shared" si="41"/>
        <v>603.22839631029683</v>
      </c>
    </row>
    <row r="98" spans="1:35" ht="18" customHeight="1" x14ac:dyDescent="0.25">
      <c r="A98" s="36">
        <f t="shared" si="36"/>
        <v>0.7406018518518519</v>
      </c>
      <c r="B98" s="42">
        <f t="shared" si="21"/>
        <v>41.105764587099983</v>
      </c>
      <c r="C98" s="43">
        <f t="shared" si="22"/>
        <v>106.68062379646493</v>
      </c>
      <c r="D98" s="18">
        <f t="shared" si="23"/>
        <v>80.722175093625083</v>
      </c>
      <c r="E98" s="21" t="str">
        <f t="shared" si="24"/>
        <v>Umbra</v>
      </c>
      <c r="F98" s="23">
        <f>IF($E98&lt;&gt;"Umbra",fracil2($S$2,$S$3,$S$4,$A98,$Q$2,$O$3,$Q$4,$U98,$V98,$W98),0)</f>
        <v>0</v>
      </c>
      <c r="G98" s="19">
        <f t="shared" si="25"/>
        <v>69.819534004908448</v>
      </c>
      <c r="H98" s="19">
        <f t="shared" si="26"/>
        <v>4.1416524255693821</v>
      </c>
      <c r="I98" s="19">
        <f t="shared" si="27"/>
        <v>5.3496703749642771</v>
      </c>
      <c r="J98" s="28">
        <f t="shared" si="28"/>
        <v>0.10785239176942316</v>
      </c>
      <c r="K98" s="24">
        <f t="shared" si="29"/>
        <v>644.45945254927983</v>
      </c>
      <c r="L98" s="32">
        <f t="shared" si="30"/>
        <v>0.5320227254503237</v>
      </c>
      <c r="M98" s="35">
        <f t="shared" si="31"/>
        <v>18.318589900083602</v>
      </c>
      <c r="O98" s="29">
        <f t="shared" si="32"/>
        <v>634.413634588376</v>
      </c>
      <c r="T98" s="48">
        <v>0.7406018518518519</v>
      </c>
      <c r="U98" s="29">
        <v>-772.97030683361572</v>
      </c>
      <c r="V98" s="29">
        <v>4812.012343340738</v>
      </c>
      <c r="W98" s="29">
        <v>4224.3502369026783</v>
      </c>
      <c r="X98" s="4">
        <v>-5.7376972781772873</v>
      </c>
      <c r="Y98" s="4">
        <v>-2.1997434300925338</v>
      </c>
      <c r="Z98" s="4">
        <v>1.2246985017120546</v>
      </c>
      <c r="AA98" s="3">
        <f t="shared" si="37"/>
        <v>6.2657743044522487</v>
      </c>
      <c r="AB98" s="3">
        <f t="shared" si="40"/>
        <v>2.2343753104087485</v>
      </c>
      <c r="AC98" s="3">
        <f t="shared" si="38"/>
        <v>5.9264692458880344</v>
      </c>
      <c r="AD98" s="48"/>
      <c r="AE98" s="46">
        <f t="shared" si="33"/>
        <v>41.105764587099983</v>
      </c>
      <c r="AF98" s="46">
        <f t="shared" si="34"/>
        <v>-253.31937620353506</v>
      </c>
      <c r="AG98" s="47">
        <f t="shared" si="35"/>
        <v>80722.17509362509</v>
      </c>
      <c r="AH98" s="45" t="str">
        <f t="shared" si="39"/>
        <v>-253.31938,41.10576,80722</v>
      </c>
      <c r="AI98" s="44">
        <f t="shared" si="41"/>
        <v>609.08483111373994</v>
      </c>
    </row>
    <row r="99" spans="1:35" ht="18" customHeight="1" x14ac:dyDescent="0.25">
      <c r="A99" s="36">
        <f t="shared" si="36"/>
        <v>0.7406134143518518</v>
      </c>
      <c r="B99" s="42">
        <f t="shared" si="21"/>
        <v>41.121280325228241</v>
      </c>
      <c r="C99" s="43">
        <f t="shared" si="22"/>
        <v>106.74697140861971</v>
      </c>
      <c r="D99" s="18">
        <f t="shared" si="23"/>
        <v>80.575183056852438</v>
      </c>
      <c r="E99" s="21" t="str">
        <f t="shared" si="24"/>
        <v>Umbra</v>
      </c>
      <c r="F99" s="23">
        <f>IF($E99&lt;&gt;"Umbra",fracil2($S$2,$S$3,$S$4,$A99,$Q$2,$O$3,$Q$4,$U99,$V99,$W99),0)</f>
        <v>0</v>
      </c>
      <c r="G99" s="19">
        <f t="shared" si="25"/>
        <v>69.804983372533712</v>
      </c>
      <c r="H99" s="19">
        <f t="shared" si="26"/>
        <v>4.0390636534101274</v>
      </c>
      <c r="I99" s="19">
        <f t="shared" si="27"/>
        <v>5.2470816028050224</v>
      </c>
      <c r="J99" s="28">
        <f t="shared" si="28"/>
        <v>0.1063643573963548</v>
      </c>
      <c r="K99" s="24">
        <f t="shared" si="29"/>
        <v>650.25072763719015</v>
      </c>
      <c r="L99" s="32">
        <f t="shared" si="30"/>
        <v>0.53229145510326148</v>
      </c>
      <c r="M99" s="35">
        <f t="shared" si="31"/>
        <v>18.26371908055674</v>
      </c>
      <c r="O99" s="29">
        <f t="shared" si="32"/>
        <v>640.23145162378046</v>
      </c>
      <c r="T99" s="48">
        <v>0.7406134143518518</v>
      </c>
      <c r="U99" s="29">
        <v>-778.69142984200221</v>
      </c>
      <c r="V99" s="29">
        <v>4809.8153261078296</v>
      </c>
      <c r="W99" s="29">
        <v>4225.5682464765241</v>
      </c>
      <c r="X99" s="4">
        <v>-5.7161689628771857</v>
      </c>
      <c r="Y99" s="4">
        <v>-2.1987483538289063</v>
      </c>
      <c r="Z99" s="4">
        <v>1.2137976768945982</v>
      </c>
      <c r="AA99" s="3">
        <f t="shared" si="37"/>
        <v>6.243587649425649</v>
      </c>
      <c r="AB99" s="3">
        <f t="shared" si="40"/>
        <v>2.2642996627753855</v>
      </c>
      <c r="AC99" s="3">
        <f t="shared" si="38"/>
        <v>5.9042877271175529</v>
      </c>
      <c r="AD99" s="48"/>
      <c r="AE99" s="46">
        <f t="shared" si="33"/>
        <v>41.121280325228241</v>
      </c>
      <c r="AF99" s="46">
        <f t="shared" si="34"/>
        <v>-253.25302859138029</v>
      </c>
      <c r="AG99" s="47">
        <f t="shared" si="35"/>
        <v>80575.183056852431</v>
      </c>
      <c r="AH99" s="45" t="str">
        <f t="shared" si="39"/>
        <v>-253.25303,41.12128,80575</v>
      </c>
      <c r="AI99" s="44">
        <f t="shared" si="41"/>
        <v>614.90471641658701</v>
      </c>
    </row>
    <row r="100" spans="1:35" ht="18" customHeight="1" x14ac:dyDescent="0.25">
      <c r="A100" s="36">
        <f t="shared" si="36"/>
        <v>0.74062499999999998</v>
      </c>
      <c r="B100" s="42">
        <f t="shared" si="21"/>
        <v>41.136719103847518</v>
      </c>
      <c r="C100" s="43">
        <f t="shared" si="22"/>
        <v>106.8132051220085</v>
      </c>
      <c r="D100" s="18">
        <f t="shared" si="23"/>
        <v>80.424973053597569</v>
      </c>
      <c r="E100" s="21" t="str">
        <f t="shared" si="24"/>
        <v>Umbra</v>
      </c>
      <c r="F100" s="23">
        <f>IF($E100&lt;&gt;"Umbra",fracil2($S$2,$S$3,$S$4,$A100,$Q$2,$O$3,$Q$4,$U100,$V100,$W100),0)</f>
        <v>0</v>
      </c>
      <c r="G100" s="19">
        <f t="shared" si="25"/>
        <v>69.790773873490309</v>
      </c>
      <c r="H100" s="19">
        <f t="shared" si="26"/>
        <v>3.9377433454480384</v>
      </c>
      <c r="I100" s="19">
        <f t="shared" si="27"/>
        <v>5.1457612948429334</v>
      </c>
      <c r="J100" s="28">
        <f t="shared" si="28"/>
        <v>0.10491559656150265</v>
      </c>
      <c r="K100" s="24">
        <f t="shared" si="29"/>
        <v>656.02950259191255</v>
      </c>
      <c r="L100" s="32">
        <f t="shared" si="30"/>
        <v>0.53255657256300004</v>
      </c>
      <c r="M100" s="35">
        <f t="shared" si="31"/>
        <v>18.209362842212865</v>
      </c>
      <c r="O100" s="29">
        <f t="shared" si="32"/>
        <v>646.03643274824412</v>
      </c>
      <c r="T100" s="48">
        <v>0.74062499999999998</v>
      </c>
      <c r="U100" s="29">
        <v>-784.39993710355702</v>
      </c>
      <c r="V100" s="29">
        <v>4807.6158869059173</v>
      </c>
      <c r="W100" s="29">
        <v>4226.7772535042077</v>
      </c>
      <c r="X100" s="4">
        <v>-5.694310613685623</v>
      </c>
      <c r="Y100" s="4">
        <v>-2.1976070031085255</v>
      </c>
      <c r="Z100" s="4">
        <v>1.2028355180031436</v>
      </c>
      <c r="AA100" s="3">
        <f t="shared" si="37"/>
        <v>6.2210500069211996</v>
      </c>
      <c r="AB100" s="3">
        <f t="shared" si="40"/>
        <v>2.2955006516525631</v>
      </c>
      <c r="AC100" s="3">
        <f t="shared" si="38"/>
        <v>5.8817555380479911</v>
      </c>
      <c r="AD100" s="48"/>
      <c r="AE100" s="46">
        <f t="shared" si="33"/>
        <v>41.136719103847518</v>
      </c>
      <c r="AF100" s="46">
        <f t="shared" si="34"/>
        <v>-253.1867948779915</v>
      </c>
      <c r="AG100" s="47">
        <f t="shared" si="35"/>
        <v>80424.973053597569</v>
      </c>
      <c r="AH100" s="45" t="str">
        <f t="shared" si="39"/>
        <v>-253.18679,41.13672,80425</v>
      </c>
      <c r="AI100" s="44">
        <f t="shared" si="41"/>
        <v>620.7117044624174</v>
      </c>
    </row>
    <row r="101" spans="1:35" ht="18" customHeight="1" x14ac:dyDescent="0.25">
      <c r="A101" s="36">
        <f t="shared" si="36"/>
        <v>0.74063657407407402</v>
      </c>
      <c r="B101" s="42">
        <f t="shared" si="21"/>
        <v>41.152051922692245</v>
      </c>
      <c r="C101" s="43">
        <f t="shared" si="22"/>
        <v>106.87920353660557</v>
      </c>
      <c r="D101" s="18">
        <f t="shared" si="23"/>
        <v>80.271793453796818</v>
      </c>
      <c r="E101" s="21" t="str">
        <f t="shared" si="24"/>
        <v>Umbra</v>
      </c>
      <c r="F101" s="23">
        <f>IF($E101&lt;&gt;"Umbra",fracil2($S$2,$S$3,$S$4,$A101,$Q$2,$O$3,$Q$4,$U101,$V101,$W101),0)</f>
        <v>0</v>
      </c>
      <c r="G101" s="19">
        <f t="shared" si="25"/>
        <v>69.776931191428247</v>
      </c>
      <c r="H101" s="19">
        <f t="shared" si="26"/>
        <v>3.8378353755275065</v>
      </c>
      <c r="I101" s="19">
        <f t="shared" si="27"/>
        <v>5.045853324922402</v>
      </c>
      <c r="J101" s="28">
        <f t="shared" si="28"/>
        <v>0.10350698414376804</v>
      </c>
      <c r="K101" s="24">
        <f t="shared" si="29"/>
        <v>661.78514695431295</v>
      </c>
      <c r="L101" s="32">
        <f t="shared" si="30"/>
        <v>0.53281767871609931</v>
      </c>
      <c r="M101" s="35">
        <f t="shared" si="31"/>
        <v>18.155595967521627</v>
      </c>
      <c r="O101" s="29">
        <f t="shared" si="32"/>
        <v>651.81793405380847</v>
      </c>
      <c r="T101" s="48">
        <v>0.74063657407407402</v>
      </c>
      <c r="U101" s="29">
        <v>-790.0849900517602</v>
      </c>
      <c r="V101" s="29">
        <v>4805.4182183862131</v>
      </c>
      <c r="W101" s="29">
        <v>4227.9749687477124</v>
      </c>
      <c r="X101" s="4">
        <v>-5.6721520436705823</v>
      </c>
      <c r="Y101" s="4">
        <v>-2.1963163734969608</v>
      </c>
      <c r="Z101" s="4">
        <v>1.1918306456951944</v>
      </c>
      <c r="AA101" s="3">
        <f t="shared" si="37"/>
        <v>6.1981912447927447</v>
      </c>
      <c r="AB101" s="3">
        <f t="shared" si="40"/>
        <v>2.3305114110697791</v>
      </c>
      <c r="AC101" s="3">
        <f t="shared" si="38"/>
        <v>5.8589025431511104</v>
      </c>
      <c r="AD101" s="48"/>
      <c r="AE101" s="46">
        <f t="shared" si="33"/>
        <v>41.152051922692245</v>
      </c>
      <c r="AF101" s="46">
        <f t="shared" si="34"/>
        <v>-253.12079646339441</v>
      </c>
      <c r="AG101" s="47">
        <f t="shared" si="35"/>
        <v>80271.793453796825</v>
      </c>
      <c r="AH101" s="45" t="str">
        <f t="shared" si="39"/>
        <v>-253.12080,41.15205,80272</v>
      </c>
      <c r="AI101" s="44">
        <f t="shared" si="41"/>
        <v>626.49514639938354</v>
      </c>
    </row>
    <row r="102" spans="1:35" ht="18" customHeight="1" x14ac:dyDescent="0.25">
      <c r="A102" s="36">
        <f t="shared" si="36"/>
        <v>0.74064814814814817</v>
      </c>
      <c r="B102" s="42">
        <f t="shared" si="21"/>
        <v>41.167274890512353</v>
      </c>
      <c r="C102" s="43">
        <f t="shared" si="22"/>
        <v>106.94494220825999</v>
      </c>
      <c r="D102" s="18">
        <f t="shared" si="23"/>
        <v>80.115661889174589</v>
      </c>
      <c r="E102" s="21" t="str">
        <f t="shared" si="24"/>
        <v>Umbra</v>
      </c>
      <c r="F102" s="23">
        <f>IF($E102&lt;&gt;"Umbra",fracil2($S$2,$S$3,$S$4,$A102,$Q$2,$O$3,$Q$4,$U102,$V102,$W102),0)</f>
        <v>0</v>
      </c>
      <c r="G102" s="19">
        <f t="shared" si="25"/>
        <v>69.763437504667209</v>
      </c>
      <c r="H102" s="19">
        <f t="shared" si="26"/>
        <v>3.7393300590191298</v>
      </c>
      <c r="I102" s="19">
        <f t="shared" si="27"/>
        <v>4.9473480084140249</v>
      </c>
      <c r="J102" s="28">
        <f t="shared" si="28"/>
        <v>0.10213714462019956</v>
      </c>
      <c r="K102" s="24">
        <f t="shared" si="29"/>
        <v>667.51556506153304</v>
      </c>
      <c r="L102" s="32">
        <f t="shared" si="30"/>
        <v>0.53307484655799953</v>
      </c>
      <c r="M102" s="35">
        <f t="shared" si="31"/>
        <v>18.102427666902024</v>
      </c>
      <c r="O102" s="29">
        <f t="shared" si="32"/>
        <v>657.57388894779808</v>
      </c>
      <c r="T102" s="48">
        <v>0.74064814814814817</v>
      </c>
      <c r="U102" s="29">
        <v>-795.74497922267983</v>
      </c>
      <c r="V102" s="29">
        <v>4803.2229826817229</v>
      </c>
      <c r="W102" s="29">
        <v>4229.1610793933205</v>
      </c>
      <c r="X102" s="4">
        <v>-5.6496887080344083</v>
      </c>
      <c r="Y102" s="4">
        <v>-2.1948719653872137</v>
      </c>
      <c r="Z102" s="4">
        <v>1.1807842090255734</v>
      </c>
      <c r="AA102" s="3">
        <f t="shared" si="37"/>
        <v>6.1750058129866066</v>
      </c>
      <c r="AB102" s="3">
        <f t="shared" si="40"/>
        <v>2.3637921957505137</v>
      </c>
      <c r="AC102" s="3">
        <f t="shared" si="38"/>
        <v>5.835723196879429</v>
      </c>
      <c r="AD102" s="48"/>
      <c r="AE102" s="46">
        <f t="shared" si="33"/>
        <v>41.167274890512353</v>
      </c>
      <c r="AF102" s="46">
        <f t="shared" si="34"/>
        <v>-253.05505779174001</v>
      </c>
      <c r="AG102" s="47">
        <f t="shared" si="35"/>
        <v>80115.661889174589</v>
      </c>
      <c r="AH102" s="45" t="str">
        <f t="shared" si="39"/>
        <v>-253.05506,41.16727,80116</v>
      </c>
      <c r="AI102" s="44">
        <f t="shared" si="41"/>
        <v>632.25298063477976</v>
      </c>
    </row>
    <row r="103" spans="1:35" ht="18" customHeight="1" x14ac:dyDescent="0.25">
      <c r="A103" s="36">
        <f t="shared" si="36"/>
        <v>0.74065972222222232</v>
      </c>
      <c r="B103" s="42">
        <f t="shared" si="21"/>
        <v>41.182405644716653</v>
      </c>
      <c r="C103" s="43">
        <f t="shared" si="22"/>
        <v>107.01050000671297</v>
      </c>
      <c r="D103" s="18">
        <f t="shared" si="23"/>
        <v>79.956370535050155</v>
      </c>
      <c r="E103" s="21" t="str">
        <f t="shared" si="24"/>
        <v>Umbra</v>
      </c>
      <c r="F103" s="23">
        <f>IF($E103&lt;&gt;"Umbra",fracil2($S$2,$S$3,$S$4,$A103,$Q$2,$O$3,$Q$4,$U103,$V103,$W103),0)</f>
        <v>0</v>
      </c>
      <c r="G103" s="19">
        <f t="shared" si="25"/>
        <v>69.750276611331984</v>
      </c>
      <c r="H103" s="19">
        <f t="shared" si="26"/>
        <v>3.6420686192317389</v>
      </c>
      <c r="I103" s="19">
        <f t="shared" si="27"/>
        <v>4.8500865686266339</v>
      </c>
      <c r="J103" s="28">
        <f t="shared" si="28"/>
        <v>0.10080274639481462</v>
      </c>
      <c r="K103" s="24">
        <f t="shared" si="29"/>
        <v>673.22760036688169</v>
      </c>
      <c r="L103" s="32">
        <f t="shared" si="30"/>
        <v>0.53332846725516159</v>
      </c>
      <c r="M103" s="35">
        <f t="shared" si="31"/>
        <v>18.049769722117581</v>
      </c>
      <c r="O103" s="29">
        <f t="shared" si="32"/>
        <v>663.31120412896394</v>
      </c>
      <c r="T103" s="48">
        <v>0.74065972222222232</v>
      </c>
      <c r="U103" s="29">
        <v>-801.38631635011518</v>
      </c>
      <c r="V103" s="29">
        <v>4801.0277232078197</v>
      </c>
      <c r="W103" s="29">
        <v>4230.3369465631931</v>
      </c>
      <c r="X103" s="4">
        <v>-5.626883427624513</v>
      </c>
      <c r="Y103" s="4">
        <v>-2.1932668775923942</v>
      </c>
      <c r="Z103" s="4">
        <v>1.1696815541532508</v>
      </c>
      <c r="AA103" s="3">
        <f t="shared" si="37"/>
        <v>6.1514544331032512</v>
      </c>
      <c r="AB103" s="3">
        <f t="shared" si="40"/>
        <v>2.4010771269186968</v>
      </c>
      <c r="AC103" s="3">
        <f t="shared" si="38"/>
        <v>5.81217823457271</v>
      </c>
      <c r="AD103" s="48"/>
      <c r="AE103" s="46">
        <f t="shared" si="33"/>
        <v>41.182405644716653</v>
      </c>
      <c r="AF103" s="46">
        <f t="shared" si="34"/>
        <v>-252.98949999328704</v>
      </c>
      <c r="AG103" s="47">
        <f t="shared" si="35"/>
        <v>79956.370535050155</v>
      </c>
      <c r="AH103" s="45" t="str">
        <f t="shared" si="39"/>
        <v>-252.98950,41.18241,79956</v>
      </c>
      <c r="AI103" s="44">
        <f t="shared" si="41"/>
        <v>637.99211480378847</v>
      </c>
    </row>
    <row r="104" spans="1:35" ht="18" customHeight="1" x14ac:dyDescent="0.25">
      <c r="A104" s="36">
        <f t="shared" si="36"/>
        <v>0.74067129629629624</v>
      </c>
      <c r="B104" s="42">
        <f t="shared" si="21"/>
        <v>41.197418069022106</v>
      </c>
      <c r="C104" s="43">
        <f t="shared" si="22"/>
        <v>107.07575421474533</v>
      </c>
      <c r="D104" s="18">
        <f t="shared" si="23"/>
        <v>79.794170714261782</v>
      </c>
      <c r="E104" s="21" t="str">
        <f t="shared" si="24"/>
        <v>Umbra</v>
      </c>
      <c r="F104" s="23">
        <f>IF($E104&lt;&gt;"Umbra",fracil2($S$2,$S$3,$S$4,$A104,$Q$2,$O$3,$Q$4,$U104,$V104,$W104),0)</f>
        <v>0</v>
      </c>
      <c r="G104" s="19">
        <f t="shared" si="25"/>
        <v>69.737447411562698</v>
      </c>
      <c r="H104" s="19">
        <f t="shared" si="26"/>
        <v>3.5461894529451685</v>
      </c>
      <c r="I104" s="19">
        <f t="shared" si="27"/>
        <v>4.7542074023400636</v>
      </c>
      <c r="J104" s="28">
        <f t="shared" si="28"/>
        <v>9.9504548373521101E-2</v>
      </c>
      <c r="K104" s="24">
        <f t="shared" si="29"/>
        <v>678.91060983401849</v>
      </c>
      <c r="L104" s="32">
        <f t="shared" si="30"/>
        <v>0.53357823938976223</v>
      </c>
      <c r="M104" s="35">
        <f t="shared" si="31"/>
        <v>17.997713853327763</v>
      </c>
      <c r="O104" s="29">
        <f t="shared" si="32"/>
        <v>669.01922637537371</v>
      </c>
      <c r="T104" s="48">
        <v>0.74067129629629624</v>
      </c>
      <c r="U104" s="29">
        <v>-806.99910460075989</v>
      </c>
      <c r="V104" s="29">
        <v>4798.8363276433129</v>
      </c>
      <c r="W104" s="29">
        <v>4231.5005299983986</v>
      </c>
      <c r="X104" s="4">
        <v>-5.6037645425985314</v>
      </c>
      <c r="Y104" s="4">
        <v>-2.1914986486410895</v>
      </c>
      <c r="Z104" s="4">
        <v>1.1585400644982873</v>
      </c>
      <c r="AA104" s="3">
        <f t="shared" si="37"/>
        <v>6.1275654592119988</v>
      </c>
      <c r="AB104" s="3">
        <f t="shared" si="40"/>
        <v>2.435471009952114</v>
      </c>
      <c r="AC104" s="3">
        <f t="shared" si="38"/>
        <v>5.7882960058494213</v>
      </c>
      <c r="AD104" s="48"/>
      <c r="AE104" s="46">
        <f t="shared" si="33"/>
        <v>41.197418069022106</v>
      </c>
      <c r="AF104" s="46">
        <f t="shared" si="34"/>
        <v>-252.92424578525467</v>
      </c>
      <c r="AG104" s="47">
        <f t="shared" si="35"/>
        <v>79794.170714261782</v>
      </c>
      <c r="AH104" s="45" t="str">
        <f t="shared" si="39"/>
        <v>-252.92425,41.19742,79794</v>
      </c>
      <c r="AI104" s="44">
        <f t="shared" si="41"/>
        <v>643.70189895766794</v>
      </c>
    </row>
    <row r="105" spans="1:35" ht="18" customHeight="1" x14ac:dyDescent="0.25">
      <c r="A105" s="36">
        <f t="shared" si="36"/>
        <v>0.74068288194444454</v>
      </c>
      <c r="B105" s="42">
        <f t="shared" si="21"/>
        <v>41.212341614492047</v>
      </c>
      <c r="C105" s="43">
        <f t="shared" si="22"/>
        <v>107.14083458826764</v>
      </c>
      <c r="D105" s="18">
        <f t="shared" si="23"/>
        <v>79.628718899052728</v>
      </c>
      <c r="E105" s="21" t="str">
        <f t="shared" si="24"/>
        <v>Umbra</v>
      </c>
      <c r="F105" s="23">
        <f>IF($E105&lt;&gt;"Umbra",fracil2($S$2,$S$3,$S$4,$A105,$Q$2,$O$3,$Q$4,$U105,$V105,$W105),0)</f>
        <v>0</v>
      </c>
      <c r="G105" s="19">
        <f t="shared" si="25"/>
        <v>69.724923228056298</v>
      </c>
      <c r="H105" s="19">
        <f t="shared" si="26"/>
        <v>3.4514634120456411</v>
      </c>
      <c r="I105" s="19">
        <f t="shared" si="27"/>
        <v>4.6594813614405366</v>
      </c>
      <c r="J105" s="28">
        <f t="shared" si="28"/>
        <v>9.8238399501068829E-2</v>
      </c>
      <c r="K105" s="24">
        <f t="shared" si="29"/>
        <v>684.57587163856783</v>
      </c>
      <c r="L105" s="32">
        <f t="shared" si="30"/>
        <v>0.53382474169093241</v>
      </c>
      <c r="M105" s="35">
        <f t="shared" si="31"/>
        <v>17.946134197570302</v>
      </c>
      <c r="O105" s="29">
        <f t="shared" si="32"/>
        <v>674.7093144796379</v>
      </c>
      <c r="T105" s="48">
        <v>0.74068288194444454</v>
      </c>
      <c r="U105" s="29">
        <v>-812.59420018403273</v>
      </c>
      <c r="V105" s="29">
        <v>4796.6445914141477</v>
      </c>
      <c r="W105" s="29">
        <v>4232.6541004529208</v>
      </c>
      <c r="X105" s="4">
        <v>-5.5802751316283876</v>
      </c>
      <c r="Y105" s="4">
        <v>-2.1895583259560816</v>
      </c>
      <c r="Z105" s="4">
        <v>1.1473360105153958</v>
      </c>
      <c r="AA105" s="3">
        <f t="shared" si="37"/>
        <v>6.1032791291615691</v>
      </c>
      <c r="AB105" s="3">
        <f t="shared" si="40"/>
        <v>2.4734837903707398</v>
      </c>
      <c r="AC105" s="3">
        <f t="shared" si="38"/>
        <v>5.764016768818693</v>
      </c>
      <c r="AD105" s="48"/>
      <c r="AE105" s="46">
        <f t="shared" si="33"/>
        <v>41.212341614492047</v>
      </c>
      <c r="AF105" s="46">
        <f t="shared" si="34"/>
        <v>-252.85916541173236</v>
      </c>
      <c r="AG105" s="47">
        <f t="shared" si="35"/>
        <v>79628.718899052736</v>
      </c>
      <c r="AH105" s="45" t="str">
        <f t="shared" si="39"/>
        <v>-252.85917,41.21234,79629</v>
      </c>
      <c r="AI105" s="44">
        <f t="shared" si="41"/>
        <v>649.39369451709774</v>
      </c>
    </row>
    <row r="106" spans="1:35" ht="18" customHeight="1" x14ac:dyDescent="0.25">
      <c r="A106" s="36">
        <f t="shared" si="36"/>
        <v>0.74069444444444443</v>
      </c>
      <c r="B106" s="42">
        <f t="shared" si="21"/>
        <v>41.22713826998892</v>
      </c>
      <c r="C106" s="43">
        <f t="shared" si="22"/>
        <v>107.20557474997173</v>
      </c>
      <c r="D106" s="18">
        <f t="shared" si="23"/>
        <v>79.46041474172489</v>
      </c>
      <c r="E106" s="21" t="str">
        <f t="shared" si="24"/>
        <v>Umbra</v>
      </c>
      <c r="F106" s="23">
        <f>IF($E106&lt;&gt;"Umbra",fracil2($S$2,$S$3,$S$4,$A106,$Q$2,$O$3,$Q$4,$U106,$V106,$W106),0)</f>
        <v>0</v>
      </c>
      <c r="G106" s="19">
        <f t="shared" si="25"/>
        <v>69.712730280416409</v>
      </c>
      <c r="H106" s="19">
        <f t="shared" si="26"/>
        <v>3.3580943012288276</v>
      </c>
      <c r="I106" s="19">
        <f t="shared" si="27"/>
        <v>4.5661122506237231</v>
      </c>
      <c r="J106" s="28">
        <f t="shared" si="28"/>
        <v>9.7005995936753547E-2</v>
      </c>
      <c r="K106" s="24">
        <f t="shared" si="29"/>
        <v>690.20889749297658</v>
      </c>
      <c r="L106" s="32">
        <f t="shared" si="30"/>
        <v>0.53406744062020983</v>
      </c>
      <c r="M106" s="35">
        <f t="shared" si="31"/>
        <v>17.895143830191149</v>
      </c>
      <c r="O106" s="29">
        <f t="shared" si="32"/>
        <v>680.36694748198295</v>
      </c>
      <c r="T106" s="48">
        <v>0.74069444444444443</v>
      </c>
      <c r="U106" s="29">
        <v>-818.15718326219792</v>
      </c>
      <c r="V106" s="29">
        <v>4794.4582035550757</v>
      </c>
      <c r="W106" s="29">
        <v>4233.794710393593</v>
      </c>
      <c r="X106" s="4">
        <v>-5.5564635541819163</v>
      </c>
      <c r="Y106" s="4">
        <v>-2.1874453482533416</v>
      </c>
      <c r="Z106" s="4">
        <v>1.1360961268939811</v>
      </c>
      <c r="AA106" s="3">
        <f t="shared" si="37"/>
        <v>6.0786444862395612</v>
      </c>
      <c r="AB106" s="3">
        <f t="shared" si="40"/>
        <v>2.5139572749356756</v>
      </c>
      <c r="AC106" s="3">
        <f t="shared" si="38"/>
        <v>5.7393895556459347</v>
      </c>
      <c r="AD106" s="48"/>
      <c r="AE106" s="46">
        <f t="shared" si="33"/>
        <v>41.22713826998892</v>
      </c>
      <c r="AF106" s="46">
        <f t="shared" si="34"/>
        <v>-252.79442525002827</v>
      </c>
      <c r="AG106" s="47">
        <f t="shared" si="35"/>
        <v>79460.41474172489</v>
      </c>
      <c r="AH106" s="45" t="str">
        <f t="shared" si="39"/>
        <v>-252.79443,41.22714,79460</v>
      </c>
      <c r="AI106" s="44">
        <f t="shared" si="41"/>
        <v>655.05297675864222</v>
      </c>
    </row>
    <row r="107" spans="1:35" ht="18" customHeight="1" x14ac:dyDescent="0.25">
      <c r="A107" s="36">
        <f t="shared" si="36"/>
        <v>0.74070600694444444</v>
      </c>
      <c r="B107" s="42">
        <f t="shared" si="21"/>
        <v>41.241833296646838</v>
      </c>
      <c r="C107" s="43">
        <f t="shared" si="22"/>
        <v>107.27008118042247</v>
      </c>
      <c r="D107" s="18">
        <f t="shared" si="23"/>
        <v>79.288954480285611</v>
      </c>
      <c r="E107" s="21" t="str">
        <f t="shared" si="24"/>
        <v>Umbra</v>
      </c>
      <c r="F107" s="23">
        <f>IF($E107&lt;&gt;"Umbra",fracil2($S$2,$S$3,$S$4,$A107,$Q$2,$O$3,$Q$4,$U107,$V107,$W107),0)</f>
        <v>0</v>
      </c>
      <c r="G107" s="19">
        <f t="shared" si="25"/>
        <v>69.700836186906642</v>
      </c>
      <c r="H107" s="19">
        <f t="shared" si="26"/>
        <v>3.2658894632421442</v>
      </c>
      <c r="I107" s="19">
        <f t="shared" si="27"/>
        <v>4.4739074126370397</v>
      </c>
      <c r="J107" s="28">
        <f t="shared" si="28"/>
        <v>9.5803774024769153E-2</v>
      </c>
      <c r="K107" s="24">
        <f t="shared" si="29"/>
        <v>695.81897136356633</v>
      </c>
      <c r="L107" s="32">
        <f t="shared" si="30"/>
        <v>0.53430685507139974</v>
      </c>
      <c r="M107" s="35">
        <f t="shared" si="31"/>
        <v>17.844644568136697</v>
      </c>
      <c r="O107" s="29">
        <f t="shared" si="32"/>
        <v>686.00148119320556</v>
      </c>
      <c r="T107" s="48">
        <v>0.74070600694444444</v>
      </c>
      <c r="U107" s="29">
        <v>-823.69736185320539</v>
      </c>
      <c r="V107" s="29">
        <v>4792.2735556210828</v>
      </c>
      <c r="W107" s="29">
        <v>4234.9243016976825</v>
      </c>
      <c r="X107" s="4">
        <v>-5.5322780191221153</v>
      </c>
      <c r="Y107" s="4">
        <v>-2.1851506680176818</v>
      </c>
      <c r="Z107" s="4">
        <v>1.1247995511619755</v>
      </c>
      <c r="AA107" s="3">
        <f t="shared" si="37"/>
        <v>6.0536069870032048</v>
      </c>
      <c r="AB107" s="3">
        <f t="shared" si="40"/>
        <v>2.5550446795300759</v>
      </c>
      <c r="AC107" s="3">
        <f t="shared" si="38"/>
        <v>5.7143598422865765</v>
      </c>
      <c r="AD107" s="48"/>
      <c r="AE107" s="46">
        <f t="shared" si="33"/>
        <v>41.241833296646838</v>
      </c>
      <c r="AF107" s="46">
        <f t="shared" si="34"/>
        <v>-252.72991881957753</v>
      </c>
      <c r="AG107" s="47">
        <f t="shared" si="35"/>
        <v>79288.954480285611</v>
      </c>
      <c r="AH107" s="45" t="str">
        <f t="shared" si="39"/>
        <v>-252.72992,41.24183,79289</v>
      </c>
      <c r="AI107" s="44">
        <f t="shared" si="41"/>
        <v>660.68910681300815</v>
      </c>
    </row>
    <row r="108" spans="1:35" ht="18" customHeight="1" x14ac:dyDescent="0.25">
      <c r="A108" s="36">
        <f t="shared" si="36"/>
        <v>0.74071759259259251</v>
      </c>
      <c r="B108" s="42">
        <f t="shared" si="21"/>
        <v>41.256446668801452</v>
      </c>
      <c r="C108" s="43">
        <f t="shared" si="22"/>
        <v>107.33443716327218</v>
      </c>
      <c r="D108" s="18">
        <f t="shared" si="23"/>
        <v>79.1140683607955</v>
      </c>
      <c r="E108" s="21" t="str">
        <f t="shared" si="24"/>
        <v>Umbra</v>
      </c>
      <c r="F108" s="23">
        <f>IF($E108&lt;&gt;"Umbra",fracil2($S$2,$S$3,$S$4,$A108,$Q$2,$O$3,$Q$4,$U108,$V108,$W108),0)</f>
        <v>0</v>
      </c>
      <c r="G108" s="19">
        <f t="shared" si="25"/>
        <v>69.689212241095404</v>
      </c>
      <c r="H108" s="19">
        <f t="shared" si="26"/>
        <v>3.1746953238737228</v>
      </c>
      <c r="I108" s="19">
        <f t="shared" si="27"/>
        <v>4.3827132732686183</v>
      </c>
      <c r="J108" s="28">
        <f t="shared" si="28"/>
        <v>9.4628810107930103E-2</v>
      </c>
      <c r="K108" s="24">
        <f t="shared" si="29"/>
        <v>701.41335250164968</v>
      </c>
      <c r="L108" s="32">
        <f t="shared" si="30"/>
        <v>0.53454340891944063</v>
      </c>
      <c r="M108" s="35">
        <f t="shared" si="31"/>
        <v>17.794560391464639</v>
      </c>
      <c r="O108" s="29">
        <f t="shared" si="32"/>
        <v>691.62023731651516</v>
      </c>
      <c r="T108" s="48">
        <v>0.74071759259259251</v>
      </c>
      <c r="U108" s="29">
        <v>-829.22214811741719</v>
      </c>
      <c r="V108" s="29">
        <v>4790.0877412840618</v>
      </c>
      <c r="W108" s="29">
        <v>4236.0443894069431</v>
      </c>
      <c r="X108" s="4">
        <v>-5.5076716668164689</v>
      </c>
      <c r="Y108" s="4">
        <v>-2.1826646278005746</v>
      </c>
      <c r="Z108" s="4">
        <v>1.113428594865761</v>
      </c>
      <c r="AA108" s="3">
        <f t="shared" si="37"/>
        <v>6.0281170611368742</v>
      </c>
      <c r="AB108" s="3">
        <f t="shared" si="40"/>
        <v>2.5959930700176161</v>
      </c>
      <c r="AC108" s="3">
        <f t="shared" si="38"/>
        <v>5.6888780779341079</v>
      </c>
      <c r="AD108" s="48"/>
      <c r="AE108" s="46">
        <f t="shared" si="33"/>
        <v>41.256446668801452</v>
      </c>
      <c r="AF108" s="46">
        <f t="shared" si="34"/>
        <v>-252.66556283672782</v>
      </c>
      <c r="AG108" s="47">
        <f t="shared" si="35"/>
        <v>79114.0683607955</v>
      </c>
      <c r="AH108" s="45" t="str">
        <f t="shared" si="39"/>
        <v>-252.66556,41.25645,79114</v>
      </c>
      <c r="AI108" s="44">
        <f t="shared" si="41"/>
        <v>666.30941153595802</v>
      </c>
    </row>
    <row r="109" spans="1:35" ht="18" customHeight="1" x14ac:dyDescent="0.25">
      <c r="A109" s="36">
        <f t="shared" si="36"/>
        <v>0.74072915509259263</v>
      </c>
      <c r="B109" s="42">
        <f t="shared" si="21"/>
        <v>41.270938714525414</v>
      </c>
      <c r="C109" s="43">
        <f t="shared" si="22"/>
        <v>107.39847114161319</v>
      </c>
      <c r="D109" s="18">
        <f t="shared" si="23"/>
        <v>78.936202826663248</v>
      </c>
      <c r="E109" s="21" t="str">
        <f t="shared" si="24"/>
        <v>Umbra</v>
      </c>
      <c r="F109" s="23">
        <f>IF($E109&lt;&gt;"Umbra",fracil2($S$2,$S$3,$S$4,$A109,$Q$2,$O$3,$Q$4,$U109,$V109,$W109),0)</f>
        <v>0</v>
      </c>
      <c r="G109" s="19">
        <f t="shared" si="25"/>
        <v>69.677892035176072</v>
      </c>
      <c r="H109" s="19">
        <f t="shared" si="26"/>
        <v>3.0847225797727771</v>
      </c>
      <c r="I109" s="19">
        <f t="shared" si="27"/>
        <v>4.2927405291676726</v>
      </c>
      <c r="J109" s="28">
        <f t="shared" si="28"/>
        <v>9.3482930211233467E-2</v>
      </c>
      <c r="K109" s="24">
        <f t="shared" si="29"/>
        <v>706.97710041640346</v>
      </c>
      <c r="L109" s="32">
        <f t="shared" si="30"/>
        <v>0.53477652787041752</v>
      </c>
      <c r="M109" s="35">
        <f t="shared" si="31"/>
        <v>17.745003206956248</v>
      </c>
      <c r="O109" s="29">
        <f t="shared" si="32"/>
        <v>697.20823652845445</v>
      </c>
      <c r="T109" s="48">
        <v>0.74072915509259263</v>
      </c>
      <c r="U109" s="29">
        <v>-834.71639382767569</v>
      </c>
      <c r="V109" s="29">
        <v>4787.9067847668712</v>
      </c>
      <c r="W109" s="29">
        <v>4237.1519185476609</v>
      </c>
      <c r="X109" s="4">
        <v>-5.4826979713950452</v>
      </c>
      <c r="Y109" s="4">
        <v>-2.1799876148858686</v>
      </c>
      <c r="Z109" s="4">
        <v>1.1020120104531785</v>
      </c>
      <c r="AA109" s="3">
        <f t="shared" si="37"/>
        <v>6.0022290457610978</v>
      </c>
      <c r="AB109" s="3">
        <f t="shared" si="40"/>
        <v>2.641790468894365</v>
      </c>
      <c r="AC109" s="3">
        <f t="shared" si="38"/>
        <v>5.662998585993205</v>
      </c>
      <c r="AD109" s="48"/>
      <c r="AE109" s="46">
        <f t="shared" si="33"/>
        <v>41.270938714525414</v>
      </c>
      <c r="AF109" s="46">
        <f t="shared" si="34"/>
        <v>-252.60152885838681</v>
      </c>
      <c r="AG109" s="47">
        <f t="shared" si="35"/>
        <v>78936.202826663241</v>
      </c>
      <c r="AH109" s="45" t="str">
        <f t="shared" si="39"/>
        <v>-252.60153,41.27094,78936</v>
      </c>
      <c r="AI109" s="44">
        <f t="shared" si="41"/>
        <v>671.89890569643046</v>
      </c>
    </row>
    <row r="110" spans="1:35" ht="18" customHeight="1" x14ac:dyDescent="0.25">
      <c r="A110" s="36">
        <f t="shared" si="36"/>
        <v>0.74074074074074081</v>
      </c>
      <c r="B110" s="42">
        <f t="shared" si="21"/>
        <v>41.285327851672463</v>
      </c>
      <c r="C110" s="43">
        <f t="shared" si="22"/>
        <v>107.46225035456212</v>
      </c>
      <c r="D110" s="18">
        <f t="shared" si="23"/>
        <v>78.755112831477163</v>
      </c>
      <c r="E110" s="21" t="str">
        <f t="shared" si="24"/>
        <v>Umbra</v>
      </c>
      <c r="F110" s="23">
        <f>IF($E110&lt;&gt;"Umbra",fracil2($S$2,$S$3,$S$4,$A110,$Q$2,$O$3,$Q$4,$U110,$V110,$W110),0)</f>
        <v>0</v>
      </c>
      <c r="G110" s="19">
        <f t="shared" si="25"/>
        <v>69.66683248408934</v>
      </c>
      <c r="H110" s="19">
        <f t="shared" si="26"/>
        <v>2.9958383330036109</v>
      </c>
      <c r="I110" s="19">
        <f t="shared" si="27"/>
        <v>4.2038562823985064</v>
      </c>
      <c r="J110" s="28">
        <f t="shared" si="28"/>
        <v>9.2363494177041677E-2</v>
      </c>
      <c r="K110" s="24">
        <f t="shared" si="29"/>
        <v>712.51614035278544</v>
      </c>
      <c r="L110" s="32">
        <f t="shared" si="30"/>
        <v>0.53500663986140951</v>
      </c>
      <c r="M110" s="35">
        <f t="shared" si="31"/>
        <v>17.69592122445987</v>
      </c>
      <c r="O110" s="29">
        <f t="shared" si="32"/>
        <v>702.771463287595</v>
      </c>
      <c r="T110" s="48">
        <v>0.74074074074074081</v>
      </c>
      <c r="U110" s="29">
        <v>-840.18689797092156</v>
      </c>
      <c r="V110" s="29">
        <v>4785.728033985939</v>
      </c>
      <c r="W110" s="29">
        <v>4238.2482893408433</v>
      </c>
      <c r="X110" s="4">
        <v>-5.4573126828104961</v>
      </c>
      <c r="Y110" s="4">
        <v>-2.1771101020924424</v>
      </c>
      <c r="Z110" s="4">
        <v>1.0905334246899321</v>
      </c>
      <c r="AA110" s="3">
        <f t="shared" si="37"/>
        <v>5.9758960219337158</v>
      </c>
      <c r="AB110" s="3">
        <f t="shared" si="40"/>
        <v>2.6818092956569224</v>
      </c>
      <c r="AC110" s="3">
        <f t="shared" si="38"/>
        <v>5.6366744662179622</v>
      </c>
      <c r="AD110" s="48"/>
      <c r="AE110" s="46">
        <f t="shared" si="33"/>
        <v>41.285327851672463</v>
      </c>
      <c r="AF110" s="46">
        <f t="shared" si="34"/>
        <v>-252.53774964543788</v>
      </c>
      <c r="AG110" s="47">
        <f t="shared" si="35"/>
        <v>78755.112831477163</v>
      </c>
      <c r="AH110" s="45" t="str">
        <f t="shared" si="39"/>
        <v>-252.53775,41.28533,78755</v>
      </c>
      <c r="AI110" s="44">
        <f t="shared" si="41"/>
        <v>677.46358374657905</v>
      </c>
    </row>
    <row r="111" spans="1:35" ht="18" customHeight="1" x14ac:dyDescent="0.25">
      <c r="A111" s="36">
        <f t="shared" si="36"/>
        <v>0.74075231481481474</v>
      </c>
      <c r="B111" s="42">
        <f t="shared" si="21"/>
        <v>41.299612040840017</v>
      </c>
      <c r="C111" s="43">
        <f t="shared" si="22"/>
        <v>107.52577536945701</v>
      </c>
      <c r="D111" s="18">
        <f t="shared" si="23"/>
        <v>78.570797150844555</v>
      </c>
      <c r="E111" s="21" t="str">
        <f t="shared" si="24"/>
        <v>Umbra</v>
      </c>
      <c r="F111" s="23">
        <f>IF($E111&lt;&gt;"Umbra",fracil2($S$2,$S$3,$S$4,$A111,$Q$2,$O$3,$Q$4,$U111,$V111,$W111),0)</f>
        <v>0</v>
      </c>
      <c r="G111" s="19">
        <f t="shared" si="25"/>
        <v>69.6560495197443</v>
      </c>
      <c r="H111" s="19">
        <f t="shared" si="26"/>
        <v>2.9080132406049826</v>
      </c>
      <c r="I111" s="19">
        <f t="shared" si="27"/>
        <v>4.1160311899998776</v>
      </c>
      <c r="J111" s="28">
        <f t="shared" si="28"/>
        <v>9.1269319909706811E-2</v>
      </c>
      <c r="K111" s="24">
        <f t="shared" si="29"/>
        <v>718.03045752501964</v>
      </c>
      <c r="L111" s="32">
        <f t="shared" si="30"/>
        <v>0.5352337495423295</v>
      </c>
      <c r="M111" s="35">
        <f t="shared" si="31"/>
        <v>17.647284564154081</v>
      </c>
      <c r="O111" s="29">
        <f t="shared" si="32"/>
        <v>708.30992416367246</v>
      </c>
      <c r="T111" s="48">
        <v>0.74075231481481474</v>
      </c>
      <c r="U111" s="29">
        <v>-845.63272734021996</v>
      </c>
      <c r="V111" s="29">
        <v>4783.5518951593131</v>
      </c>
      <c r="W111" s="29">
        <v>4239.333333257272</v>
      </c>
      <c r="X111" s="4">
        <v>-5.4315055209188818</v>
      </c>
      <c r="Y111" s="4">
        <v>-2.1740258009667794</v>
      </c>
      <c r="Z111" s="4">
        <v>1.0789923194410884</v>
      </c>
      <c r="AA111" s="3">
        <f t="shared" si="37"/>
        <v>5.949106221312106</v>
      </c>
      <c r="AB111" s="3">
        <f t="shared" si="40"/>
        <v>2.7310328606514296</v>
      </c>
      <c r="AC111" s="3">
        <f t="shared" si="38"/>
        <v>5.6098939579867526</v>
      </c>
      <c r="AD111" s="48"/>
      <c r="AE111" s="46">
        <f t="shared" si="33"/>
        <v>41.299612040840017</v>
      </c>
      <c r="AF111" s="46">
        <f t="shared" si="34"/>
        <v>-252.47422463054301</v>
      </c>
      <c r="AG111" s="47">
        <f t="shared" si="35"/>
        <v>78570.797150844563</v>
      </c>
      <c r="AH111" s="45" t="str">
        <f t="shared" si="39"/>
        <v>-252.47422,41.29961,78571</v>
      </c>
      <c r="AI111" s="44">
        <f t="shared" si="41"/>
        <v>683.00344650950433</v>
      </c>
    </row>
    <row r="112" spans="1:35" ht="18" customHeight="1" x14ac:dyDescent="0.25">
      <c r="A112" s="36">
        <f t="shared" si="36"/>
        <v>0.74076387731481486</v>
      </c>
      <c r="B112" s="42">
        <f t="shared" si="21"/>
        <v>41.313777291340102</v>
      </c>
      <c r="C112" s="43">
        <f t="shared" si="22"/>
        <v>107.58897713405199</v>
      </c>
      <c r="D112" s="18">
        <f t="shared" si="23"/>
        <v>78.383416792047683</v>
      </c>
      <c r="E112" s="21" t="str">
        <f t="shared" si="24"/>
        <v>Umbra</v>
      </c>
      <c r="F112" s="23">
        <f>IF($E112&lt;&gt;"Umbra",fracil2($S$2,$S$3,$S$4,$A112,$Q$2,$O$3,$Q$4,$U112,$V112,$W112),0)</f>
        <v>0</v>
      </c>
      <c r="G112" s="19">
        <f t="shared" si="25"/>
        <v>69.64553889112149</v>
      </c>
      <c r="H112" s="19">
        <f t="shared" si="26"/>
        <v>2.8213090973841215</v>
      </c>
      <c r="I112" s="19">
        <f t="shared" si="27"/>
        <v>4.0293270467790165</v>
      </c>
      <c r="J112" s="28">
        <f t="shared" si="28"/>
        <v>9.0200318935445736E-2</v>
      </c>
      <c r="K112" s="24">
        <f t="shared" si="29"/>
        <v>723.51409702605611</v>
      </c>
      <c r="L112" s="32">
        <f t="shared" si="30"/>
        <v>0.53545773184594891</v>
      </c>
      <c r="M112" s="35">
        <f t="shared" si="31"/>
        <v>17.599137686585728</v>
      </c>
      <c r="O112" s="29">
        <f t="shared" si="32"/>
        <v>713.81766635750478</v>
      </c>
      <c r="T112" s="48">
        <v>0.74076387731481486</v>
      </c>
      <c r="U112" s="29">
        <v>-851.04836426254155</v>
      </c>
      <c r="V112" s="29">
        <v>4781.3806198328084</v>
      </c>
      <c r="W112" s="29">
        <v>4240.4059797969976</v>
      </c>
      <c r="X112" s="4">
        <v>-5.4052885034211577</v>
      </c>
      <c r="Y112" s="4">
        <v>-2.1707312034312807</v>
      </c>
      <c r="Z112" s="4">
        <v>1.0673980562319711</v>
      </c>
      <c r="AA112" s="3">
        <f t="shared" si="37"/>
        <v>5.9218710196368631</v>
      </c>
      <c r="AB112" s="3">
        <f t="shared" si="40"/>
        <v>2.7791937805001332</v>
      </c>
      <c r="AC112" s="3">
        <f t="shared" si="38"/>
        <v>5.5826684365491035</v>
      </c>
      <c r="AD112" s="48"/>
      <c r="AE112" s="46">
        <f t="shared" si="33"/>
        <v>41.313777291340102</v>
      </c>
      <c r="AF112" s="46">
        <f t="shared" si="34"/>
        <v>-252.41102286594801</v>
      </c>
      <c r="AG112" s="47">
        <f t="shared" si="35"/>
        <v>78383.416792047676</v>
      </c>
      <c r="AH112" s="45" t="str">
        <f t="shared" si="39"/>
        <v>-252.41102,41.31378,78383</v>
      </c>
      <c r="AI112" s="44">
        <f t="shared" si="41"/>
        <v>688.5125435574671</v>
      </c>
    </row>
    <row r="113" spans="1:35" ht="18" customHeight="1" x14ac:dyDescent="0.25">
      <c r="A113" s="36">
        <f t="shared" si="36"/>
        <v>0.74077546296296293</v>
      </c>
      <c r="B113" s="42">
        <f t="shared" si="21"/>
        <v>41.327858016792824</v>
      </c>
      <c r="C113" s="43">
        <f t="shared" si="22"/>
        <v>107.65200456731857</v>
      </c>
      <c r="D113" s="18">
        <f t="shared" si="23"/>
        <v>78.192486542661754</v>
      </c>
      <c r="E113" s="21" t="str">
        <f t="shared" si="24"/>
        <v>Umbra</v>
      </c>
      <c r="F113" s="23">
        <f>IF($E113&lt;&gt;"Umbra",fracil2($S$2,$S$3,$S$4,$A113,$Q$2,$O$3,$Q$4,$U113,$V113,$W113),0)</f>
        <v>0</v>
      </c>
      <c r="G113" s="19">
        <f t="shared" si="25"/>
        <v>69.635264295781965</v>
      </c>
      <c r="H113" s="19">
        <f t="shared" si="26"/>
        <v>2.7354908157990443</v>
      </c>
      <c r="I113" s="19">
        <f t="shared" si="27"/>
        <v>3.9435087651939398</v>
      </c>
      <c r="J113" s="28">
        <f t="shared" si="28"/>
        <v>8.9152789427909329E-2</v>
      </c>
      <c r="K113" s="24">
        <f t="shared" si="29"/>
        <v>728.98000305447147</v>
      </c>
      <c r="L113" s="32">
        <f t="shared" si="30"/>
        <v>0.53567921604479329</v>
      </c>
      <c r="M113" s="35">
        <f t="shared" si="31"/>
        <v>17.551357106354473</v>
      </c>
      <c r="O113" s="29">
        <f t="shared" si="32"/>
        <v>719.30771784239698</v>
      </c>
      <c r="T113" s="48">
        <v>0.74077546296296293</v>
      </c>
      <c r="U113" s="29">
        <v>-856.44681469892475</v>
      </c>
      <c r="V113" s="29">
        <v>4779.2090245602858</v>
      </c>
      <c r="W113" s="29">
        <v>4241.4688194943092</v>
      </c>
      <c r="X113" s="4">
        <v>-5.3785828388759747</v>
      </c>
      <c r="Y113" s="4">
        <v>-2.1672110106892095</v>
      </c>
      <c r="Z113" s="4">
        <v>1.0557201438496218</v>
      </c>
      <c r="AA113" s="3">
        <f t="shared" si="37"/>
        <v>5.8941073914235353</v>
      </c>
      <c r="AB113" s="3">
        <f t="shared" si="40"/>
        <v>2.8274322603990729</v>
      </c>
      <c r="AC113" s="3">
        <f t="shared" si="38"/>
        <v>5.5549149100030686</v>
      </c>
      <c r="AD113" s="48"/>
      <c r="AE113" s="46">
        <f t="shared" si="33"/>
        <v>41.327858016792824</v>
      </c>
      <c r="AF113" s="46">
        <f t="shared" si="34"/>
        <v>-252.34799543268144</v>
      </c>
      <c r="AG113" s="47">
        <f t="shared" si="35"/>
        <v>78192.486542661762</v>
      </c>
      <c r="AH113" s="45" t="str">
        <f t="shared" si="39"/>
        <v>-252.34800,41.32786,78192</v>
      </c>
      <c r="AI113" s="44">
        <f t="shared" si="41"/>
        <v>694.00390868161423</v>
      </c>
    </row>
    <row r="114" spans="1:35" ht="18" customHeight="1" x14ac:dyDescent="0.25">
      <c r="A114" s="36">
        <f t="shared" si="36"/>
        <v>0.74078703703703708</v>
      </c>
      <c r="B114" s="42">
        <f t="shared" si="21"/>
        <v>41.341807059765188</v>
      </c>
      <c r="C114" s="43">
        <f t="shared" si="22"/>
        <v>107.71464255498489</v>
      </c>
      <c r="D114" s="18">
        <f t="shared" si="23"/>
        <v>77.998621885331886</v>
      </c>
      <c r="E114" s="21" t="str">
        <f t="shared" si="24"/>
        <v>Umbra</v>
      </c>
      <c r="F114" s="23">
        <f>IF($E114&lt;&gt;"Umbra",fracil2($S$2,$S$3,$S$4,$A114,$Q$2,$O$3,$Q$4,$U114,$V114,$W114),0)</f>
        <v>0</v>
      </c>
      <c r="G114" s="19">
        <f t="shared" si="25"/>
        <v>69.625251090116592</v>
      </c>
      <c r="H114" s="19">
        <f t="shared" si="26"/>
        <v>2.6508208189990845</v>
      </c>
      <c r="I114" s="19">
        <f t="shared" si="27"/>
        <v>3.85883876839398</v>
      </c>
      <c r="J114" s="28">
        <f t="shared" si="28"/>
        <v>8.8129144271135759E-2</v>
      </c>
      <c r="K114" s="24">
        <f t="shared" si="29"/>
        <v>734.40954260005401</v>
      </c>
      <c r="L114" s="32">
        <f t="shared" si="30"/>
        <v>0.53589754088928909</v>
      </c>
      <c r="M114" s="35">
        <f t="shared" si="31"/>
        <v>17.50409465539823</v>
      </c>
      <c r="O114" s="29">
        <f t="shared" si="32"/>
        <v>724.76138887881916</v>
      </c>
      <c r="T114" s="48">
        <v>0.74078703703703708</v>
      </c>
      <c r="U114" s="29">
        <v>-861.80982708371857</v>
      </c>
      <c r="V114" s="29">
        <v>4777.0444920711807</v>
      </c>
      <c r="W114" s="29">
        <v>4242.5182818100047</v>
      </c>
      <c r="X114" s="4">
        <v>-5.3514632800607256</v>
      </c>
      <c r="Y114" s="4">
        <v>-2.1634698039330194</v>
      </c>
      <c r="Z114" s="4">
        <v>1.04399552421231</v>
      </c>
      <c r="AA114" s="3">
        <f t="shared" si="37"/>
        <v>5.865891874637958</v>
      </c>
      <c r="AB114" s="3">
        <f t="shared" si="40"/>
        <v>2.8763020262926151</v>
      </c>
      <c r="AC114" s="3">
        <f t="shared" si="38"/>
        <v>5.5267098923330584</v>
      </c>
      <c r="AD114" s="48"/>
      <c r="AE114" s="46">
        <f t="shared" si="33"/>
        <v>41.341807059765188</v>
      </c>
      <c r="AF114" s="46">
        <f t="shared" si="34"/>
        <v>-252.28535744501511</v>
      </c>
      <c r="AG114" s="47">
        <f t="shared" si="35"/>
        <v>77998.621885331886</v>
      </c>
      <c r="AH114" s="45" t="str">
        <f t="shared" si="39"/>
        <v>-252.28536,41.34181,77999</v>
      </c>
      <c r="AI114" s="44">
        <f t="shared" si="41"/>
        <v>699.45884972212889</v>
      </c>
    </row>
    <row r="115" spans="1:35" ht="18" customHeight="1" x14ac:dyDescent="0.25">
      <c r="A115" s="36">
        <f t="shared" si="36"/>
        <v>0.74079861111111101</v>
      </c>
      <c r="B115" s="42">
        <f t="shared" si="21"/>
        <v>41.355644423239603</v>
      </c>
      <c r="C115" s="43">
        <f t="shared" si="22"/>
        <v>107.77697948563022</v>
      </c>
      <c r="D115" s="18">
        <f t="shared" si="23"/>
        <v>77.801534328027628</v>
      </c>
      <c r="E115" s="21" t="str">
        <f t="shared" si="24"/>
        <v>Umbra</v>
      </c>
      <c r="F115" s="23">
        <f>IF($E115&lt;&gt;"Umbra",fracil2($S$2,$S$3,$S$4,$A115,$Q$2,$O$3,$Q$4,$U115,$V115,$W115),0)</f>
        <v>0</v>
      </c>
      <c r="G115" s="19">
        <f t="shared" si="25"/>
        <v>69.615481182587416</v>
      </c>
      <c r="H115" s="19">
        <f t="shared" si="26"/>
        <v>2.5671493513069032</v>
      </c>
      <c r="I115" s="19">
        <f t="shared" si="27"/>
        <v>3.7751673007017983</v>
      </c>
      <c r="J115" s="28">
        <f t="shared" si="28"/>
        <v>8.7126789868083046E-2</v>
      </c>
      <c r="K115" s="24">
        <f t="shared" si="29"/>
        <v>739.8103887756198</v>
      </c>
      <c r="L115" s="32">
        <f t="shared" si="30"/>
        <v>0.53611308837259652</v>
      </c>
      <c r="M115" s="35">
        <f t="shared" si="31"/>
        <v>17.457268178425466</v>
      </c>
      <c r="O115" s="29">
        <f t="shared" si="32"/>
        <v>730.18640948746622</v>
      </c>
      <c r="T115" s="48">
        <v>0.74079861111111101</v>
      </c>
      <c r="U115" s="29">
        <v>-867.14487625418792</v>
      </c>
      <c r="V115" s="29">
        <v>4774.884067232776</v>
      </c>
      <c r="W115" s="29">
        <v>4243.5558704679152</v>
      </c>
      <c r="X115" s="4">
        <v>-5.3238778348796743</v>
      </c>
      <c r="Y115" s="4">
        <v>-2.1594955491296757</v>
      </c>
      <c r="Z115" s="4">
        <v>1.0322056436426739</v>
      </c>
      <c r="AA115" s="3">
        <f t="shared" si="37"/>
        <v>5.837169238440989</v>
      </c>
      <c r="AB115" s="3">
        <f t="shared" si="40"/>
        <v>2.9279742696979807</v>
      </c>
      <c r="AC115" s="3">
        <f t="shared" si="38"/>
        <v>5.4979981766447628</v>
      </c>
      <c r="AD115" s="48"/>
      <c r="AE115" s="46">
        <f t="shared" si="33"/>
        <v>41.355644423239603</v>
      </c>
      <c r="AF115" s="46">
        <f t="shared" si="34"/>
        <v>-252.22302051436978</v>
      </c>
      <c r="AG115" s="47">
        <f t="shared" si="35"/>
        <v>77801.534328027628</v>
      </c>
      <c r="AH115" s="45" t="str">
        <f t="shared" si="39"/>
        <v>-252.22302,41.35564,77802</v>
      </c>
      <c r="AI115" s="44">
        <f t="shared" si="41"/>
        <v>704.88509881070513</v>
      </c>
    </row>
    <row r="116" spans="1:35" ht="18" customHeight="1" x14ac:dyDescent="0.25">
      <c r="A116" s="36">
        <f t="shared" si="36"/>
        <v>0.74081017361111112</v>
      </c>
      <c r="B116" s="42">
        <f t="shared" si="21"/>
        <v>41.369366210492366</v>
      </c>
      <c r="C116" s="43">
        <f t="shared" si="22"/>
        <v>107.83899795935963</v>
      </c>
      <c r="D116" s="18">
        <f t="shared" si="23"/>
        <v>77.601260540104704</v>
      </c>
      <c r="E116" s="21" t="str">
        <f t="shared" si="24"/>
        <v>Umbra</v>
      </c>
      <c r="F116" s="23">
        <f>IF($E116&lt;&gt;"Umbra",fracil2($S$2,$S$3,$S$4,$A116,$Q$2,$O$3,$Q$4,$U116,$V116,$W116),0)</f>
        <v>0</v>
      </c>
      <c r="G116" s="19">
        <f t="shared" si="25"/>
        <v>69.605956135842135</v>
      </c>
      <c r="H116" s="19">
        <f t="shared" si="26"/>
        <v>2.48447198962673</v>
      </c>
      <c r="I116" s="19">
        <f t="shared" si="27"/>
        <v>3.692489939021625</v>
      </c>
      <c r="J116" s="28">
        <f t="shared" si="28"/>
        <v>8.6144934760882599E-2</v>
      </c>
      <c r="K116" s="24">
        <f t="shared" si="29"/>
        <v>745.18103441614278</v>
      </c>
      <c r="L116" s="32">
        <f t="shared" si="30"/>
        <v>0.53632585744869299</v>
      </c>
      <c r="M116" s="35">
        <f t="shared" si="31"/>
        <v>17.410874678002187</v>
      </c>
      <c r="O116" s="29">
        <f t="shared" si="32"/>
        <v>735.58128737883101</v>
      </c>
      <c r="T116" s="48">
        <v>0.74081017361111112</v>
      </c>
      <c r="U116" s="29">
        <v>-872.45026996251408</v>
      </c>
      <c r="V116" s="29">
        <v>4772.7284847311566</v>
      </c>
      <c r="W116" s="29">
        <v>4244.5812859688194</v>
      </c>
      <c r="X116" s="4">
        <v>-5.2958195796468459</v>
      </c>
      <c r="Y116" s="4">
        <v>-2.1552820165030142</v>
      </c>
      <c r="Z116" s="4">
        <v>1.0203517672975044</v>
      </c>
      <c r="AA116" s="3">
        <f t="shared" si="37"/>
        <v>5.8079310705155009</v>
      </c>
      <c r="AB116" s="3">
        <f t="shared" si="40"/>
        <v>2.9834871481995697</v>
      </c>
      <c r="AC116" s="3">
        <f t="shared" si="38"/>
        <v>5.4687713577441963</v>
      </c>
      <c r="AD116" s="48"/>
      <c r="AE116" s="46">
        <f t="shared" si="33"/>
        <v>41.369366210492366</v>
      </c>
      <c r="AF116" s="46">
        <f t="shared" si="34"/>
        <v>-252.16100204064037</v>
      </c>
      <c r="AG116" s="47">
        <f t="shared" si="35"/>
        <v>77601.260540104704</v>
      </c>
      <c r="AH116" s="45" t="str">
        <f t="shared" si="39"/>
        <v>-252.16100,41.36937,77601</v>
      </c>
      <c r="AI116" s="44">
        <f t="shared" si="41"/>
        <v>710.28116289546585</v>
      </c>
    </row>
    <row r="117" spans="1:35" ht="18" customHeight="1" x14ac:dyDescent="0.25">
      <c r="A117" s="36">
        <f t="shared" si="36"/>
        <v>0.74082174768518516</v>
      </c>
      <c r="B117" s="42">
        <f t="shared" si="21"/>
        <v>41.382986944993185</v>
      </c>
      <c r="C117" s="43">
        <f t="shared" si="22"/>
        <v>107.90075710150138</v>
      </c>
      <c r="D117" s="18">
        <f t="shared" si="23"/>
        <v>77.397563667447685</v>
      </c>
      <c r="E117" s="21" t="str">
        <f t="shared" si="24"/>
        <v>Umbra</v>
      </c>
      <c r="F117" s="23">
        <f>IF($E117&lt;&gt;"Umbra",fracil2($S$2,$S$3,$S$4,$A117,$Q$2,$O$3,$Q$4,$U117,$V117,$W117),0)</f>
        <v>0</v>
      </c>
      <c r="G117" s="19">
        <f t="shared" si="25"/>
        <v>69.596653347564583</v>
      </c>
      <c r="H117" s="19">
        <f t="shared" si="26"/>
        <v>2.4026813465114794</v>
      </c>
      <c r="I117" s="19">
        <f t="shared" si="27"/>
        <v>3.6106992959063744</v>
      </c>
      <c r="J117" s="28">
        <f t="shared" si="28"/>
        <v>8.5181573071963779E-2</v>
      </c>
      <c r="K117" s="24">
        <f t="shared" si="29"/>
        <v>750.52663804778319</v>
      </c>
      <c r="L117" s="32">
        <f t="shared" si="30"/>
        <v>0.53653615540127564</v>
      </c>
      <c r="M117" s="35">
        <f t="shared" si="31"/>
        <v>17.364862659654907</v>
      </c>
      <c r="O117" s="29">
        <f t="shared" si="32"/>
        <v>740.95122919098878</v>
      </c>
      <c r="T117" s="48">
        <v>0.74082174768518516</v>
      </c>
      <c r="U117" s="29">
        <v>-877.73145109745315</v>
      </c>
      <c r="V117" s="29">
        <v>4770.5755741283056</v>
      </c>
      <c r="W117" s="29">
        <v>4245.5956019400792</v>
      </c>
      <c r="X117" s="4">
        <v>-5.2672428343389273</v>
      </c>
      <c r="Y117" s="4">
        <v>-2.1508168222005382</v>
      </c>
      <c r="Z117" s="4">
        <v>1.0084190576529066</v>
      </c>
      <c r="AA117" s="3">
        <f t="shared" si="37"/>
        <v>5.778128509681415</v>
      </c>
      <c r="AB117" s="3">
        <f t="shared" si="40"/>
        <v>3.0380134547317192</v>
      </c>
      <c r="AC117" s="3">
        <f t="shared" si="38"/>
        <v>5.4389805978071877</v>
      </c>
      <c r="AD117" s="48"/>
      <c r="AE117" s="46">
        <f t="shared" si="33"/>
        <v>41.382986944993185</v>
      </c>
      <c r="AF117" s="46">
        <f t="shared" si="34"/>
        <v>-252.09924289849863</v>
      </c>
      <c r="AG117" s="47">
        <f t="shared" si="35"/>
        <v>77397.563667447685</v>
      </c>
      <c r="AH117" s="45" t="str">
        <f t="shared" si="39"/>
        <v>-252.09924,41.38299,77398</v>
      </c>
      <c r="AI117" s="44">
        <f t="shared" si="41"/>
        <v>715.65225301368901</v>
      </c>
    </row>
    <row r="118" spans="1:35" ht="18" customHeight="1" x14ac:dyDescent="0.25">
      <c r="A118" s="36">
        <f t="shared" si="36"/>
        <v>0.74083333333333334</v>
      </c>
      <c r="B118" s="42">
        <f t="shared" si="21"/>
        <v>41.396513440365609</v>
      </c>
      <c r="C118" s="43">
        <f t="shared" si="22"/>
        <v>107.96228786650889</v>
      </c>
      <c r="D118" s="18">
        <f t="shared" si="23"/>
        <v>77.190304644735988</v>
      </c>
      <c r="E118" s="21" t="str">
        <f t="shared" si="24"/>
        <v>Umbra</v>
      </c>
      <c r="F118" s="23">
        <f>IF($E118&lt;&gt;"Umbra",fracil2($S$2,$S$3,$S$4,$A118,$Q$2,$O$3,$Q$4,$U118,$V118,$W118),0)</f>
        <v>0</v>
      </c>
      <c r="G118" s="19">
        <f t="shared" si="25"/>
        <v>69.587566630575722</v>
      </c>
      <c r="H118" s="19">
        <f t="shared" si="26"/>
        <v>2.3217118876818419</v>
      </c>
      <c r="I118" s="19">
        <f t="shared" si="27"/>
        <v>3.5297298370767374</v>
      </c>
      <c r="J118" s="28">
        <f t="shared" si="28"/>
        <v>8.4235257710365205E-2</v>
      </c>
      <c r="K118" s="24">
        <f t="shared" si="29"/>
        <v>755.84987603986451</v>
      </c>
      <c r="L118" s="32">
        <f t="shared" si="30"/>
        <v>0.5367441421498641</v>
      </c>
      <c r="M118" s="35">
        <f t="shared" si="31"/>
        <v>17.319195188747436</v>
      </c>
      <c r="O118" s="29">
        <f t="shared" si="32"/>
        <v>746.29894505933441</v>
      </c>
      <c r="T118" s="48">
        <v>0.74083333333333334</v>
      </c>
      <c r="U118" s="29">
        <v>-882.99092428827112</v>
      </c>
      <c r="V118" s="29">
        <v>4768.4243382971381</v>
      </c>
      <c r="W118" s="29">
        <v>4246.5993052005979</v>
      </c>
      <c r="X118" s="4">
        <v>-5.2381150063440405</v>
      </c>
      <c r="Y118" s="4">
        <v>-2.1460888217529996</v>
      </c>
      <c r="Z118" s="4">
        <v>0.99639879330632974</v>
      </c>
      <c r="AA118" s="3">
        <f t="shared" si="37"/>
        <v>5.7477262118025525</v>
      </c>
      <c r="AB118" s="3">
        <f t="shared" si="40"/>
        <v>3.0960296046149458</v>
      </c>
      <c r="AC118" s="3">
        <f t="shared" si="38"/>
        <v>5.4085905718379408</v>
      </c>
      <c r="AD118" s="48"/>
      <c r="AE118" s="46">
        <f t="shared" si="33"/>
        <v>41.396513440365609</v>
      </c>
      <c r="AF118" s="46">
        <f t="shared" si="34"/>
        <v>-252.03771213349111</v>
      </c>
      <c r="AG118" s="47">
        <f t="shared" si="35"/>
        <v>77190.304644735996</v>
      </c>
      <c r="AH118" s="45" t="str">
        <f t="shared" si="39"/>
        <v>-252.03771,41.39651,77190</v>
      </c>
      <c r="AI118" s="44">
        <f t="shared" si="41"/>
        <v>721.00107969100895</v>
      </c>
    </row>
    <row r="119" spans="1:35" ht="18" customHeight="1" x14ac:dyDescent="0.25">
      <c r="A119" s="36">
        <f t="shared" si="36"/>
        <v>0.74084491898148153</v>
      </c>
      <c r="B119" s="42">
        <f t="shared" si="21"/>
        <v>41.409924623968088</v>
      </c>
      <c r="C119" s="43">
        <f t="shared" si="22"/>
        <v>108.02348966639715</v>
      </c>
      <c r="D119" s="18">
        <f t="shared" si="23"/>
        <v>76.979776183651666</v>
      </c>
      <c r="E119" s="21" t="str">
        <f t="shared" si="24"/>
        <v>Umbra</v>
      </c>
      <c r="F119" s="23">
        <f>IF($E119&lt;&gt;"Umbra",fracil2($S$2,$S$3,$S$4,$A119,$Q$2,$O$3,$Q$4,$U119,$V119,$W119),0)</f>
        <v>0</v>
      </c>
      <c r="G119" s="19">
        <f t="shared" si="25"/>
        <v>69.578701079632765</v>
      </c>
      <c r="H119" s="19">
        <f t="shared" si="26"/>
        <v>2.2416698330607883</v>
      </c>
      <c r="I119" s="19">
        <f t="shared" si="27"/>
        <v>3.4496877824556833</v>
      </c>
      <c r="J119" s="28">
        <f t="shared" si="28"/>
        <v>8.330654611335947E-2</v>
      </c>
      <c r="K119" s="24">
        <f t="shared" si="29"/>
        <v>761.14207369624205</v>
      </c>
      <c r="L119" s="32">
        <f t="shared" si="30"/>
        <v>0.53694956452141707</v>
      </c>
      <c r="M119" s="35">
        <f t="shared" si="31"/>
        <v>17.273938257977541</v>
      </c>
      <c r="O119" s="29">
        <f t="shared" si="32"/>
        <v>751.61574352739012</v>
      </c>
      <c r="T119" s="48">
        <v>0.74084491898148153</v>
      </c>
      <c r="U119" s="29">
        <v>-888.22033565802451</v>
      </c>
      <c r="V119" s="29">
        <v>4766.2782290469113</v>
      </c>
      <c r="W119" s="29">
        <v>4247.5908166004401</v>
      </c>
      <c r="X119" s="4">
        <v>-5.2084638454065155</v>
      </c>
      <c r="Y119" s="4">
        <v>-2.1410966491743997</v>
      </c>
      <c r="Z119" s="4">
        <v>0.98430716948630459</v>
      </c>
      <c r="AA119" s="3">
        <f t="shared" si="37"/>
        <v>5.7167517957241074</v>
      </c>
      <c r="AB119" s="3">
        <f t="shared" si="40"/>
        <v>3.1542676374846605</v>
      </c>
      <c r="AC119" s="3">
        <f t="shared" si="38"/>
        <v>5.3776288926362215</v>
      </c>
      <c r="AD119" s="48"/>
      <c r="AE119" s="46">
        <f t="shared" si="33"/>
        <v>41.409924623968088</v>
      </c>
      <c r="AF119" s="46">
        <f t="shared" si="34"/>
        <v>-251.97651033360285</v>
      </c>
      <c r="AG119" s="47">
        <f t="shared" si="35"/>
        <v>76979.776183651673</v>
      </c>
      <c r="AH119" s="45" t="str">
        <f t="shared" si="39"/>
        <v>-251.97651,41.40992,76980</v>
      </c>
      <c r="AI119" s="44">
        <f t="shared" si="41"/>
        <v>726.31895186745032</v>
      </c>
    </row>
    <row r="120" spans="1:35" ht="18" customHeight="1" x14ac:dyDescent="0.25">
      <c r="A120" s="36">
        <f t="shared" si="36"/>
        <v>0.7408564699074075</v>
      </c>
      <c r="B120" s="42">
        <f t="shared" si="21"/>
        <v>41.42318246852188</v>
      </c>
      <c r="C120" s="43">
        <f t="shared" si="22"/>
        <v>108.08418571533058</v>
      </c>
      <c r="D120" s="18">
        <f t="shared" si="23"/>
        <v>76.766578247364123</v>
      </c>
      <c r="E120" s="21" t="str">
        <f t="shared" si="24"/>
        <v>Umbra</v>
      </c>
      <c r="F120" s="23">
        <f>IF($E120&lt;&gt;"Umbra",fracil2($S$2,$S$3,$S$4,$A120,$Q$2,$O$3,$Q$4,$U120,$V120,$W120),0)</f>
        <v>0</v>
      </c>
      <c r="G120" s="19">
        <f t="shared" si="25"/>
        <v>69.570076719266623</v>
      </c>
      <c r="H120" s="19">
        <f t="shared" si="26"/>
        <v>2.1627587101242547</v>
      </c>
      <c r="I120" s="19">
        <f t="shared" si="27"/>
        <v>3.3707766595191497</v>
      </c>
      <c r="J120" s="28">
        <f t="shared" si="28"/>
        <v>8.23970979777357E-2</v>
      </c>
      <c r="K120" s="24">
        <f t="shared" si="29"/>
        <v>766.38797316505168</v>
      </c>
      <c r="L120" s="32">
        <f t="shared" si="30"/>
        <v>0.53715190331038276</v>
      </c>
      <c r="M120" s="35">
        <f t="shared" si="31"/>
        <v>17.229209875523097</v>
      </c>
      <c r="O120" s="29">
        <f t="shared" si="32"/>
        <v>756.8863150239207</v>
      </c>
      <c r="T120" s="48">
        <v>0.7408564699074075</v>
      </c>
      <c r="U120" s="29">
        <v>-893.40459943515521</v>
      </c>
      <c r="V120" s="29">
        <v>4764.143519771208</v>
      </c>
      <c r="W120" s="29">
        <v>4248.5673331449216</v>
      </c>
      <c r="X120" s="4">
        <v>-5.1783604597948125</v>
      </c>
      <c r="Y120" s="4">
        <v>-2.1358474910699896</v>
      </c>
      <c r="Z120" s="4">
        <v>0.97217705361591067</v>
      </c>
      <c r="AA120" s="3">
        <f t="shared" si="37"/>
        <v>5.6852783379755136</v>
      </c>
      <c r="AB120" s="3">
        <f t="shared" si="40"/>
        <v>3.2146980221178731</v>
      </c>
      <c r="AC120" s="3">
        <f t="shared" si="38"/>
        <v>5.3461686104888129</v>
      </c>
      <c r="AD120" s="48"/>
      <c r="AE120" s="46">
        <f t="shared" si="33"/>
        <v>41.42318246852188</v>
      </c>
      <c r="AF120" s="46">
        <f t="shared" si="34"/>
        <v>-251.91581428466941</v>
      </c>
      <c r="AG120" s="47">
        <f t="shared" si="35"/>
        <v>76766.578247364116</v>
      </c>
      <c r="AH120" s="45" t="str">
        <f t="shared" si="39"/>
        <v>-251.91581,41.42318,76767</v>
      </c>
      <c r="AI120" s="44">
        <f t="shared" si="41"/>
        <v>731.59055776231639</v>
      </c>
    </row>
    <row r="121" spans="1:35" ht="18" customHeight="1" x14ac:dyDescent="0.25">
      <c r="A121" s="36">
        <f t="shared" si="36"/>
        <v>0.74086804398148143</v>
      </c>
      <c r="B121" s="42">
        <f t="shared" si="21"/>
        <v>41.436340040222234</v>
      </c>
      <c r="C121" s="43">
        <f t="shared" si="22"/>
        <v>108.1446112192021</v>
      </c>
      <c r="D121" s="18">
        <f t="shared" si="23"/>
        <v>76.549851936184496</v>
      </c>
      <c r="E121" s="21" t="str">
        <f t="shared" si="24"/>
        <v>Umbra</v>
      </c>
      <c r="F121" s="23">
        <f>IF($E121&lt;&gt;"Umbra",fracil2($S$2,$S$3,$S$4,$A121,$Q$2,$O$3,$Q$4,$U121,$V121,$W121),0)</f>
        <v>0</v>
      </c>
      <c r="G121" s="19">
        <f t="shared" si="25"/>
        <v>69.561646567625914</v>
      </c>
      <c r="H121" s="19">
        <f t="shared" si="26"/>
        <v>2.0846449801213427</v>
      </c>
      <c r="I121" s="19">
        <f t="shared" si="27"/>
        <v>3.2926629295162382</v>
      </c>
      <c r="J121" s="28">
        <f t="shared" si="28"/>
        <v>8.1502380887221254E-2</v>
      </c>
      <c r="K121" s="24">
        <f t="shared" si="29"/>
        <v>771.6079556604642</v>
      </c>
      <c r="L121" s="32">
        <f t="shared" si="30"/>
        <v>0.5373520461096194</v>
      </c>
      <c r="M121" s="35">
        <f t="shared" si="31"/>
        <v>17.184829922086557</v>
      </c>
      <c r="O121" s="29">
        <f t="shared" si="32"/>
        <v>762.13115835969143</v>
      </c>
      <c r="T121" s="48">
        <v>0.74086804398148143</v>
      </c>
      <c r="U121" s="29">
        <v>-898.56423346620829</v>
      </c>
      <c r="V121" s="29">
        <v>4762.0118322515464</v>
      </c>
      <c r="W121" s="29">
        <v>4249.5327656846721</v>
      </c>
      <c r="X121" s="4">
        <v>-5.1476696992834885</v>
      </c>
      <c r="Y121" s="4">
        <v>-2.130312624298476</v>
      </c>
      <c r="Z121" s="4">
        <v>0.95995815818378594</v>
      </c>
      <c r="AA121" s="3">
        <f t="shared" si="37"/>
        <v>5.6531632627786736</v>
      </c>
      <c r="AB121" s="3">
        <f t="shared" si="40"/>
        <v>3.2736484498685181</v>
      </c>
      <c r="AC121" s="3">
        <f t="shared" si="38"/>
        <v>5.3140672137898077</v>
      </c>
      <c r="AD121" s="48"/>
      <c r="AE121" s="46">
        <f t="shared" si="33"/>
        <v>41.436340040222234</v>
      </c>
      <c r="AF121" s="46">
        <f t="shared" si="34"/>
        <v>-251.85538878079791</v>
      </c>
      <c r="AG121" s="47">
        <f t="shared" si="35"/>
        <v>76549.851936184496</v>
      </c>
      <c r="AH121" s="45" t="str">
        <f t="shared" si="39"/>
        <v>-251.85539,41.43634,76550</v>
      </c>
      <c r="AI121" s="44">
        <f t="shared" si="41"/>
        <v>736.83640343690706</v>
      </c>
    </row>
    <row r="122" spans="1:35" ht="18" customHeight="1" x14ac:dyDescent="0.25">
      <c r="A122" s="36">
        <f t="shared" si="36"/>
        <v>0.74087961805555558</v>
      </c>
      <c r="B122" s="42">
        <f t="shared" si="21"/>
        <v>41.449392219224499</v>
      </c>
      <c r="C122" s="43">
        <f t="shared" si="22"/>
        <v>108.204747107244</v>
      </c>
      <c r="D122" s="18">
        <f t="shared" si="23"/>
        <v>76.329647644979559</v>
      </c>
      <c r="E122" s="21" t="str">
        <f t="shared" si="24"/>
        <v>Umbra</v>
      </c>
      <c r="F122" s="23">
        <f>IF($E122&lt;&gt;"Umbra",fracil2($S$2,$S$3,$S$4,$A122,$Q$2,$O$3,$Q$4,$U122,$V122,$W122),0)</f>
        <v>0</v>
      </c>
      <c r="G122" s="19">
        <f t="shared" si="25"/>
        <v>69.553420459927864</v>
      </c>
      <c r="H122" s="19">
        <f t="shared" si="26"/>
        <v>2.0073325619820239</v>
      </c>
      <c r="I122" s="19">
        <f t="shared" si="27"/>
        <v>3.2153505113769194</v>
      </c>
      <c r="J122" s="28">
        <f t="shared" si="28"/>
        <v>8.0621833663109987E-2</v>
      </c>
      <c r="K122" s="24">
        <f t="shared" si="29"/>
        <v>776.80034977162586</v>
      </c>
      <c r="L122" s="32">
        <f t="shared" si="30"/>
        <v>0.53754994523906097</v>
      </c>
      <c r="M122" s="35">
        <f t="shared" si="31"/>
        <v>17.1407942684373</v>
      </c>
      <c r="O122" s="29">
        <f t="shared" si="32"/>
        <v>767.34861066667293</v>
      </c>
      <c r="T122" s="48">
        <v>0.74087961805555558</v>
      </c>
      <c r="U122" s="29">
        <v>-903.69707720085614</v>
      </c>
      <c r="V122" s="29">
        <v>4759.8840906148525</v>
      </c>
      <c r="W122" s="29">
        <v>4250.4867203348504</v>
      </c>
      <c r="X122" s="4">
        <v>-5.1163839479911131</v>
      </c>
      <c r="Y122" s="4">
        <v>-2.1244844516241406</v>
      </c>
      <c r="Z122" s="4">
        <v>0.94765248484039832</v>
      </c>
      <c r="AA122" s="3">
        <f t="shared" si="37"/>
        <v>5.6203971497108665</v>
      </c>
      <c r="AB122" s="3">
        <f t="shared" si="40"/>
        <v>3.3399879232369991</v>
      </c>
      <c r="AC122" s="3">
        <f t="shared" si="38"/>
        <v>5.2813152922143312</v>
      </c>
      <c r="AD122" s="48"/>
      <c r="AE122" s="46">
        <f t="shared" si="33"/>
        <v>41.449392219224499</v>
      </c>
      <c r="AF122" s="46">
        <f t="shared" si="34"/>
        <v>-251.795252892756</v>
      </c>
      <c r="AG122" s="47">
        <f t="shared" si="35"/>
        <v>76329.647644979559</v>
      </c>
      <c r="AH122" s="45" t="str">
        <f t="shared" si="39"/>
        <v>-251.79525,41.44939,76330</v>
      </c>
      <c r="AI122" s="44">
        <f t="shared" si="41"/>
        <v>742.05482309907893</v>
      </c>
    </row>
    <row r="123" spans="1:35" ht="18" customHeight="1" x14ac:dyDescent="0.25">
      <c r="A123" s="36">
        <f t="shared" si="36"/>
        <v>0.74089120370370365</v>
      </c>
      <c r="B123" s="42">
        <f t="shared" si="21"/>
        <v>41.462334235515257</v>
      </c>
      <c r="C123" s="43">
        <f t="shared" si="22"/>
        <v>108.26456315810356</v>
      </c>
      <c r="D123" s="18">
        <f t="shared" si="23"/>
        <v>76.106016842653844</v>
      </c>
      <c r="E123" s="21" t="str">
        <f t="shared" si="24"/>
        <v>Umbra</v>
      </c>
      <c r="F123" s="23">
        <f>IF($E123&lt;&gt;"Umbra",fracil2($S$2,$S$3,$S$4,$A123,$Q$2,$O$3,$Q$4,$U123,$V123,$W123),0)</f>
        <v>0</v>
      </c>
      <c r="G123" s="19">
        <f t="shared" si="25"/>
        <v>69.545387808263825</v>
      </c>
      <c r="H123" s="19">
        <f t="shared" si="26"/>
        <v>1.9308354123934846</v>
      </c>
      <c r="I123" s="19">
        <f t="shared" si="27"/>
        <v>3.1388533617883798</v>
      </c>
      <c r="J123" s="28">
        <f t="shared" si="28"/>
        <v>7.9754975588466087E-2</v>
      </c>
      <c r="K123" s="24">
        <f t="shared" si="29"/>
        <v>781.96259545117539</v>
      </c>
      <c r="L123" s="32">
        <f t="shared" si="30"/>
        <v>0.53774560427682294</v>
      </c>
      <c r="M123" s="35">
        <f t="shared" si="31"/>
        <v>17.097120810717879</v>
      </c>
      <c r="O123" s="29">
        <f t="shared" si="32"/>
        <v>772.53612245216937</v>
      </c>
      <c r="T123" s="48">
        <v>0.74089120370370365</v>
      </c>
      <c r="U123" s="29">
        <v>-908.80108620387068</v>
      </c>
      <c r="V123" s="29">
        <v>4757.7611815144064</v>
      </c>
      <c r="W123" s="29">
        <v>4251.4288338126944</v>
      </c>
      <c r="X123" s="4">
        <v>-5.0844954357112009</v>
      </c>
      <c r="Y123" s="4">
        <v>-2.1183553999620597</v>
      </c>
      <c r="Z123" s="4">
        <v>0.9352619338960686</v>
      </c>
      <c r="AA123" s="3">
        <f t="shared" si="37"/>
        <v>5.5869704063393311</v>
      </c>
      <c r="AB123" s="3">
        <f t="shared" si="40"/>
        <v>3.4039006535739289</v>
      </c>
      <c r="AC123" s="3">
        <f t="shared" si="38"/>
        <v>5.2479032637557976</v>
      </c>
      <c r="AD123" s="48"/>
      <c r="AE123" s="46">
        <f t="shared" si="33"/>
        <v>41.462334235515257</v>
      </c>
      <c r="AF123" s="46">
        <f t="shared" si="34"/>
        <v>-251.73543684189644</v>
      </c>
      <c r="AG123" s="47">
        <f t="shared" si="35"/>
        <v>76106.016842653844</v>
      </c>
      <c r="AH123" s="45" t="str">
        <f t="shared" si="39"/>
        <v>-251.73544,41.46233,76106</v>
      </c>
      <c r="AI123" s="44">
        <f t="shared" si="41"/>
        <v>747.24327045230325</v>
      </c>
    </row>
    <row r="124" spans="1:35" ht="18" customHeight="1" x14ac:dyDescent="0.25">
      <c r="A124" s="36">
        <f t="shared" si="36"/>
        <v>0.7409027777777778</v>
      </c>
      <c r="B124" s="42">
        <f t="shared" si="21"/>
        <v>41.47514893413004</v>
      </c>
      <c r="C124" s="43">
        <f t="shared" si="22"/>
        <v>108.32397978515141</v>
      </c>
      <c r="D124" s="18">
        <f t="shared" si="23"/>
        <v>75.879239774794769</v>
      </c>
      <c r="E124" s="21" t="str">
        <f t="shared" si="24"/>
        <v>Umbra</v>
      </c>
      <c r="F124" s="23">
        <f>IF($E124&lt;&gt;"Umbra",fracil2($S$2,$S$3,$S$4,$A124,$Q$2,$O$3,$Q$4,$U124,$V124,$W124),0)</f>
        <v>0</v>
      </c>
      <c r="G124" s="19">
        <f t="shared" si="25"/>
        <v>69.537559103828215</v>
      </c>
      <c r="H124" s="19">
        <f t="shared" si="26"/>
        <v>1.8552328978476562</v>
      </c>
      <c r="I124" s="19">
        <f t="shared" si="27"/>
        <v>3.0632508472425517</v>
      </c>
      <c r="J124" s="28">
        <f t="shared" si="28"/>
        <v>7.890209404779254E-2</v>
      </c>
      <c r="K124" s="24">
        <f t="shared" si="29"/>
        <v>787.08783326990954</v>
      </c>
      <c r="L124" s="32">
        <f t="shared" si="30"/>
        <v>0.53793880789242599</v>
      </c>
      <c r="M124" s="35">
        <f t="shared" si="31"/>
        <v>17.053854033461466</v>
      </c>
      <c r="O124" s="29">
        <f t="shared" si="32"/>
        <v>777.68681734943846</v>
      </c>
      <c r="T124" s="48">
        <v>0.7409027777777778</v>
      </c>
      <c r="U124" s="29">
        <v>-913.86929017913974</v>
      </c>
      <c r="V124" s="29">
        <v>4755.6460611463872</v>
      </c>
      <c r="W124" s="29">
        <v>4252.3578518669583</v>
      </c>
      <c r="X124" s="4">
        <v>-5.0520288719812783</v>
      </c>
      <c r="Y124" s="4">
        <v>-2.1119244628252898</v>
      </c>
      <c r="Z124" s="4">
        <v>0.92280076637364983</v>
      </c>
      <c r="AA124" s="3">
        <f t="shared" si="37"/>
        <v>5.5529075189878778</v>
      </c>
      <c r="AB124" s="3">
        <f t="shared" si="40"/>
        <v>3.4721245862241874</v>
      </c>
      <c r="AC124" s="3">
        <f t="shared" si="38"/>
        <v>5.2138556100630602</v>
      </c>
      <c r="AD124" s="48"/>
      <c r="AE124" s="46">
        <f t="shared" si="33"/>
        <v>41.47514893413004</v>
      </c>
      <c r="AF124" s="46">
        <f t="shared" si="34"/>
        <v>-251.67602021484859</v>
      </c>
      <c r="AG124" s="47">
        <f t="shared" si="35"/>
        <v>75879.239774794769</v>
      </c>
      <c r="AH124" s="45" t="str">
        <f t="shared" si="39"/>
        <v>-251.67602,41.47515,75879</v>
      </c>
      <c r="AI124" s="44">
        <f t="shared" si="41"/>
        <v>752.39486738446215</v>
      </c>
    </row>
    <row r="125" spans="1:35" ht="18" customHeight="1" x14ac:dyDescent="0.25">
      <c r="A125" s="36">
        <f t="shared" si="36"/>
        <v>0.74091434027777769</v>
      </c>
      <c r="B125" s="42">
        <f t="shared" si="21"/>
        <v>41.487832302961557</v>
      </c>
      <c r="C125" s="43">
        <f t="shared" si="22"/>
        <v>108.38297340877564</v>
      </c>
      <c r="D125" s="18">
        <f t="shared" si="23"/>
        <v>75.649384334323258</v>
      </c>
      <c r="E125" s="21" t="str">
        <f t="shared" si="24"/>
        <v>Umbra</v>
      </c>
      <c r="F125" s="23">
        <f>IF($E125&lt;&gt;"Umbra",fracil2($S$2,$S$3,$S$4,$A125,$Q$2,$O$3,$Q$4,$U125,$V125,$W125),0)</f>
        <v>0</v>
      </c>
      <c r="G125" s="19">
        <f t="shared" si="25"/>
        <v>69.529929801626253</v>
      </c>
      <c r="H125" s="19">
        <f t="shared" si="26"/>
        <v>1.7805308787573884</v>
      </c>
      <c r="I125" s="19">
        <f t="shared" si="27"/>
        <v>2.9885488281522834</v>
      </c>
      <c r="J125" s="28">
        <f t="shared" si="28"/>
        <v>7.8062633435557333E-2</v>
      </c>
      <c r="K125" s="24">
        <f t="shared" si="29"/>
        <v>792.1740683035548</v>
      </c>
      <c r="L125" s="32">
        <f t="shared" si="30"/>
        <v>0.53812955476118829</v>
      </c>
      <c r="M125" s="35">
        <f t="shared" si="31"/>
        <v>17.011002029755165</v>
      </c>
      <c r="O125" s="29">
        <f t="shared" si="32"/>
        <v>782.79870818556321</v>
      </c>
      <c r="T125" s="48">
        <v>0.74091434027777769</v>
      </c>
      <c r="U125" s="29">
        <v>-918.89986232146202</v>
      </c>
      <c r="V125" s="29">
        <v>4753.5395665497717</v>
      </c>
      <c r="W125" s="29">
        <v>4253.2734875156266</v>
      </c>
      <c r="X125" s="4">
        <v>-5.0189786531652762</v>
      </c>
      <c r="Y125" s="4">
        <v>-2.1051851645600697</v>
      </c>
      <c r="Z125" s="4">
        <v>0.91027117852381478</v>
      </c>
      <c r="AA125" s="3">
        <f t="shared" si="37"/>
        <v>5.5182012392140676</v>
      </c>
      <c r="AB125" s="3">
        <f t="shared" si="40"/>
        <v>3.5412240868395544</v>
      </c>
      <c r="AC125" s="3">
        <f t="shared" si="38"/>
        <v>5.1791650919112211</v>
      </c>
      <c r="AD125" s="48"/>
      <c r="AE125" s="46">
        <f t="shared" si="33"/>
        <v>41.487832302961557</v>
      </c>
      <c r="AF125" s="46">
        <f t="shared" si="34"/>
        <v>-251.61702659122437</v>
      </c>
      <c r="AG125" s="47">
        <f t="shared" si="35"/>
        <v>75649.384334323258</v>
      </c>
      <c r="AH125" s="45" t="str">
        <f t="shared" si="39"/>
        <v>-251.61703,41.48783,75649</v>
      </c>
      <c r="AI125" s="44">
        <f t="shared" si="41"/>
        <v>757.50762797220898</v>
      </c>
    </row>
    <row r="126" spans="1:35" ht="18" customHeight="1" x14ac:dyDescent="0.25">
      <c r="A126" s="36">
        <f t="shared" si="36"/>
        <v>0.74092591435185184</v>
      </c>
      <c r="B126" s="42">
        <f t="shared" si="21"/>
        <v>41.500411109597167</v>
      </c>
      <c r="C126" s="43">
        <f t="shared" si="22"/>
        <v>108.44166592491794</v>
      </c>
      <c r="D126" s="18">
        <f t="shared" si="23"/>
        <v>75.415947470286483</v>
      </c>
      <c r="E126" s="21" t="str">
        <f t="shared" si="24"/>
        <v>Umbra</v>
      </c>
      <c r="F126" s="23">
        <f>IF($E126&lt;&gt;"Umbra",fracil2($S$2,$S$3,$S$4,$A126,$Q$2,$O$3,$Q$4,$U126,$V126,$W126),0)</f>
        <v>0</v>
      </c>
      <c r="G126" s="19">
        <f t="shared" si="25"/>
        <v>69.522480271663895</v>
      </c>
      <c r="H126" s="19">
        <f t="shared" si="26"/>
        <v>1.7065531074122389</v>
      </c>
      <c r="I126" s="19">
        <f t="shared" si="27"/>
        <v>2.9145710568071341</v>
      </c>
      <c r="J126" s="28">
        <f t="shared" si="28"/>
        <v>7.7234018029641999E-2</v>
      </c>
      <c r="K126" s="24">
        <f t="shared" si="29"/>
        <v>797.23183230145241</v>
      </c>
      <c r="L126" s="32">
        <f t="shared" si="30"/>
        <v>0.53831829655722918</v>
      </c>
      <c r="M126" s="35">
        <f t="shared" si="31"/>
        <v>16.968465682564666</v>
      </c>
      <c r="O126" s="29">
        <f t="shared" si="32"/>
        <v>787.88239692317791</v>
      </c>
      <c r="T126" s="48">
        <v>0.74092591435185184</v>
      </c>
      <c r="U126" s="29">
        <v>-923.90321853441242</v>
      </c>
      <c r="V126" s="29">
        <v>4751.4373917668418</v>
      </c>
      <c r="W126" s="29">
        <v>4254.1776664135223</v>
      </c>
      <c r="X126" s="4">
        <v>-4.985256336447689</v>
      </c>
      <c r="Y126" s="4">
        <v>-2.0981135087419807</v>
      </c>
      <c r="Z126" s="4">
        <v>0.89764447134435621</v>
      </c>
      <c r="AA126" s="3">
        <f t="shared" si="37"/>
        <v>5.4827572108011955</v>
      </c>
      <c r="AB126" s="3">
        <f t="shared" si="40"/>
        <v>3.612858336575123</v>
      </c>
      <c r="AC126" s="3">
        <f t="shared" si="38"/>
        <v>5.1437374030625334</v>
      </c>
      <c r="AD126" s="48"/>
      <c r="AE126" s="46">
        <f t="shared" si="33"/>
        <v>41.500411109597167</v>
      </c>
      <c r="AF126" s="46">
        <f t="shared" si="34"/>
        <v>-251.55833407508206</v>
      </c>
      <c r="AG126" s="47">
        <f t="shared" si="35"/>
        <v>75415.947470286483</v>
      </c>
      <c r="AH126" s="45" t="str">
        <f t="shared" si="39"/>
        <v>-251.55833,41.50041,75416</v>
      </c>
      <c r="AI126" s="44">
        <f t="shared" si="41"/>
        <v>762.59215656947651</v>
      </c>
    </row>
    <row r="127" spans="1:35" ht="18" customHeight="1" x14ac:dyDescent="0.25">
      <c r="A127" s="36">
        <f t="shared" si="36"/>
        <v>0.74093748842592599</v>
      </c>
      <c r="B127" s="42">
        <f t="shared" si="21"/>
        <v>41.512865078794235</v>
      </c>
      <c r="C127" s="43">
        <f t="shared" si="22"/>
        <v>108.49995729379056</v>
      </c>
      <c r="D127" s="18">
        <f t="shared" si="23"/>
        <v>75.179282760863316</v>
      </c>
      <c r="E127" s="21" t="str">
        <f t="shared" si="24"/>
        <v>Umbra</v>
      </c>
      <c r="F127" s="23">
        <f>IF($E127&lt;&gt;"Umbra",fracil2($S$2,$S$3,$S$4,$A127,$Q$2,$O$3,$Q$4,$U127,$V127,$W127),0)</f>
        <v>0</v>
      </c>
      <c r="G127" s="19">
        <f t="shared" si="25"/>
        <v>69.515214673005019</v>
      </c>
      <c r="H127" s="19">
        <f t="shared" si="26"/>
        <v>1.6334035371794275</v>
      </c>
      <c r="I127" s="19">
        <f t="shared" si="27"/>
        <v>2.8414214865743226</v>
      </c>
      <c r="J127" s="28">
        <f t="shared" si="28"/>
        <v>7.64168205772051E-2</v>
      </c>
      <c r="K127" s="24">
        <f t="shared" si="29"/>
        <v>802.25254123599677</v>
      </c>
      <c r="L127" s="32">
        <f t="shared" si="30"/>
        <v>0.53850478725115603</v>
      </c>
      <c r="M127" s="35">
        <f t="shared" si="31"/>
        <v>16.92631025511951</v>
      </c>
      <c r="O127" s="29">
        <f t="shared" si="32"/>
        <v>792.92927434638955</v>
      </c>
      <c r="T127" s="48">
        <v>0.74093748842592599</v>
      </c>
      <c r="U127" s="29">
        <v>-928.87110508928993</v>
      </c>
      <c r="V127" s="29">
        <v>4749.3430546252703</v>
      </c>
      <c r="W127" s="29">
        <v>4255.0689210214332</v>
      </c>
      <c r="X127" s="4">
        <v>-4.9508964307794221</v>
      </c>
      <c r="Y127" s="4">
        <v>-2.0907105522320588</v>
      </c>
      <c r="Z127" s="4">
        <v>0.88493857462345971</v>
      </c>
      <c r="AA127" s="3">
        <f t="shared" si="37"/>
        <v>5.4466101716917015</v>
      </c>
      <c r="AB127" s="3">
        <f t="shared" si="40"/>
        <v>3.6844921134426185</v>
      </c>
      <c r="AC127" s="3">
        <f t="shared" si="38"/>
        <v>5.1076072733978783</v>
      </c>
      <c r="AD127" s="48"/>
      <c r="AE127" s="46">
        <f t="shared" si="33"/>
        <v>41.512865078794235</v>
      </c>
      <c r="AF127" s="46">
        <f t="shared" si="34"/>
        <v>-251.50004270620946</v>
      </c>
      <c r="AG127" s="47">
        <f t="shared" si="35"/>
        <v>75179.282760863309</v>
      </c>
      <c r="AH127" s="45" t="str">
        <f t="shared" si="39"/>
        <v>-251.50004,41.51287,75179</v>
      </c>
      <c r="AI127" s="44">
        <f t="shared" si="41"/>
        <v>767.63984445581559</v>
      </c>
    </row>
    <row r="128" spans="1:35" ht="18" customHeight="1" x14ac:dyDescent="0.25">
      <c r="A128" s="36">
        <f t="shared" si="36"/>
        <v>0.74094906250000003</v>
      </c>
      <c r="B128" s="42">
        <f t="shared" si="21"/>
        <v>41.525206601442271</v>
      </c>
      <c r="C128" s="43">
        <f t="shared" si="22"/>
        <v>108.55790658967979</v>
      </c>
      <c r="D128" s="18">
        <f t="shared" si="23"/>
        <v>74.939136484341361</v>
      </c>
      <c r="E128" s="21" t="str">
        <f t="shared" si="24"/>
        <v>Umbra</v>
      </c>
      <c r="F128" s="23">
        <f>IF($E128&lt;&gt;"Umbra",fracil2($S$2,$S$3,$S$4,$A128,$Q$2,$O$3,$Q$4,$U128,$V128,$W128),0)</f>
        <v>0</v>
      </c>
      <c r="G128" s="19">
        <f t="shared" si="25"/>
        <v>69.508128267486669</v>
      </c>
      <c r="H128" s="19">
        <f t="shared" si="26"/>
        <v>1.5609885280048545</v>
      </c>
      <c r="I128" s="19">
        <f t="shared" si="27"/>
        <v>2.76900647739975</v>
      </c>
      <c r="J128" s="28">
        <f t="shared" si="28"/>
        <v>7.560943158763031E-2</v>
      </c>
      <c r="K128" s="24">
        <f t="shared" si="29"/>
        <v>807.24128642071014</v>
      </c>
      <c r="L128" s="32">
        <f t="shared" si="30"/>
        <v>0.53868924461912815</v>
      </c>
      <c r="M128" s="35">
        <f t="shared" si="31"/>
        <v>16.884479027555361</v>
      </c>
      <c r="O128" s="29">
        <f t="shared" si="32"/>
        <v>797.94447214050012</v>
      </c>
      <c r="T128" s="48">
        <v>0.74094906250000003</v>
      </c>
      <c r="U128" s="29">
        <v>-933.80826333872858</v>
      </c>
      <c r="V128" s="29">
        <v>4747.2546126449715</v>
      </c>
      <c r="W128" s="29">
        <v>4255.9481311153222</v>
      </c>
      <c r="X128" s="4">
        <v>-4.9158452342470147</v>
      </c>
      <c r="Y128" s="4">
        <v>-2.0829586208260324</v>
      </c>
      <c r="Z128" s="4">
        <v>0.87213857959836227</v>
      </c>
      <c r="AA128" s="3">
        <f t="shared" si="37"/>
        <v>5.4097020883932618</v>
      </c>
      <c r="AB128" s="3">
        <f t="shared" si="40"/>
        <v>3.7620404263311196</v>
      </c>
      <c r="AC128" s="3">
        <f t="shared" si="38"/>
        <v>5.0707167049773876</v>
      </c>
      <c r="AD128" s="48"/>
      <c r="AE128" s="46">
        <f t="shared" si="33"/>
        <v>41.525206601442271</v>
      </c>
      <c r="AF128" s="46">
        <f t="shared" si="34"/>
        <v>-251.44209341032021</v>
      </c>
      <c r="AG128" s="47">
        <f t="shared" si="35"/>
        <v>74939.136484341361</v>
      </c>
      <c r="AH128" s="45" t="str">
        <f t="shared" si="39"/>
        <v>-251.44209,41.52521,74939</v>
      </c>
      <c r="AI128" s="44">
        <f t="shared" si="41"/>
        <v>772.65582295107731</v>
      </c>
    </row>
    <row r="129" spans="1:35" ht="18" customHeight="1" x14ac:dyDescent="0.25">
      <c r="A129" s="36">
        <f t="shared" si="36"/>
        <v>0.74096064814814822</v>
      </c>
      <c r="B129" s="42">
        <f t="shared" si="21"/>
        <v>41.537419947604306</v>
      </c>
      <c r="C129" s="43">
        <f t="shared" si="22"/>
        <v>108.61542729095316</v>
      </c>
      <c r="D129" s="18">
        <f t="shared" si="23"/>
        <v>74.695798232738525</v>
      </c>
      <c r="E129" s="21" t="str">
        <f t="shared" si="24"/>
        <v>Umbra</v>
      </c>
      <c r="F129" s="23">
        <f>IF($E129&lt;&gt;"Umbra",fracil2($S$2,$S$3,$S$4,$A129,$Q$2,$O$3,$Q$4,$U129,$V129,$W129),0)</f>
        <v>0</v>
      </c>
      <c r="G129" s="19">
        <f t="shared" si="25"/>
        <v>69.501211886206875</v>
      </c>
      <c r="H129" s="19">
        <f t="shared" si="26"/>
        <v>1.489392090560397</v>
      </c>
      <c r="I129" s="19">
        <f t="shared" si="27"/>
        <v>2.697410039955292</v>
      </c>
      <c r="J129" s="28">
        <f t="shared" si="28"/>
        <v>7.4812186269787251E-2</v>
      </c>
      <c r="K129" s="24">
        <f t="shared" si="29"/>
        <v>812.19069709815767</v>
      </c>
      <c r="L129" s="32">
        <f t="shared" si="30"/>
        <v>0.53887151514790066</v>
      </c>
      <c r="M129" s="35">
        <f t="shared" si="31"/>
        <v>16.843034392116479</v>
      </c>
      <c r="O129" s="29">
        <f t="shared" si="32"/>
        <v>802.92060243664616</v>
      </c>
      <c r="T129" s="48">
        <v>0.74096064814814822</v>
      </c>
      <c r="U129" s="29">
        <v>-938.7081945227676</v>
      </c>
      <c r="V129" s="29">
        <v>4745.1748739138129</v>
      </c>
      <c r="W129" s="29">
        <v>4256.8141703813726</v>
      </c>
      <c r="X129" s="4">
        <v>-4.880127824245716</v>
      </c>
      <c r="Y129" s="4">
        <v>-2.0748571516428957</v>
      </c>
      <c r="Z129" s="4">
        <v>0.85925859999711574</v>
      </c>
      <c r="AA129" s="3">
        <f t="shared" si="37"/>
        <v>5.3720578107806976</v>
      </c>
      <c r="AB129" s="3">
        <f t="shared" si="40"/>
        <v>3.8332216492012847</v>
      </c>
      <c r="AC129" s="3">
        <f t="shared" si="38"/>
        <v>5.0330905449137164</v>
      </c>
      <c r="AD129" s="48"/>
      <c r="AE129" s="46">
        <f t="shared" si="33"/>
        <v>41.537419947604306</v>
      </c>
      <c r="AF129" s="46">
        <f t="shared" si="34"/>
        <v>-251.38457270904684</v>
      </c>
      <c r="AG129" s="47">
        <f t="shared" si="35"/>
        <v>74695.798232738525</v>
      </c>
      <c r="AH129" s="45" t="str">
        <f t="shared" si="39"/>
        <v>-251.38457,41.53742,74696</v>
      </c>
      <c r="AI129" s="44">
        <f t="shared" si="41"/>
        <v>777.63270806145056</v>
      </c>
    </row>
    <row r="130" spans="1:35" ht="18" customHeight="1" x14ac:dyDescent="0.25">
      <c r="A130" s="36">
        <f t="shared" si="36"/>
        <v>0.74097222222222225</v>
      </c>
      <c r="B130" s="42">
        <f t="shared" si="21"/>
        <v>41.549501746818038</v>
      </c>
      <c r="C130" s="43">
        <f t="shared" si="22"/>
        <v>108.67250705988154</v>
      </c>
      <c r="D130" s="18">
        <f t="shared" si="23"/>
        <v>74.449331625351078</v>
      </c>
      <c r="E130" s="21" t="str">
        <f t="shared" si="24"/>
        <v>Umbra</v>
      </c>
      <c r="F130" s="23">
        <f>IF($E130&lt;&gt;"Umbra",fracil2($S$2,$S$3,$S$4,$A130,$Q$2,$O$3,$Q$4,$U130,$V130,$W130),0)</f>
        <v>0</v>
      </c>
      <c r="G130" s="19">
        <f t="shared" si="25"/>
        <v>69.494474445250589</v>
      </c>
      <c r="H130" s="19">
        <f t="shared" si="26"/>
        <v>1.4186113673066427</v>
      </c>
      <c r="I130" s="19">
        <f t="shared" si="27"/>
        <v>2.6266293167015382</v>
      </c>
      <c r="J130" s="28">
        <f t="shared" si="28"/>
        <v>7.4024512536666282E-2</v>
      </c>
      <c r="K130" s="24">
        <f t="shared" si="29"/>
        <v>817.09970674264548</v>
      </c>
      <c r="L130" s="32">
        <f t="shared" si="30"/>
        <v>0.53905156762981421</v>
      </c>
      <c r="M130" s="35">
        <f t="shared" si="31"/>
        <v>16.801968434795274</v>
      </c>
      <c r="O130" s="29">
        <f t="shared" si="32"/>
        <v>807.85660267442745</v>
      </c>
      <c r="T130" s="48">
        <v>0.74097222222222225</v>
      </c>
      <c r="U130" s="29">
        <v>-943.56930849260584</v>
      </c>
      <c r="V130" s="29">
        <v>4743.1045888443832</v>
      </c>
      <c r="W130" s="29">
        <v>4257.6668032977777</v>
      </c>
      <c r="X130" s="4">
        <v>-4.8437363945448384</v>
      </c>
      <c r="Y130" s="4">
        <v>-2.0663986431293213</v>
      </c>
      <c r="Z130" s="4">
        <v>0.84630047365450944</v>
      </c>
      <c r="AA130" s="3">
        <f t="shared" si="37"/>
        <v>5.3336676034294435</v>
      </c>
      <c r="AB130" s="3">
        <f t="shared" si="40"/>
        <v>3.9130607016946914</v>
      </c>
      <c r="AC130" s="3">
        <f t="shared" si="38"/>
        <v>4.994719071673015</v>
      </c>
      <c r="AD130" s="48"/>
      <c r="AE130" s="46">
        <f t="shared" si="33"/>
        <v>41.549501746818038</v>
      </c>
      <c r="AF130" s="46">
        <f t="shared" si="34"/>
        <v>-251.32749294011847</v>
      </c>
      <c r="AG130" s="47">
        <f t="shared" si="35"/>
        <v>74449.331625351071</v>
      </c>
      <c r="AH130" s="45" t="str">
        <f t="shared" si="39"/>
        <v>-251.32749,41.54950,74449</v>
      </c>
      <c r="AI130" s="44">
        <f t="shared" si="41"/>
        <v>782.56943454238774</v>
      </c>
    </row>
    <row r="131" spans="1:35" ht="18" customHeight="1" x14ac:dyDescent="0.25">
      <c r="A131" s="36">
        <f t="shared" si="36"/>
        <v>0.74098378472222226</v>
      </c>
      <c r="B131" s="42">
        <f t="shared" si="21"/>
        <v>41.561453788797877</v>
      </c>
      <c r="C131" s="43">
        <f t="shared" si="22"/>
        <v>108.72915127144394</v>
      </c>
      <c r="D131" s="18">
        <f t="shared" si="23"/>
        <v>74.199697658648802</v>
      </c>
      <c r="E131" s="21" t="str">
        <f t="shared" si="24"/>
        <v>Umbra</v>
      </c>
      <c r="F131" s="23">
        <f>IF($E131&lt;&gt;"Umbra",fracil2($S$2,$S$3,$S$4,$A131,$Q$2,$O$3,$Q$4,$U131,$V131,$W131),0)</f>
        <v>0</v>
      </c>
      <c r="G131" s="19">
        <f t="shared" si="25"/>
        <v>69.487911972585351</v>
      </c>
      <c r="H131" s="19">
        <f t="shared" si="26"/>
        <v>1.3486196607150576</v>
      </c>
      <c r="I131" s="19">
        <f t="shared" si="27"/>
        <v>2.5566376101099531</v>
      </c>
      <c r="J131" s="28">
        <f t="shared" si="28"/>
        <v>7.3245562275952469E-2</v>
      </c>
      <c r="K131" s="24">
        <f t="shared" si="29"/>
        <v>821.96880836930438</v>
      </c>
      <c r="L131" s="32">
        <f t="shared" si="30"/>
        <v>0.53922947082045769</v>
      </c>
      <c r="M131" s="35">
        <f t="shared" si="31"/>
        <v>16.761267434476729</v>
      </c>
      <c r="O131" s="29">
        <f t="shared" si="32"/>
        <v>812.75298198508824</v>
      </c>
      <c r="T131" s="48">
        <v>0.74098378472222226</v>
      </c>
      <c r="U131" s="29">
        <v>-948.39208572692553</v>
      </c>
      <c r="V131" s="29">
        <v>4741.0436297301158</v>
      </c>
      <c r="W131" s="29">
        <v>4258.506160352088</v>
      </c>
      <c r="X131" s="4">
        <v>-4.8066478936409398</v>
      </c>
      <c r="Y131" s="4">
        <v>-2.0575720115293485</v>
      </c>
      <c r="Z131" s="4">
        <v>0.83326064395588983</v>
      </c>
      <c r="AA131" s="3">
        <f t="shared" si="37"/>
        <v>5.2945056291251218</v>
      </c>
      <c r="AB131" s="3">
        <f t="shared" si="40"/>
        <v>3.9956947493442487</v>
      </c>
      <c r="AC131" s="3">
        <f t="shared" si="38"/>
        <v>4.9555764707436358</v>
      </c>
      <c r="AD131" s="48"/>
      <c r="AE131" s="46">
        <f t="shared" si="33"/>
        <v>41.561453788797877</v>
      </c>
      <c r="AF131" s="46">
        <f t="shared" si="34"/>
        <v>-251.27084872855608</v>
      </c>
      <c r="AG131" s="47">
        <f t="shared" si="35"/>
        <v>74199.697658648802</v>
      </c>
      <c r="AH131" s="45" t="str">
        <f t="shared" si="39"/>
        <v>-251.27085,41.56145,74200</v>
      </c>
      <c r="AI131" s="44">
        <f t="shared" si="41"/>
        <v>787.46651209003392</v>
      </c>
    </row>
    <row r="132" spans="1:35" ht="18" customHeight="1" x14ac:dyDescent="0.25">
      <c r="A132" s="36">
        <f t="shared" si="36"/>
        <v>0.74099535879629619</v>
      </c>
      <c r="B132" s="42">
        <f t="shared" si="21"/>
        <v>41.573281527068005</v>
      </c>
      <c r="C132" s="43">
        <f t="shared" si="22"/>
        <v>108.78537583131272</v>
      </c>
      <c r="D132" s="18">
        <f t="shared" si="23"/>
        <v>73.946774423933675</v>
      </c>
      <c r="E132" s="21" t="str">
        <f t="shared" si="24"/>
        <v>Umbra</v>
      </c>
      <c r="F132" s="23">
        <f>IF($E132&lt;&gt;"Umbra",fracil2($S$2,$S$3,$S$4,$A132,$Q$2,$O$3,$Q$4,$U132,$V132,$W132),0)</f>
        <v>0</v>
      </c>
      <c r="G132" s="19">
        <f t="shared" si="25"/>
        <v>69.481508392044972</v>
      </c>
      <c r="H132" s="19">
        <f t="shared" si="26"/>
        <v>1.2793753377842123</v>
      </c>
      <c r="I132" s="19">
        <f t="shared" si="27"/>
        <v>2.4873932871791076</v>
      </c>
      <c r="J132" s="28">
        <f t="shared" si="28"/>
        <v>7.2474304003620801E-2</v>
      </c>
      <c r="K132" s="24">
        <f t="shared" si="29"/>
        <v>826.79943466419184</v>
      </c>
      <c r="L132" s="32">
        <f t="shared" si="30"/>
        <v>0.53940537228946861</v>
      </c>
      <c r="M132" s="35">
        <f t="shared" si="31"/>
        <v>16.720917044795318</v>
      </c>
      <c r="O132" s="29">
        <f t="shared" si="32"/>
        <v>817.61119925736864</v>
      </c>
      <c r="T132" s="48">
        <v>0.74099535879629619</v>
      </c>
      <c r="U132" s="29">
        <v>-953.1785010328299</v>
      </c>
      <c r="V132" s="29">
        <v>4738.9912232135484</v>
      </c>
      <c r="W132" s="29">
        <v>4259.3326247874375</v>
      </c>
      <c r="X132" s="4">
        <v>-4.768826384659766</v>
      </c>
      <c r="Y132" s="4">
        <v>-2.0483627255209305</v>
      </c>
      <c r="Z132" s="4">
        <v>0.82013133419637252</v>
      </c>
      <c r="AA132" s="3">
        <f t="shared" si="37"/>
        <v>5.2545323624145084</v>
      </c>
      <c r="AB132" s="3">
        <f t="shared" si="40"/>
        <v>4.0743650054275014</v>
      </c>
      <c r="AC132" s="3">
        <f t="shared" si="38"/>
        <v>4.9156232475009185</v>
      </c>
      <c r="AD132" s="48"/>
      <c r="AE132" s="46">
        <f t="shared" si="33"/>
        <v>41.573281527068005</v>
      </c>
      <c r="AF132" s="46">
        <f t="shared" si="34"/>
        <v>-251.21462416868729</v>
      </c>
      <c r="AG132" s="47">
        <f t="shared" si="35"/>
        <v>73946.774423933675</v>
      </c>
      <c r="AH132" s="45" t="str">
        <f t="shared" si="39"/>
        <v>-251.21462,41.57328,73947</v>
      </c>
      <c r="AI132" s="44">
        <f t="shared" si="41"/>
        <v>792.3254032822781</v>
      </c>
    </row>
    <row r="133" spans="1:35" ht="18" customHeight="1" x14ac:dyDescent="0.25">
      <c r="A133" s="36">
        <f t="shared" si="36"/>
        <v>0.74100693287037034</v>
      </c>
      <c r="B133" s="42">
        <f t="shared" si="21"/>
        <v>41.584984114709506</v>
      </c>
      <c r="C133" s="43">
        <f t="shared" si="22"/>
        <v>108.84117724681742</v>
      </c>
      <c r="D133" s="18">
        <f t="shared" si="23"/>
        <v>73.690568145289035</v>
      </c>
      <c r="E133" s="21" t="str">
        <f t="shared" si="24"/>
        <v>Umbra</v>
      </c>
      <c r="F133" s="23">
        <f>IF($E133&lt;&gt;"Umbra",fracil2($S$2,$S$3,$S$4,$A133,$Q$2,$O$3,$Q$4,$U133,$V133,$W133),0)</f>
        <v>0</v>
      </c>
      <c r="G133" s="19">
        <f t="shared" si="25"/>
        <v>69.475266696284862</v>
      </c>
      <c r="H133" s="19">
        <f t="shared" si="26"/>
        <v>1.2108651801825574</v>
      </c>
      <c r="I133" s="19">
        <f t="shared" si="27"/>
        <v>2.4188831295774529</v>
      </c>
      <c r="J133" s="28">
        <f t="shared" si="28"/>
        <v>7.1710064691851511E-2</v>
      </c>
      <c r="K133" s="24">
        <f t="shared" si="29"/>
        <v>831.59129568924698</v>
      </c>
      <c r="L133" s="32">
        <f t="shared" si="30"/>
        <v>0.53957928608383254</v>
      </c>
      <c r="M133" s="35">
        <f t="shared" si="31"/>
        <v>16.680906987460986</v>
      </c>
      <c r="O133" s="29">
        <f t="shared" si="32"/>
        <v>822.43097398649968</v>
      </c>
      <c r="T133" s="48">
        <v>0.74100693287037034</v>
      </c>
      <c r="U133" s="29">
        <v>-957.92799549046867</v>
      </c>
      <c r="V133" s="29">
        <v>4736.9476753141007</v>
      </c>
      <c r="W133" s="29">
        <v>4260.1461349244692</v>
      </c>
      <c r="X133" s="4">
        <v>-4.7302545134017748</v>
      </c>
      <c r="Y133" s="4">
        <v>-2.038760387846688</v>
      </c>
      <c r="Z133" s="4">
        <v>0.80691153674836202</v>
      </c>
      <c r="AA133" s="3">
        <f t="shared" si="37"/>
        <v>5.2137278322471197</v>
      </c>
      <c r="AB133" s="3">
        <f t="shared" si="40"/>
        <v>4.1590652744626357</v>
      </c>
      <c r="AC133" s="3">
        <f t="shared" si="38"/>
        <v>4.8748394534192707</v>
      </c>
      <c r="AD133" s="48"/>
      <c r="AE133" s="46">
        <f t="shared" si="33"/>
        <v>41.584984114709506</v>
      </c>
      <c r="AF133" s="46">
        <f t="shared" si="34"/>
        <v>-251.15882275318256</v>
      </c>
      <c r="AG133" s="47">
        <f t="shared" si="35"/>
        <v>73690.568145289028</v>
      </c>
      <c r="AH133" s="45" t="str">
        <f t="shared" si="39"/>
        <v>-251.15882,41.58498,73691</v>
      </c>
      <c r="AI133" s="44">
        <f t="shared" si="41"/>
        <v>797.14582647600173</v>
      </c>
    </row>
    <row r="134" spans="1:35" ht="18" customHeight="1" x14ac:dyDescent="0.25">
      <c r="A134" s="36">
        <f t="shared" si="36"/>
        <v>0.74101850694444449</v>
      </c>
      <c r="B134" s="42">
        <f t="shared" ref="B134:B197" si="42">latitude($U134,$V134,$W134)</f>
        <v>41.59655594279716</v>
      </c>
      <c r="C134" s="43">
        <f t="shared" ref="C134:C197" si="43">longitude($S$2,$S$3,$S$4,$A134,$U134,$V134)</f>
        <v>108.89652326439679</v>
      </c>
      <c r="D134" s="18">
        <f t="shared" ref="D134:D197" si="44">altitude($U134,$V134,$W134)</f>
        <v>73.431194178067017</v>
      </c>
      <c r="E134" s="21" t="str">
        <f t="shared" ref="E134:E197" si="45">illum2($S$2,$S$3,$S$4,$A134,$U134,$V134,$W134)</f>
        <v>Umbra</v>
      </c>
      <c r="F134" s="23">
        <f>IF($E134&lt;&gt;"Umbra",fracil2($S$2,$S$3,$S$4,$A134,$Q$2,$O$3,$Q$4,$U134,$V134,$W134),0)</f>
        <v>0</v>
      </c>
      <c r="G134" s="19">
        <f t="shared" ref="G134:G197" si="46">azimuth($S$2,$S$3,$S$4,$A134,$Q$2,$O$3,$Q$4,$U134,$V134,$W134)</f>
        <v>69.469183741393124</v>
      </c>
      <c r="H134" s="19">
        <f t="shared" ref="H134:H197" si="47">elev($S$2,$S$3,$S$4,$A134,$Q$2,$O$3,$Q$4,$U134,$V134,$W134)</f>
        <v>1.1431093342190026</v>
      </c>
      <c r="I134" s="19">
        <f t="shared" ref="I134:I197" si="48">elev($S$2,$S$3,$S$4,$A134,$Q$2,$O$3,$Q$4,$U134,$V134,$W134)+DEGREES(ACOS($Q$3/$Q$4))</f>
        <v>2.3511272836138977</v>
      </c>
      <c r="J134" s="28">
        <f t="shared" ref="J134:J197" si="49">vang($S$2,$S$3,$S$4,$A134,$Q$2,$O$3,$Q$4,$U134,$V134,$W134,$X134,$Y134,$Z134)</f>
        <v>7.0952529063712244E-2</v>
      </c>
      <c r="K134" s="24">
        <f t="shared" ref="K134:K197" si="50">slant_rng($S$2,$S$3,$S$4,$A134,$Q$2,$O$3,$Q$4,$U134,$V134,$W134)</f>
        <v>836.34166447257155</v>
      </c>
      <c r="L134" s="32">
        <f t="shared" ref="L134:L197" si="51">radec2("ra",$S$2,$S$3,$S$4,$A134,$Q$2,$O$3,$Q$4,$U134,$V134,$W134)/24</f>
        <v>0.53975117616194623</v>
      </c>
      <c r="M134" s="35">
        <f t="shared" ref="M134:M197" si="52">radec2("dec",$S$2,$S$3,$S$4,$A134,$Q$2,$O$3,$Q$4,$U134,$V134,$W134)</f>
        <v>16.641253405672551</v>
      </c>
      <c r="O134" s="29">
        <f t="shared" ref="O134:O197" si="53">DEGREES(ACOS(SIN(RADIANS($B134))*SIN(RADIANS($O$2))+COS(RADIANS($B134))*COS(RADIANS($O$2))*COS(RADIANS($C134-$O$3))))*111.2</f>
        <v>827.20957764906393</v>
      </c>
      <c r="T134" s="48">
        <v>0.74101850694444449</v>
      </c>
      <c r="U134" s="29">
        <v>-962.6380668350721</v>
      </c>
      <c r="V134" s="29">
        <v>4734.9141346411279</v>
      </c>
      <c r="W134" s="29">
        <v>4260.9463014831927</v>
      </c>
      <c r="X134" s="4">
        <v>-4.6909312556886604</v>
      </c>
      <c r="Y134" s="4">
        <v>-2.0287586672329017</v>
      </c>
      <c r="Z134" s="4">
        <v>0.79360584292052971</v>
      </c>
      <c r="AA134" s="3">
        <f t="shared" si="37"/>
        <v>5.1720893272822561</v>
      </c>
      <c r="AB134" s="3">
        <f t="shared" si="40"/>
        <v>4.2440405273790596</v>
      </c>
      <c r="AC134" s="3">
        <f t="shared" si="38"/>
        <v>4.833222392007519</v>
      </c>
      <c r="AD134" s="48"/>
      <c r="AE134" s="46">
        <f t="shared" ref="AE134:AE197" si="54">$B134</f>
        <v>41.59655594279716</v>
      </c>
      <c r="AF134" s="46">
        <f t="shared" ref="AF134:AF197" si="55">$C134-360</f>
        <v>-251.10347673560321</v>
      </c>
      <c r="AG134" s="47">
        <f t="shared" ref="AG134:AG197" si="56">$D134*1000</f>
        <v>73431.194178067017</v>
      </c>
      <c r="AH134" s="45" t="str">
        <f t="shared" si="39"/>
        <v>-251.10348,41.59656,73431</v>
      </c>
      <c r="AI134" s="44">
        <f t="shared" si="41"/>
        <v>801.92505423263799</v>
      </c>
    </row>
    <row r="135" spans="1:35" ht="18" customHeight="1" x14ac:dyDescent="0.25">
      <c r="A135" s="36">
        <f t="shared" ref="A135:A198" si="57">$T135+$S$5/86400</f>
        <v>0.74103008101851853</v>
      </c>
      <c r="B135" s="42">
        <f t="shared" si="42"/>
        <v>41.608000801377266</v>
      </c>
      <c r="C135" s="43">
        <f t="shared" si="43"/>
        <v>108.95142984333845</v>
      </c>
      <c r="D135" s="18">
        <f t="shared" si="44"/>
        <v>73.168561074445279</v>
      </c>
      <c r="E135" s="21" t="str">
        <f t="shared" si="45"/>
        <v>Umbra</v>
      </c>
      <c r="F135" s="23">
        <f>IF($E135&lt;&gt;"Umbra",fracil2($S$2,$S$3,$S$4,$A135,$Q$2,$O$3,$Q$4,$U135,$V135,$W135),0)</f>
        <v>0</v>
      </c>
      <c r="G135" s="19">
        <f t="shared" si="46"/>
        <v>69.463256439843477</v>
      </c>
      <c r="H135" s="19">
        <f t="shared" si="47"/>
        <v>1.0760704828831056</v>
      </c>
      <c r="I135" s="19">
        <f t="shared" si="48"/>
        <v>2.2840884322780006</v>
      </c>
      <c r="J135" s="28">
        <f t="shared" si="49"/>
        <v>7.0200758334762539E-2</v>
      </c>
      <c r="K135" s="24">
        <f t="shared" si="50"/>
        <v>841.051936898451</v>
      </c>
      <c r="L135" s="32">
        <f t="shared" si="51"/>
        <v>0.5399211325070008</v>
      </c>
      <c r="M135" s="35">
        <f t="shared" si="52"/>
        <v>16.601934854391658</v>
      </c>
      <c r="O135" s="29">
        <f t="shared" si="53"/>
        <v>831.94842591256543</v>
      </c>
      <c r="T135" s="48">
        <v>0.74103008101851853</v>
      </c>
      <c r="U135" s="29">
        <v>-967.3100304504211</v>
      </c>
      <c r="V135" s="29">
        <v>4732.8901067397564</v>
      </c>
      <c r="W135" s="29">
        <v>4261.7333878166919</v>
      </c>
      <c r="X135" s="4">
        <v>-4.6508241672354158</v>
      </c>
      <c r="Y135" s="4">
        <v>-2.0183432181233139</v>
      </c>
      <c r="Z135" s="4">
        <v>0.78020823371001269</v>
      </c>
      <c r="AA135" s="3">
        <f t="shared" ref="AA135:AA198" si="58">SQRT($X135*$X135+$Y135*$Y135+$Z135*$Z135)</f>
        <v>5.1295808472656201</v>
      </c>
      <c r="AB135" s="3">
        <f t="shared" si="40"/>
        <v>4.3326836336446117</v>
      </c>
      <c r="AC135" s="3">
        <f t="shared" ref="AC135:AC198" si="59">vrel($S$2,$S$3,$S$4,$A135,$B135,$C135,$U135,$V135,$W135,$X135,$Y135,$Z135)</f>
        <v>4.7907360962961292</v>
      </c>
      <c r="AD135" s="48"/>
      <c r="AE135" s="46">
        <f t="shared" si="54"/>
        <v>41.608000801377266</v>
      </c>
      <c r="AF135" s="46">
        <f t="shared" si="55"/>
        <v>-251.04857015666155</v>
      </c>
      <c r="AG135" s="47">
        <f t="shared" si="56"/>
        <v>73168.561074445286</v>
      </c>
      <c r="AH135" s="45" t="str">
        <f t="shared" ref="AH135:AH198" si="60">CONCATENATE(TEXT($AF135,"00.00000"),",",TEXT($AE135,"00.00000"),",",TEXT($AG135,"00000"))</f>
        <v>-251.04857,41.60800,73169</v>
      </c>
      <c r="AI135" s="44">
        <f t="shared" si="41"/>
        <v>806.66450240396318</v>
      </c>
    </row>
    <row r="136" spans="1:35" ht="18" customHeight="1" x14ac:dyDescent="0.25">
      <c r="A136" s="36">
        <f t="shared" si="57"/>
        <v>0.74104165509259257</v>
      </c>
      <c r="B136" s="42">
        <f t="shared" si="42"/>
        <v>41.619308980728924</v>
      </c>
      <c r="C136" s="43">
        <f t="shared" si="43"/>
        <v>109.00584317526067</v>
      </c>
      <c r="D136" s="18">
        <f t="shared" si="44"/>
        <v>72.902889590562154</v>
      </c>
      <c r="E136" s="21" t="str">
        <f t="shared" si="45"/>
        <v>Umbra</v>
      </c>
      <c r="F136" s="23">
        <f>IF($E136&lt;&gt;"Umbra",fracil2($S$2,$S$3,$S$4,$A136,$Q$2,$O$3,$Q$4,$U136,$V136,$W136),0)</f>
        <v>0</v>
      </c>
      <c r="G136" s="19">
        <f t="shared" si="46"/>
        <v>69.457481694912019</v>
      </c>
      <c r="H136" s="19">
        <f t="shared" si="47"/>
        <v>1.0097949132385522</v>
      </c>
      <c r="I136" s="19">
        <f t="shared" si="48"/>
        <v>2.2178128626334477</v>
      </c>
      <c r="J136" s="28">
        <f t="shared" si="49"/>
        <v>6.9454740385349156E-2</v>
      </c>
      <c r="K136" s="24">
        <f t="shared" si="50"/>
        <v>845.71754993769753</v>
      </c>
      <c r="L136" s="32">
        <f t="shared" si="51"/>
        <v>0.54008906159893522</v>
      </c>
      <c r="M136" s="35">
        <f t="shared" si="52"/>
        <v>16.562984506054271</v>
      </c>
      <c r="O136" s="29">
        <f t="shared" si="53"/>
        <v>836.64294226920435</v>
      </c>
      <c r="T136" s="48">
        <v>0.74104165509259257</v>
      </c>
      <c r="U136" s="29">
        <v>-971.93968673827521</v>
      </c>
      <c r="V136" s="29">
        <v>4730.8774897712137</v>
      </c>
      <c r="W136" s="29">
        <v>4262.5067305518842</v>
      </c>
      <c r="X136" s="4">
        <v>-4.6099484652929741</v>
      </c>
      <c r="Y136" s="4">
        <v>-2.0075120213134476</v>
      </c>
      <c r="Z136" s="4">
        <v>0.76672865550352898</v>
      </c>
      <c r="AA136" s="3">
        <f t="shared" si="58"/>
        <v>5.0862168848315248</v>
      </c>
      <c r="AB136" s="3">
        <f t="shared" ref="AB136:AB199" si="61">-($AC136-$AC135)/(($A136-$A135)*86400)*1000/9.806</f>
        <v>4.4198479424246253</v>
      </c>
      <c r="AC136" s="3">
        <f t="shared" si="59"/>
        <v>4.7473950673728451</v>
      </c>
      <c r="AD136" s="48"/>
      <c r="AE136" s="46">
        <f t="shared" si="54"/>
        <v>41.619308980728924</v>
      </c>
      <c r="AF136" s="46">
        <f t="shared" si="55"/>
        <v>-250.99415682473932</v>
      </c>
      <c r="AG136" s="47">
        <f t="shared" si="56"/>
        <v>72902.889590562147</v>
      </c>
      <c r="AH136" s="45" t="str">
        <f t="shared" si="60"/>
        <v>-250.99416,41.61931,72903</v>
      </c>
      <c r="AI136" s="44">
        <f t="shared" ref="AI136:AI199" si="62">IFERROR(ACOS(SIN(RADIANS($B135))*SIN(RADIANS($B136))+COS(RADIANS($B135))*COS(RADIANS($B136))*COS(RADIANS($C135-$C136)))*6371,0)+AI135</f>
        <v>811.35959593170003</v>
      </c>
    </row>
    <row r="137" spans="1:35" ht="18" customHeight="1" x14ac:dyDescent="0.25">
      <c r="A137" s="36">
        <f t="shared" si="57"/>
        <v>0.74105324074074075</v>
      </c>
      <c r="B137" s="42">
        <f t="shared" si="42"/>
        <v>41.63049428166844</v>
      </c>
      <c r="C137" s="43">
        <f t="shared" si="43"/>
        <v>109.05982704763433</v>
      </c>
      <c r="D137" s="18">
        <f t="shared" si="44"/>
        <v>72.633849566341269</v>
      </c>
      <c r="E137" s="21" t="str">
        <f t="shared" si="45"/>
        <v>Umbra</v>
      </c>
      <c r="F137" s="23">
        <f>IF($E137&lt;&gt;"Umbra",fracil2($S$2,$S$3,$S$4,$A137,$Q$2,$O$3,$Q$4,$U137,$V137,$W137),0)</f>
        <v>0</v>
      </c>
      <c r="G137" s="19">
        <f t="shared" si="46"/>
        <v>69.451851024869825</v>
      </c>
      <c r="H137" s="19">
        <f t="shared" si="47"/>
        <v>0.94418774110530934</v>
      </c>
      <c r="I137" s="19">
        <f t="shared" si="48"/>
        <v>2.1522056905002045</v>
      </c>
      <c r="J137" s="28">
        <f t="shared" si="49"/>
        <v>6.8712895412077549E-2</v>
      </c>
      <c r="K137" s="24">
        <f t="shared" si="50"/>
        <v>850.34400199072331</v>
      </c>
      <c r="L137" s="32">
        <f t="shared" si="51"/>
        <v>0.54025520134839056</v>
      </c>
      <c r="M137" s="35">
        <f t="shared" si="52"/>
        <v>16.524347318505228</v>
      </c>
      <c r="O137" s="29">
        <f t="shared" si="53"/>
        <v>841.29867013523176</v>
      </c>
      <c r="T137" s="48">
        <v>0.74105324074074075</v>
      </c>
      <c r="U137" s="29">
        <v>-976.53245941472994</v>
      </c>
      <c r="V137" s="29">
        <v>4728.8740007628885</v>
      </c>
      <c r="W137" s="29">
        <v>4263.2672751473874</v>
      </c>
      <c r="X137" s="4">
        <v>-4.5682344509713353</v>
      </c>
      <c r="Y137" s="4">
        <v>-1.9962404483968945</v>
      </c>
      <c r="Z137" s="4">
        <v>0.75314914230325303</v>
      </c>
      <c r="AA137" s="3">
        <f t="shared" si="58"/>
        <v>5.0419218119095559</v>
      </c>
      <c r="AB137" s="3">
        <f t="shared" si="61"/>
        <v>4.5102085793787872</v>
      </c>
      <c r="AC137" s="3">
        <f t="shared" si="59"/>
        <v>4.7031237349379964</v>
      </c>
      <c r="AD137" s="48"/>
      <c r="AE137" s="46">
        <f t="shared" si="54"/>
        <v>41.63049428166844</v>
      </c>
      <c r="AF137" s="46">
        <f t="shared" si="55"/>
        <v>-250.94017295236569</v>
      </c>
      <c r="AG137" s="47">
        <f t="shared" si="56"/>
        <v>72633.849566341261</v>
      </c>
      <c r="AH137" s="45" t="str">
        <f t="shared" si="60"/>
        <v>-250.94017,41.63049,72634</v>
      </c>
      <c r="AI137" s="44">
        <f t="shared" si="62"/>
        <v>816.01587903254233</v>
      </c>
    </row>
    <row r="138" spans="1:35" ht="18" customHeight="1" x14ac:dyDescent="0.25">
      <c r="A138" s="36">
        <f t="shared" si="57"/>
        <v>0.74106480324074075</v>
      </c>
      <c r="B138" s="42">
        <f t="shared" si="42"/>
        <v>41.641529706763109</v>
      </c>
      <c r="C138" s="43">
        <f t="shared" si="43"/>
        <v>109.11324969471831</v>
      </c>
      <c r="D138" s="18">
        <f t="shared" si="44"/>
        <v>72.362095436129493</v>
      </c>
      <c r="E138" s="21" t="str">
        <f t="shared" si="45"/>
        <v>Umbra</v>
      </c>
      <c r="F138" s="23">
        <f>IF($E138&lt;&gt;"Umbra",fracil2($S$2,$S$3,$S$4,$A138,$Q$2,$O$3,$Q$4,$U138,$V138,$W138),0)</f>
        <v>0</v>
      </c>
      <c r="G138" s="19">
        <f t="shared" si="46"/>
        <v>69.446378522212896</v>
      </c>
      <c r="H138" s="19">
        <f t="shared" si="47"/>
        <v>0.87939268916053037</v>
      </c>
      <c r="I138" s="19">
        <f t="shared" si="48"/>
        <v>2.0874106385554256</v>
      </c>
      <c r="J138" s="28">
        <f t="shared" si="49"/>
        <v>6.7977251519438911E-2</v>
      </c>
      <c r="K138" s="24">
        <f t="shared" si="50"/>
        <v>854.92002676354366</v>
      </c>
      <c r="L138" s="32">
        <f t="shared" si="51"/>
        <v>0.54041917723793931</v>
      </c>
      <c r="M138" s="35">
        <f t="shared" si="52"/>
        <v>16.486107171422418</v>
      </c>
      <c r="O138" s="29">
        <f t="shared" si="53"/>
        <v>845.90428031789622</v>
      </c>
      <c r="T138" s="48">
        <v>0.74106480324074075</v>
      </c>
      <c r="U138" s="29">
        <v>-981.0770137587092</v>
      </c>
      <c r="V138" s="29">
        <v>4726.8846710546231</v>
      </c>
      <c r="W138" s="29">
        <v>4264.013195254638</v>
      </c>
      <c r="X138" s="4">
        <v>-4.5258234432592701</v>
      </c>
      <c r="Y138" s="4">
        <v>-1.9845717376734806</v>
      </c>
      <c r="Z138" s="4">
        <v>0.73951181812413369</v>
      </c>
      <c r="AA138" s="3">
        <f t="shared" si="58"/>
        <v>4.9968470609648241</v>
      </c>
      <c r="AB138" s="3">
        <f t="shared" si="61"/>
        <v>4.5987471563859748</v>
      </c>
      <c r="AC138" s="3">
        <f t="shared" si="59"/>
        <v>4.6580735156370663</v>
      </c>
      <c r="AD138" s="48"/>
      <c r="AE138" s="46">
        <f t="shared" si="54"/>
        <v>41.641529706763109</v>
      </c>
      <c r="AF138" s="46">
        <f t="shared" si="55"/>
        <v>-250.88675030528168</v>
      </c>
      <c r="AG138" s="47">
        <f t="shared" si="56"/>
        <v>72362.095436129486</v>
      </c>
      <c r="AH138" s="45" t="str">
        <f t="shared" si="60"/>
        <v>-250.88675,41.64153,72362</v>
      </c>
      <c r="AI138" s="44">
        <f t="shared" si="62"/>
        <v>820.62202074188235</v>
      </c>
    </row>
    <row r="139" spans="1:35" ht="18" customHeight="1" x14ac:dyDescent="0.25">
      <c r="A139" s="36">
        <f t="shared" si="57"/>
        <v>0.7410763773148149</v>
      </c>
      <c r="B139" s="42">
        <f t="shared" si="42"/>
        <v>41.652431879050752</v>
      </c>
      <c r="C139" s="43">
        <f t="shared" si="43"/>
        <v>109.16618109285396</v>
      </c>
      <c r="D139" s="18">
        <f t="shared" si="44"/>
        <v>72.087231973197049</v>
      </c>
      <c r="E139" s="21" t="str">
        <f t="shared" si="45"/>
        <v>Umbra</v>
      </c>
      <c r="F139" s="23">
        <f>IF($E139&lt;&gt;"Umbra",fracil2($S$2,$S$3,$S$4,$A139,$Q$2,$O$3,$Q$4,$U139,$V139,$W139),0)</f>
        <v>0</v>
      </c>
      <c r="G139" s="19">
        <f t="shared" si="46"/>
        <v>69.441044085424096</v>
      </c>
      <c r="H139" s="19">
        <f t="shared" si="47"/>
        <v>0.81530516422743238</v>
      </c>
      <c r="I139" s="19">
        <f t="shared" si="48"/>
        <v>2.0233231136223275</v>
      </c>
      <c r="J139" s="28">
        <f t="shared" si="49"/>
        <v>6.7246077688591907E-2</v>
      </c>
      <c r="K139" s="24">
        <f t="shared" si="50"/>
        <v>859.45169122663344</v>
      </c>
      <c r="L139" s="32">
        <f t="shared" si="51"/>
        <v>0.54058129358841345</v>
      </c>
      <c r="M139" s="35">
        <f t="shared" si="52"/>
        <v>16.448211425949161</v>
      </c>
      <c r="O139" s="29">
        <f t="shared" si="53"/>
        <v>850.465892753802</v>
      </c>
      <c r="T139" s="48">
        <v>0.7410763773148149</v>
      </c>
      <c r="U139" s="29">
        <v>-985.5799236160907</v>
      </c>
      <c r="V139" s="29">
        <v>4724.9067183619427</v>
      </c>
      <c r="W139" s="29">
        <v>4264.745630136923</v>
      </c>
      <c r="X139" s="4">
        <v>-4.482635868380366</v>
      </c>
      <c r="Y139" s="4">
        <v>-1.9724784725079747</v>
      </c>
      <c r="Z139" s="4">
        <v>0.72579559885022449</v>
      </c>
      <c r="AA139" s="3">
        <f t="shared" si="58"/>
        <v>4.9509064729913801</v>
      </c>
      <c r="AB139" s="3">
        <f t="shared" si="61"/>
        <v>4.6823576032903826</v>
      </c>
      <c r="AC139" s="3">
        <f t="shared" si="59"/>
        <v>4.6121583169789</v>
      </c>
      <c r="AD139" s="48"/>
      <c r="AE139" s="46">
        <f t="shared" si="54"/>
        <v>41.652431879050752</v>
      </c>
      <c r="AF139" s="46">
        <f t="shared" si="55"/>
        <v>-250.83381890714605</v>
      </c>
      <c r="AG139" s="47">
        <f t="shared" si="56"/>
        <v>72087.231973197049</v>
      </c>
      <c r="AH139" s="45" t="str">
        <f t="shared" si="60"/>
        <v>-250.83382,41.65243,72087</v>
      </c>
      <c r="AI139" s="44">
        <f t="shared" si="62"/>
        <v>825.18414477869203</v>
      </c>
    </row>
    <row r="140" spans="1:35" ht="18" customHeight="1" x14ac:dyDescent="0.25">
      <c r="A140" s="36">
        <f t="shared" si="57"/>
        <v>0.74108795138888883</v>
      </c>
      <c r="B140" s="42">
        <f t="shared" si="42"/>
        <v>41.663199339246887</v>
      </c>
      <c r="C140" s="43">
        <f t="shared" si="43"/>
        <v>109.2186140541225</v>
      </c>
      <c r="D140" s="18">
        <f t="shared" si="44"/>
        <v>71.809297075252289</v>
      </c>
      <c r="E140" s="21" t="str">
        <f t="shared" si="45"/>
        <v>Umbra</v>
      </c>
      <c r="F140" s="23">
        <f>IF($E140&lt;&gt;"Umbra",fracil2($S$2,$S$3,$S$4,$A140,$Q$2,$O$3,$Q$4,$U140,$V140,$W140),0)</f>
        <v>0</v>
      </c>
      <c r="G140" s="19">
        <f t="shared" si="46"/>
        <v>69.435850992987724</v>
      </c>
      <c r="H140" s="19">
        <f t="shared" si="47"/>
        <v>0.75191883067015042</v>
      </c>
      <c r="I140" s="19">
        <f t="shared" si="48"/>
        <v>1.9599367800650458</v>
      </c>
      <c r="J140" s="28">
        <f t="shared" si="49"/>
        <v>6.6518028356772382E-2</v>
      </c>
      <c r="K140" s="24">
        <f t="shared" si="50"/>
        <v>863.9383988301679</v>
      </c>
      <c r="L140" s="32">
        <f t="shared" si="51"/>
        <v>0.54074154844598898</v>
      </c>
      <c r="M140" s="35">
        <f t="shared" si="52"/>
        <v>16.410653983220239</v>
      </c>
      <c r="O140" s="29">
        <f t="shared" si="53"/>
        <v>854.98291396455318</v>
      </c>
      <c r="T140" s="48">
        <v>0.74108795138888883</v>
      </c>
      <c r="U140" s="29">
        <v>-990.04034993272251</v>
      </c>
      <c r="V140" s="29">
        <v>4722.9405939020462</v>
      </c>
      <c r="W140" s="29">
        <v>4265.4644882453858</v>
      </c>
      <c r="X140" s="4">
        <v>-4.4386079871414452</v>
      </c>
      <c r="Y140" s="4">
        <v>-1.9599278031575786</v>
      </c>
      <c r="Z140" s="4">
        <v>0.71199227165064805</v>
      </c>
      <c r="AA140" s="3">
        <f t="shared" si="58"/>
        <v>4.9040280231658722</v>
      </c>
      <c r="AB140" s="3">
        <f t="shared" si="61"/>
        <v>4.777909625779535</v>
      </c>
      <c r="AC140" s="3">
        <f t="shared" si="59"/>
        <v>4.5653061351890978</v>
      </c>
      <c r="AD140" s="48"/>
      <c r="AE140" s="46">
        <f t="shared" si="54"/>
        <v>41.663199339246887</v>
      </c>
      <c r="AF140" s="46">
        <f t="shared" si="55"/>
        <v>-250.7813859458775</v>
      </c>
      <c r="AG140" s="47">
        <f t="shared" si="56"/>
        <v>71809.297075252282</v>
      </c>
      <c r="AH140" s="45" t="str">
        <f t="shared" si="60"/>
        <v>-250.78139,41.66320,71809</v>
      </c>
      <c r="AI140" s="44">
        <f t="shared" si="62"/>
        <v>829.7016566234588</v>
      </c>
    </row>
    <row r="141" spans="1:35" ht="18" customHeight="1" x14ac:dyDescent="0.25">
      <c r="A141" s="36">
        <f t="shared" si="57"/>
        <v>0.74109952546296298</v>
      </c>
      <c r="B141" s="42">
        <f t="shared" si="42"/>
        <v>41.673835337919172</v>
      </c>
      <c r="C141" s="43">
        <f t="shared" si="43"/>
        <v>109.27056204135208</v>
      </c>
      <c r="D141" s="18">
        <f t="shared" si="44"/>
        <v>71.528205884052113</v>
      </c>
      <c r="E141" s="21" t="str">
        <f t="shared" si="45"/>
        <v>Umbra</v>
      </c>
      <c r="F141" s="23">
        <f>IF($E141&lt;&gt;"Umbra",fracil2($S$2,$S$3,$S$4,$A141,$Q$2,$O$3,$Q$4,$U141,$V141,$W141),0)</f>
        <v>0</v>
      </c>
      <c r="G141" s="19">
        <f t="shared" si="46"/>
        <v>69.430797041203334</v>
      </c>
      <c r="H141" s="19">
        <f t="shared" si="47"/>
        <v>0.68920187080820849</v>
      </c>
      <c r="I141" s="19">
        <f t="shared" si="48"/>
        <v>1.8972198202031039</v>
      </c>
      <c r="J141" s="28">
        <f t="shared" si="49"/>
        <v>6.5792326341520935E-2</v>
      </c>
      <c r="K141" s="24">
        <f t="shared" si="50"/>
        <v>868.38133116114545</v>
      </c>
      <c r="L141" s="32">
        <f t="shared" si="51"/>
        <v>0.54090001757275141</v>
      </c>
      <c r="M141" s="35">
        <f t="shared" si="52"/>
        <v>16.373416191719631</v>
      </c>
      <c r="O141" s="29">
        <f t="shared" si="53"/>
        <v>859.45654215598097</v>
      </c>
      <c r="T141" s="48">
        <v>0.74109952546296298</v>
      </c>
      <c r="U141" s="29">
        <v>-994.45940978548106</v>
      </c>
      <c r="V141" s="29">
        <v>4720.9858862593737</v>
      </c>
      <c r="W141" s="29">
        <v>4266.1699916238877</v>
      </c>
      <c r="X141" s="4">
        <v>-4.3937124288249167</v>
      </c>
      <c r="Y141" s="4">
        <v>-1.9469066869304699</v>
      </c>
      <c r="Z141" s="4">
        <v>0.6980975554541029</v>
      </c>
      <c r="AA141" s="3">
        <f t="shared" si="58"/>
        <v>4.8561810872079434</v>
      </c>
      <c r="AB141" s="3">
        <f t="shared" si="61"/>
        <v>4.8765799049699909</v>
      </c>
      <c r="AC141" s="3">
        <f t="shared" si="59"/>
        <v>4.5174863926406488</v>
      </c>
      <c r="AD141" s="48"/>
      <c r="AE141" s="46">
        <f t="shared" si="54"/>
        <v>41.673835337919172</v>
      </c>
      <c r="AF141" s="46">
        <f t="shared" si="55"/>
        <v>-250.72943795864791</v>
      </c>
      <c r="AG141" s="47">
        <f t="shared" si="56"/>
        <v>71528.20588405212</v>
      </c>
      <c r="AH141" s="45" t="str">
        <f t="shared" si="60"/>
        <v>-250.72944,41.67384,71528</v>
      </c>
      <c r="AI141" s="44">
        <f t="shared" si="62"/>
        <v>834.17575456782845</v>
      </c>
    </row>
    <row r="142" spans="1:35" ht="18" customHeight="1" x14ac:dyDescent="0.25">
      <c r="A142" s="36">
        <f t="shared" si="57"/>
        <v>0.74111109953703702</v>
      </c>
      <c r="B142" s="42">
        <f t="shared" si="42"/>
        <v>41.684318545148891</v>
      </c>
      <c r="C142" s="43">
        <f t="shared" si="43"/>
        <v>109.3219083702798</v>
      </c>
      <c r="D142" s="18">
        <f t="shared" si="44"/>
        <v>71.244537886287617</v>
      </c>
      <c r="E142" s="21" t="str">
        <f t="shared" si="45"/>
        <v>Umbra</v>
      </c>
      <c r="F142" s="23">
        <f>IF($E142&lt;&gt;"Umbra",fracil2($S$2,$S$3,$S$4,$A142,$Q$2,$O$3,$Q$4,$U142,$V142,$W142),0)</f>
        <v>0</v>
      </c>
      <c r="G142" s="19">
        <f t="shared" si="46"/>
        <v>69.425878310658064</v>
      </c>
      <c r="H142" s="19">
        <f t="shared" si="47"/>
        <v>0.62727568410326484</v>
      </c>
      <c r="I142" s="19">
        <f t="shared" si="48"/>
        <v>1.8352936334981602</v>
      </c>
      <c r="J142" s="28">
        <f t="shared" si="49"/>
        <v>6.5069951696957076E-2</v>
      </c>
      <c r="K142" s="24">
        <f t="shared" si="50"/>
        <v>872.77059091599779</v>
      </c>
      <c r="L142" s="32">
        <f t="shared" si="51"/>
        <v>0.54105644468328407</v>
      </c>
      <c r="M142" s="35">
        <f t="shared" si="52"/>
        <v>16.336581006875779</v>
      </c>
      <c r="O142" s="29">
        <f t="shared" si="53"/>
        <v>863.87682595868102</v>
      </c>
      <c r="T142" s="48">
        <v>0.74111109953703702</v>
      </c>
      <c r="U142" s="29">
        <v>-998.82798045094466</v>
      </c>
      <c r="V142" s="29">
        <v>4719.0467290875031</v>
      </c>
      <c r="W142" s="29">
        <v>4266.8607421087709</v>
      </c>
      <c r="X142" s="4">
        <v>-4.3480295370413611</v>
      </c>
      <c r="Y142" s="4">
        <v>-1.9334338395641397</v>
      </c>
      <c r="Z142" s="4">
        <v>0.68414009063229986</v>
      </c>
      <c r="AA142" s="3">
        <f t="shared" si="58"/>
        <v>4.8074499405158884</v>
      </c>
      <c r="AB142" s="3">
        <f t="shared" si="61"/>
        <v>4.9666575741915189</v>
      </c>
      <c r="AC142" s="3">
        <f t="shared" si="59"/>
        <v>4.4687833484682749</v>
      </c>
      <c r="AD142" s="48"/>
      <c r="AE142" s="46">
        <f t="shared" si="54"/>
        <v>41.684318545148891</v>
      </c>
      <c r="AF142" s="46">
        <f t="shared" si="55"/>
        <v>-250.6780916297202</v>
      </c>
      <c r="AG142" s="47">
        <f t="shared" si="56"/>
        <v>71244.53788628761</v>
      </c>
      <c r="AH142" s="45" t="str">
        <f t="shared" si="60"/>
        <v>-250.67809,41.68432,71245</v>
      </c>
      <c r="AI142" s="44">
        <f t="shared" si="62"/>
        <v>838.59648985480578</v>
      </c>
    </row>
    <row r="143" spans="1:35" ht="18" customHeight="1" x14ac:dyDescent="0.25">
      <c r="A143" s="36">
        <f t="shared" si="57"/>
        <v>0.7411226851851852</v>
      </c>
      <c r="B143" s="42">
        <f t="shared" si="42"/>
        <v>41.694673913127382</v>
      </c>
      <c r="C143" s="43">
        <f t="shared" si="43"/>
        <v>109.37277703259255</v>
      </c>
      <c r="D143" s="18">
        <f t="shared" si="44"/>
        <v>70.957630145970143</v>
      </c>
      <c r="E143" s="21" t="str">
        <f t="shared" si="45"/>
        <v>Umbra</v>
      </c>
      <c r="F143" s="23">
        <f>IF($E143&lt;&gt;"Umbra",fracil2($S$2,$S$3,$S$4,$A143,$Q$2,$O$3,$Q$4,$U143,$V143,$W143),0)</f>
        <v>0</v>
      </c>
      <c r="G143" s="19">
        <f t="shared" si="46"/>
        <v>69.421088676014847</v>
      </c>
      <c r="H143" s="19">
        <f t="shared" si="47"/>
        <v>0.56597753445995291</v>
      </c>
      <c r="I143" s="19">
        <f t="shared" si="48"/>
        <v>1.7739954838548482</v>
      </c>
      <c r="J143" s="28">
        <f t="shared" si="49"/>
        <v>6.4348653859068447E-2</v>
      </c>
      <c r="K143" s="24">
        <f t="shared" si="50"/>
        <v>877.11679043120125</v>
      </c>
      <c r="L143" s="32">
        <f t="shared" si="51"/>
        <v>0.54121121099104219</v>
      </c>
      <c r="M143" s="35">
        <f t="shared" si="52"/>
        <v>16.300046993542242</v>
      </c>
      <c r="O143" s="29">
        <f t="shared" si="53"/>
        <v>868.25445568160933</v>
      </c>
      <c r="T143" s="48">
        <v>0.7411226851851852</v>
      </c>
      <c r="U143" s="29">
        <v>-1003.1562088122947</v>
      </c>
      <c r="V143" s="29">
        <v>4717.1187130373737</v>
      </c>
      <c r="W143" s="29">
        <v>4267.5383980218166</v>
      </c>
      <c r="X143" s="4">
        <v>-4.3014410295839411</v>
      </c>
      <c r="Y143" s="4">
        <v>-1.919469768607047</v>
      </c>
      <c r="Z143" s="4">
        <v>0.67008753568823076</v>
      </c>
      <c r="AA143" s="3">
        <f t="shared" si="58"/>
        <v>4.7577070558273418</v>
      </c>
      <c r="AB143" s="3">
        <f t="shared" si="61"/>
        <v>5.0646645036484292</v>
      </c>
      <c r="AC143" s="3">
        <f t="shared" si="59"/>
        <v>4.4190695842452286</v>
      </c>
      <c r="AD143" s="48"/>
      <c r="AE143" s="46">
        <f t="shared" si="54"/>
        <v>41.694673913127382</v>
      </c>
      <c r="AF143" s="46">
        <f t="shared" si="55"/>
        <v>-250.62722296740745</v>
      </c>
      <c r="AG143" s="47">
        <f t="shared" si="56"/>
        <v>70957.63014597015</v>
      </c>
      <c r="AH143" s="45" t="str">
        <f t="shared" si="60"/>
        <v>-250.62722,41.69467,70958</v>
      </c>
      <c r="AI143" s="44">
        <f t="shared" si="62"/>
        <v>842.97455212267914</v>
      </c>
    </row>
    <row r="144" spans="1:35" ht="18" customHeight="1" x14ac:dyDescent="0.25">
      <c r="A144" s="36">
        <f t="shared" si="57"/>
        <v>0.7411342476851851</v>
      </c>
      <c r="B144" s="42">
        <f t="shared" si="42"/>
        <v>41.704873931256351</v>
      </c>
      <c r="C144" s="43">
        <f t="shared" si="43"/>
        <v>109.42303027247102</v>
      </c>
      <c r="D144" s="18">
        <f t="shared" si="44"/>
        <v>70.668260064752758</v>
      </c>
      <c r="E144" s="21" t="str">
        <f t="shared" si="45"/>
        <v>Umbra</v>
      </c>
      <c r="F144" s="23">
        <f>IF($E144&lt;&gt;"Umbra",fracil2($S$2,$S$3,$S$4,$A144,$Q$2,$O$3,$Q$4,$U144,$V144,$W144),0)</f>
        <v>0</v>
      </c>
      <c r="G144" s="19">
        <f t="shared" si="46"/>
        <v>69.416440449890771</v>
      </c>
      <c r="H144" s="19">
        <f t="shared" si="47"/>
        <v>0.50545884255354556</v>
      </c>
      <c r="I144" s="19">
        <f t="shared" si="48"/>
        <v>1.7134767919484408</v>
      </c>
      <c r="J144" s="28">
        <f t="shared" si="49"/>
        <v>6.3629862409594118E-2</v>
      </c>
      <c r="K144" s="24">
        <f t="shared" si="50"/>
        <v>881.40819458489477</v>
      </c>
      <c r="L144" s="32">
        <f t="shared" si="51"/>
        <v>0.54136392904056962</v>
      </c>
      <c r="M144" s="35">
        <f t="shared" si="52"/>
        <v>16.2639045275839</v>
      </c>
      <c r="O144" s="29">
        <f t="shared" si="53"/>
        <v>872.5776171288021</v>
      </c>
      <c r="T144" s="48">
        <v>0.7411342476851851</v>
      </c>
      <c r="U144" s="29">
        <v>-1007.4323425879714</v>
      </c>
      <c r="V144" s="29">
        <v>4715.2071706274101</v>
      </c>
      <c r="W144" s="29">
        <v>4268.2011752586386</v>
      </c>
      <c r="X144" s="4">
        <v>-4.2540627310609702</v>
      </c>
      <c r="Y144" s="4">
        <v>-1.9050447828021031</v>
      </c>
      <c r="Z144" s="4">
        <v>0.65597846543674709</v>
      </c>
      <c r="AA144" s="3">
        <f t="shared" si="58"/>
        <v>4.7070747913539872</v>
      </c>
      <c r="AB144" s="3">
        <f t="shared" si="61"/>
        <v>5.1654917201169699</v>
      </c>
      <c r="AC144" s="3">
        <f t="shared" si="59"/>
        <v>4.3684674252500271</v>
      </c>
      <c r="AD144" s="48"/>
      <c r="AE144" s="46">
        <f t="shared" si="54"/>
        <v>41.704873931256351</v>
      </c>
      <c r="AF144" s="46">
        <f t="shared" si="55"/>
        <v>-250.57696972752899</v>
      </c>
      <c r="AG144" s="47">
        <f t="shared" si="56"/>
        <v>70668.260064752758</v>
      </c>
      <c r="AH144" s="45" t="str">
        <f t="shared" si="60"/>
        <v>-250.57697,41.70487,70668</v>
      </c>
      <c r="AI144" s="44">
        <f t="shared" si="62"/>
        <v>847.29812593013764</v>
      </c>
    </row>
    <row r="145" spans="1:35" ht="18" customHeight="1" x14ac:dyDescent="0.25">
      <c r="A145" s="36">
        <f t="shared" si="57"/>
        <v>0.74114582175925925</v>
      </c>
      <c r="B145" s="42">
        <f t="shared" si="42"/>
        <v>41.714929200082743</v>
      </c>
      <c r="C145" s="43">
        <f t="shared" si="43"/>
        <v>109.47270760901914</v>
      </c>
      <c r="D145" s="18">
        <f t="shared" si="44"/>
        <v>70.376159285824542</v>
      </c>
      <c r="E145" s="21" t="str">
        <f t="shared" si="45"/>
        <v>Umbra</v>
      </c>
      <c r="F145" s="23">
        <f>IF($E145&lt;&gt;"Umbra",fracil2($S$2,$S$3,$S$4,$A145,$Q$2,$O$3,$Q$4,$U145,$V145,$W145),0)</f>
        <v>0</v>
      </c>
      <c r="G145" s="19">
        <f t="shared" si="46"/>
        <v>69.411915279425372</v>
      </c>
      <c r="H145" s="19">
        <f t="shared" si="47"/>
        <v>0.44565348203910321</v>
      </c>
      <c r="I145" s="19">
        <f t="shared" si="48"/>
        <v>1.6536714314339984</v>
      </c>
      <c r="J145" s="28">
        <f t="shared" si="49"/>
        <v>6.2912431807462366E-2</v>
      </c>
      <c r="K145" s="24">
        <f t="shared" si="50"/>
        <v>885.64826390890744</v>
      </c>
      <c r="L145" s="32">
        <f t="shared" si="51"/>
        <v>0.54151481500543308</v>
      </c>
      <c r="M145" s="35">
        <f t="shared" si="52"/>
        <v>16.228124646811196</v>
      </c>
      <c r="O145" s="29">
        <f t="shared" si="53"/>
        <v>876.84980821784575</v>
      </c>
      <c r="T145" s="48">
        <v>0.74114582175925925</v>
      </c>
      <c r="U145" s="29">
        <v>-1011.6605428136271</v>
      </c>
      <c r="V145" s="29">
        <v>4713.3103560174222</v>
      </c>
      <c r="W145" s="29">
        <v>4268.8497907349201</v>
      </c>
      <c r="X145" s="4">
        <v>-4.2058425168429752</v>
      </c>
      <c r="Y145" s="4">
        <v>-1.8901393017026591</v>
      </c>
      <c r="Z145" s="4">
        <v>0.64180043548346233</v>
      </c>
      <c r="AA145" s="3">
        <f t="shared" si="58"/>
        <v>4.6554962845342098</v>
      </c>
      <c r="AB145" s="3">
        <f t="shared" si="61"/>
        <v>5.2567143414108477</v>
      </c>
      <c r="AC145" s="3">
        <f t="shared" si="59"/>
        <v>4.3169200844178146</v>
      </c>
      <c r="AD145" s="48"/>
      <c r="AE145" s="46">
        <f t="shared" si="54"/>
        <v>41.714929200082743</v>
      </c>
      <c r="AF145" s="46">
        <f t="shared" si="55"/>
        <v>-250.52729239098085</v>
      </c>
      <c r="AG145" s="47">
        <f t="shared" si="56"/>
        <v>70376.159285824542</v>
      </c>
      <c r="AH145" s="45" t="str">
        <f t="shared" si="60"/>
        <v>-250.52729,41.71493,70376</v>
      </c>
      <c r="AI145" s="44">
        <f t="shared" si="62"/>
        <v>851.57071299609333</v>
      </c>
    </row>
    <row r="146" spans="1:35" ht="18" customHeight="1" x14ac:dyDescent="0.25">
      <c r="A146" s="36">
        <f t="shared" si="57"/>
        <v>0.7411573958333334</v>
      </c>
      <c r="B146" s="42">
        <f t="shared" si="42"/>
        <v>41.724850391225353</v>
      </c>
      <c r="C146" s="43">
        <f t="shared" si="43"/>
        <v>109.52186653343264</v>
      </c>
      <c r="D146" s="18">
        <f t="shared" si="44"/>
        <v>70.081028953693931</v>
      </c>
      <c r="E146" s="21" t="str">
        <f t="shared" si="45"/>
        <v>Umbra</v>
      </c>
      <c r="F146" s="23">
        <f>IF($E146&lt;&gt;"Umbra",fracil2($S$2,$S$3,$S$4,$A146,$Q$2,$O$3,$Q$4,$U146,$V146,$W146),0)</f>
        <v>0</v>
      </c>
      <c r="G146" s="19">
        <f t="shared" si="46"/>
        <v>69.40751794036585</v>
      </c>
      <c r="H146" s="19">
        <f t="shared" si="47"/>
        <v>0.38648149074757071</v>
      </c>
      <c r="I146" s="19">
        <f t="shared" si="48"/>
        <v>1.5944994401424659</v>
      </c>
      <c r="J146" s="28">
        <f t="shared" si="49"/>
        <v>6.2195117753285352E-2</v>
      </c>
      <c r="K146" s="24">
        <f t="shared" si="50"/>
        <v>889.84190495798134</v>
      </c>
      <c r="L146" s="32">
        <f t="shared" si="51"/>
        <v>0.54166402472420916</v>
      </c>
      <c r="M146" s="35">
        <f t="shared" si="52"/>
        <v>16.192651795343892</v>
      </c>
      <c r="O146" s="29">
        <f t="shared" si="53"/>
        <v>881.07597200849762</v>
      </c>
      <c r="T146" s="48">
        <v>0.7411573958333334</v>
      </c>
      <c r="U146" s="29">
        <v>-1015.8450569441048</v>
      </c>
      <c r="V146" s="29">
        <v>4711.4264569296447</v>
      </c>
      <c r="W146" s="29">
        <v>4269.4849461194399</v>
      </c>
      <c r="X146" s="4">
        <v>-4.1567229306191749</v>
      </c>
      <c r="Y146" s="4">
        <v>-1.8747313046469456</v>
      </c>
      <c r="Z146" s="4">
        <v>0.62754008058710331</v>
      </c>
      <c r="AA146" s="3">
        <f t="shared" si="58"/>
        <v>4.6029088128380042</v>
      </c>
      <c r="AB146" s="3">
        <f t="shared" si="61"/>
        <v>5.3594900728610693</v>
      </c>
      <c r="AC146" s="3">
        <f t="shared" si="59"/>
        <v>4.2643649247629947</v>
      </c>
      <c r="AD146" s="48"/>
      <c r="AE146" s="46">
        <f t="shared" si="54"/>
        <v>41.724850391225353</v>
      </c>
      <c r="AF146" s="46">
        <f t="shared" si="55"/>
        <v>-250.47813346656736</v>
      </c>
      <c r="AG146" s="47">
        <f t="shared" si="56"/>
        <v>70081.028953693924</v>
      </c>
      <c r="AH146" s="45" t="str">
        <f t="shared" si="60"/>
        <v>-250.47813,41.72485,70081</v>
      </c>
      <c r="AI146" s="44">
        <f t="shared" si="62"/>
        <v>855.79725407429055</v>
      </c>
    </row>
    <row r="147" spans="1:35" ht="18" customHeight="1" x14ac:dyDescent="0.25">
      <c r="A147" s="36">
        <f t="shared" si="57"/>
        <v>0.74116898148148147</v>
      </c>
      <c r="B147" s="42">
        <f t="shared" si="42"/>
        <v>41.734621578527573</v>
      </c>
      <c r="C147" s="43">
        <f t="shared" si="43"/>
        <v>109.57041327992498</v>
      </c>
      <c r="D147" s="18">
        <f t="shared" si="44"/>
        <v>69.78335971773231</v>
      </c>
      <c r="E147" s="21" t="str">
        <f t="shared" si="45"/>
        <v>Umbra</v>
      </c>
      <c r="F147" s="23">
        <f>IF($E147&lt;&gt;"Umbra",fracil2($S$2,$S$3,$S$4,$A147,$Q$2,$O$3,$Q$4,$U147,$V147,$W147),0)</f>
        <v>0</v>
      </c>
      <c r="G147" s="19">
        <f t="shared" si="46"/>
        <v>69.403239125711579</v>
      </c>
      <c r="H147" s="19">
        <f t="shared" si="47"/>
        <v>0.3280367483706762</v>
      </c>
      <c r="I147" s="19">
        <f t="shared" si="48"/>
        <v>1.5360546977655716</v>
      </c>
      <c r="J147" s="28">
        <f t="shared" si="49"/>
        <v>6.1478705436799889E-2</v>
      </c>
      <c r="K147" s="24">
        <f t="shared" si="50"/>
        <v>893.98121006677241</v>
      </c>
      <c r="L147" s="32">
        <f t="shared" si="51"/>
        <v>0.5418113841424399</v>
      </c>
      <c r="M147" s="35">
        <f t="shared" si="52"/>
        <v>16.157554993857847</v>
      </c>
      <c r="O147" s="29">
        <f t="shared" si="53"/>
        <v>885.24815474975958</v>
      </c>
      <c r="T147" s="48">
        <v>0.74116898148148147</v>
      </c>
      <c r="U147" s="29">
        <v>-1019.978920600987</v>
      </c>
      <c r="V147" s="29">
        <v>4709.5587073173092</v>
      </c>
      <c r="W147" s="29">
        <v>4270.1056390570229</v>
      </c>
      <c r="X147" s="4">
        <v>-4.1067791619143659</v>
      </c>
      <c r="Y147" s="4">
        <v>-1.8588404348766212</v>
      </c>
      <c r="Z147" s="4">
        <v>0.61322250491976205</v>
      </c>
      <c r="AA147" s="3">
        <f t="shared" si="58"/>
        <v>4.5493916832480403</v>
      </c>
      <c r="AB147" s="3">
        <f t="shared" si="61"/>
        <v>5.4487291384605543</v>
      </c>
      <c r="AC147" s="3">
        <f t="shared" si="59"/>
        <v>4.2108812565936731</v>
      </c>
      <c r="AD147" s="48"/>
      <c r="AE147" s="46">
        <f t="shared" si="54"/>
        <v>41.734621578527573</v>
      </c>
      <c r="AF147" s="46">
        <f t="shared" si="55"/>
        <v>-250.42958672007501</v>
      </c>
      <c r="AG147" s="47">
        <f t="shared" si="56"/>
        <v>69783.35971773231</v>
      </c>
      <c r="AH147" s="45" t="str">
        <f t="shared" si="60"/>
        <v>-250.42959,41.73462,69783</v>
      </c>
      <c r="AI147" s="44">
        <f t="shared" si="62"/>
        <v>859.96979892058152</v>
      </c>
    </row>
    <row r="148" spans="1:35" ht="18" customHeight="1" x14ac:dyDescent="0.25">
      <c r="A148" s="36">
        <f t="shared" si="57"/>
        <v>0.74118054398148148</v>
      </c>
      <c r="B148" s="42">
        <f t="shared" si="42"/>
        <v>41.744228785708877</v>
      </c>
      <c r="C148" s="43">
        <f t="shared" si="43"/>
        <v>109.61828011273228</v>
      </c>
      <c r="D148" s="18">
        <f t="shared" si="44"/>
        <v>69.483627384766805</v>
      </c>
      <c r="E148" s="21" t="str">
        <f t="shared" si="45"/>
        <v>Umbra</v>
      </c>
      <c r="F148" s="23">
        <f>IF($E148&lt;&gt;"Umbra",fracil2($S$2,$S$3,$S$4,$A148,$Q$2,$O$3,$Q$4,$U148,$V148,$W148),0)</f>
        <v>0</v>
      </c>
      <c r="G148" s="19">
        <f t="shared" si="46"/>
        <v>69.399091187482057</v>
      </c>
      <c r="H148" s="19">
        <f t="shared" si="47"/>
        <v>0.27038978248961643</v>
      </c>
      <c r="I148" s="19">
        <f t="shared" si="48"/>
        <v>1.4784077318845117</v>
      </c>
      <c r="J148" s="28">
        <f t="shared" si="49"/>
        <v>6.076384752641005E-2</v>
      </c>
      <c r="K148" s="24">
        <f t="shared" si="50"/>
        <v>898.06042620917162</v>
      </c>
      <c r="L148" s="32">
        <f t="shared" si="51"/>
        <v>0.54195668293206678</v>
      </c>
      <c r="M148" s="35">
        <f t="shared" si="52"/>
        <v>16.122871660387336</v>
      </c>
      <c r="O148" s="29">
        <f t="shared" si="53"/>
        <v>889.36055396344432</v>
      </c>
      <c r="T148" s="48">
        <v>0.74118054398148148</v>
      </c>
      <c r="U148" s="29">
        <v>-1024.055918421552</v>
      </c>
      <c r="V148" s="29">
        <v>4707.7100447902985</v>
      </c>
      <c r="W148" s="29">
        <v>4270.711021912718</v>
      </c>
      <c r="X148" s="4">
        <v>-4.0560879496148932</v>
      </c>
      <c r="Y148" s="4">
        <v>-1.8424883636981904</v>
      </c>
      <c r="Z148" s="4">
        <v>0.59887201542040158</v>
      </c>
      <c r="AA148" s="3">
        <f t="shared" si="58"/>
        <v>4.4950261975018657</v>
      </c>
      <c r="AB148" s="3">
        <f t="shared" si="61"/>
        <v>5.5461203877751224</v>
      </c>
      <c r="AC148" s="3">
        <f t="shared" si="59"/>
        <v>4.1565503853276429</v>
      </c>
      <c r="AD148" s="48"/>
      <c r="AE148" s="46">
        <f t="shared" si="54"/>
        <v>41.744228785708877</v>
      </c>
      <c r="AF148" s="46">
        <f t="shared" si="55"/>
        <v>-250.38171988726771</v>
      </c>
      <c r="AG148" s="47">
        <f t="shared" si="56"/>
        <v>69483.627384766805</v>
      </c>
      <c r="AH148" s="45" t="str">
        <f t="shared" si="60"/>
        <v>-250.38172,41.74423,69484</v>
      </c>
      <c r="AI148" s="44">
        <f t="shared" si="62"/>
        <v>864.08254270787279</v>
      </c>
    </row>
    <row r="149" spans="1:35" ht="18" customHeight="1" x14ac:dyDescent="0.25">
      <c r="A149" s="36">
        <f t="shared" si="57"/>
        <v>0.74119211805555552</v>
      </c>
      <c r="B149" s="42">
        <f t="shared" si="42"/>
        <v>41.753701356562374</v>
      </c>
      <c r="C149" s="43">
        <f t="shared" si="43"/>
        <v>109.66560910213342</v>
      </c>
      <c r="D149" s="18">
        <f t="shared" si="44"/>
        <v>69.180950721951376</v>
      </c>
      <c r="E149" s="21" t="str">
        <f t="shared" si="45"/>
        <v>Umbra</v>
      </c>
      <c r="F149" s="23">
        <f>IF($E149&lt;&gt;"Umbra",fracil2($S$2,$S$3,$S$4,$A149,$Q$2,$O$3,$Q$4,$U149,$V149,$W149),0)</f>
        <v>0</v>
      </c>
      <c r="G149" s="19">
        <f t="shared" si="46"/>
        <v>69.395059669825585</v>
      </c>
      <c r="H149" s="19">
        <f t="shared" si="47"/>
        <v>0.21335610994395379</v>
      </c>
      <c r="I149" s="19">
        <f t="shared" si="48"/>
        <v>1.4213740593388491</v>
      </c>
      <c r="J149" s="28">
        <f t="shared" si="49"/>
        <v>6.0048019161247669E-2</v>
      </c>
      <c r="K149" s="24">
        <f t="shared" si="50"/>
        <v>902.09170602878442</v>
      </c>
      <c r="L149" s="32">
        <f t="shared" si="51"/>
        <v>0.54210038780635572</v>
      </c>
      <c r="M149" s="35">
        <f t="shared" si="52"/>
        <v>16.088492143077563</v>
      </c>
      <c r="O149" s="29">
        <f t="shared" si="53"/>
        <v>893.4254242784416</v>
      </c>
      <c r="T149" s="48">
        <v>0.74119211805555552</v>
      </c>
      <c r="U149" s="29">
        <v>-1028.0882331795356</v>
      </c>
      <c r="V149" s="29">
        <v>4705.8750592001988</v>
      </c>
      <c r="W149" s="29">
        <v>4271.3029729051495</v>
      </c>
      <c r="X149" s="4">
        <v>-4.0044979409540442</v>
      </c>
      <c r="Y149" s="4">
        <v>-1.8256231947403918</v>
      </c>
      <c r="Z149" s="4">
        <v>0.58444834303739146</v>
      </c>
      <c r="AA149" s="3">
        <f t="shared" si="58"/>
        <v>4.4396490485125559</v>
      </c>
      <c r="AB149" s="3">
        <f t="shared" si="61"/>
        <v>5.6436075795210785</v>
      </c>
      <c r="AC149" s="3">
        <f t="shared" si="59"/>
        <v>4.1012091694030275</v>
      </c>
      <c r="AD149" s="48"/>
      <c r="AE149" s="46">
        <f t="shared" si="54"/>
        <v>41.753701356562374</v>
      </c>
      <c r="AF149" s="46">
        <f t="shared" si="55"/>
        <v>-250.33439089786657</v>
      </c>
      <c r="AG149" s="47">
        <f t="shared" si="56"/>
        <v>69180.950721951376</v>
      </c>
      <c r="AH149" s="45" t="str">
        <f t="shared" si="60"/>
        <v>-250.33439,41.75370,69181</v>
      </c>
      <c r="AI149" s="44">
        <f t="shared" si="62"/>
        <v>868.14774141686632</v>
      </c>
    </row>
    <row r="150" spans="1:35" ht="18" customHeight="1" x14ac:dyDescent="0.25">
      <c r="A150" s="36">
        <f t="shared" si="57"/>
        <v>0.74120369212962967</v>
      </c>
      <c r="B150" s="42">
        <f t="shared" si="42"/>
        <v>41.763016498273807</v>
      </c>
      <c r="C150" s="43">
        <f t="shared" si="43"/>
        <v>109.71227637638682</v>
      </c>
      <c r="D150" s="18">
        <f t="shared" si="44"/>
        <v>68.876086167618269</v>
      </c>
      <c r="E150" s="21" t="str">
        <f t="shared" si="45"/>
        <v>Umbra</v>
      </c>
      <c r="F150" s="23">
        <f>IF($E150&lt;&gt;"Umbra",fracil2($S$2,$S$3,$S$4,$A150,$Q$2,$O$3,$Q$4,$U150,$V150,$W150),0)</f>
        <v>0</v>
      </c>
      <c r="G150" s="19">
        <f t="shared" si="46"/>
        <v>69.391144865553827</v>
      </c>
      <c r="H150" s="19">
        <f t="shared" si="47"/>
        <v>0.15706915838840518</v>
      </c>
      <c r="I150" s="19">
        <f t="shared" si="48"/>
        <v>1.3650871077833004</v>
      </c>
      <c r="J150" s="28">
        <f t="shared" si="49"/>
        <v>5.9332642353967568E-2</v>
      </c>
      <c r="K150" s="24">
        <f t="shared" si="50"/>
        <v>906.06456873952322</v>
      </c>
      <c r="L150" s="32">
        <f t="shared" si="51"/>
        <v>0.54224219715113342</v>
      </c>
      <c r="M150" s="35">
        <f t="shared" si="52"/>
        <v>16.054504191606739</v>
      </c>
      <c r="O150" s="29">
        <f t="shared" si="53"/>
        <v>897.43220659109818</v>
      </c>
      <c r="T150" s="48">
        <v>0.74120369212962967</v>
      </c>
      <c r="U150" s="29">
        <v>-1032.065908010914</v>
      </c>
      <c r="V150" s="29">
        <v>4704.0583893026278</v>
      </c>
      <c r="W150" s="29">
        <v>4271.8800925466749</v>
      </c>
      <c r="X150" s="4">
        <v>-3.9521371384529509</v>
      </c>
      <c r="Y150" s="4">
        <v>-1.8082836858113689</v>
      </c>
      <c r="Z150" s="4">
        <v>0.56998986947055519</v>
      </c>
      <c r="AA150" s="3">
        <f t="shared" si="58"/>
        <v>4.3833966624992637</v>
      </c>
      <c r="AB150" s="3">
        <f t="shared" si="61"/>
        <v>5.7327304401383525</v>
      </c>
      <c r="AC150" s="3">
        <f t="shared" si="59"/>
        <v>4.0449940147066625</v>
      </c>
      <c r="AD150" s="48"/>
      <c r="AE150" s="46">
        <f t="shared" si="54"/>
        <v>41.763016498273807</v>
      </c>
      <c r="AF150" s="46">
        <f t="shared" si="55"/>
        <v>-250.28772362361318</v>
      </c>
      <c r="AG150" s="47">
        <f t="shared" si="56"/>
        <v>68876.086167618269</v>
      </c>
      <c r="AH150" s="45" t="str">
        <f t="shared" si="60"/>
        <v>-250.28772,41.76302,68876</v>
      </c>
      <c r="AI150" s="44">
        <f t="shared" si="62"/>
        <v>872.1548374173683</v>
      </c>
    </row>
    <row r="151" spans="1:35" ht="18" customHeight="1" x14ac:dyDescent="0.25">
      <c r="A151" s="36">
        <f t="shared" si="57"/>
        <v>0.74121526620370359</v>
      </c>
      <c r="B151" s="42">
        <f t="shared" si="42"/>
        <v>41.772176662381852</v>
      </c>
      <c r="C151" s="43">
        <f t="shared" si="43"/>
        <v>109.75829059970424</v>
      </c>
      <c r="D151" s="18">
        <f t="shared" si="44"/>
        <v>68.569006457457363</v>
      </c>
      <c r="E151" s="21" t="str">
        <f t="shared" si="45"/>
        <v>Umbra</v>
      </c>
      <c r="F151" s="23">
        <f>IF($E151&lt;&gt;"Umbra",fracil2($S$2,$S$3,$S$4,$A151,$Q$2,$O$3,$Q$4,$U151,$V151,$W151),0)</f>
        <v>0</v>
      </c>
      <c r="G151" s="19">
        <f t="shared" si="46"/>
        <v>69.387345088951662</v>
      </c>
      <c r="H151" s="19">
        <f t="shared" si="47"/>
        <v>0.10150621784156626</v>
      </c>
      <c r="I151" s="19">
        <f t="shared" si="48"/>
        <v>1.3095241672364615</v>
      </c>
      <c r="J151" s="28">
        <f t="shared" si="49"/>
        <v>5.8617267318369325E-2</v>
      </c>
      <c r="K151" s="24">
        <f t="shared" si="50"/>
        <v>909.97979848509362</v>
      </c>
      <c r="L151" s="32">
        <f t="shared" si="51"/>
        <v>0.54238216549466556</v>
      </c>
      <c r="M151" s="35">
        <f t="shared" si="52"/>
        <v>16.020894622063832</v>
      </c>
      <c r="O151" s="29">
        <f t="shared" si="53"/>
        <v>901.38169143613686</v>
      </c>
      <c r="T151" s="48">
        <v>0.74121526620370359</v>
      </c>
      <c r="U151" s="29">
        <v>-1035.9896976813984</v>
      </c>
      <c r="V151" s="29">
        <v>4702.2598198901051</v>
      </c>
      <c r="W151" s="29">
        <v>4272.4425746875868</v>
      </c>
      <c r="X151" s="4">
        <v>-3.8990032525449476</v>
      </c>
      <c r="Y151" s="4">
        <v>-1.790466936985216</v>
      </c>
      <c r="Z151" s="4">
        <v>0.55549779332620441</v>
      </c>
      <c r="AA151" s="3">
        <f t="shared" si="58"/>
        <v>4.3262658279610582</v>
      </c>
      <c r="AB151" s="3">
        <f t="shared" si="61"/>
        <v>5.8221731905961125</v>
      </c>
      <c r="AC151" s="3">
        <f t="shared" si="59"/>
        <v>3.9879017844003983</v>
      </c>
      <c r="AD151" s="48"/>
      <c r="AE151" s="46">
        <f t="shared" si="54"/>
        <v>41.772176662381852</v>
      </c>
      <c r="AF151" s="46">
        <f t="shared" si="55"/>
        <v>-250.24170940029575</v>
      </c>
      <c r="AG151" s="47">
        <f t="shared" si="56"/>
        <v>68569.006457457363</v>
      </c>
      <c r="AH151" s="45" t="str">
        <f t="shared" si="60"/>
        <v>-250.24171,41.77218,68569</v>
      </c>
      <c r="AI151" s="44">
        <f t="shared" si="62"/>
        <v>876.10462132033149</v>
      </c>
    </row>
    <row r="152" spans="1:35" ht="18" customHeight="1" x14ac:dyDescent="0.25">
      <c r="A152" s="36">
        <f t="shared" si="57"/>
        <v>0.74122684027777774</v>
      </c>
      <c r="B152" s="42">
        <f t="shared" si="42"/>
        <v>41.781191599283886</v>
      </c>
      <c r="C152" s="43">
        <f t="shared" si="43"/>
        <v>109.80370089662145</v>
      </c>
      <c r="D152" s="18">
        <f t="shared" si="44"/>
        <v>68.259424788208889</v>
      </c>
      <c r="E152" s="21" t="str">
        <f t="shared" si="45"/>
        <v>Umbra</v>
      </c>
      <c r="F152" s="23">
        <f>IF($E152&lt;&gt;"Umbra",fracil2($S$2,$S$3,$S$4,$A152,$Q$2,$O$3,$Q$4,$U152,$V152,$W152),0)</f>
        <v>0</v>
      </c>
      <c r="G152" s="19">
        <f t="shared" si="46"/>
        <v>69.383660216572579</v>
      </c>
      <c r="H152" s="19">
        <f t="shared" si="47"/>
        <v>4.65976510736789E-2</v>
      </c>
      <c r="I152" s="19">
        <f t="shared" si="48"/>
        <v>1.2546156004685742</v>
      </c>
      <c r="J152" s="28">
        <f t="shared" si="49"/>
        <v>5.7900864682473262E-2</v>
      </c>
      <c r="K152" s="24">
        <f t="shared" si="50"/>
        <v>913.84160226108338</v>
      </c>
      <c r="L152" s="32">
        <f t="shared" si="51"/>
        <v>0.54252044656570397</v>
      </c>
      <c r="M152" s="35">
        <f t="shared" si="52"/>
        <v>15.987618232095855</v>
      </c>
      <c r="O152" s="29">
        <f t="shared" si="53"/>
        <v>905.27812013282391</v>
      </c>
      <c r="T152" s="48">
        <v>0.74122684027777774</v>
      </c>
      <c r="U152" s="29">
        <v>-1039.8635138805716</v>
      </c>
      <c r="V152" s="29">
        <v>4700.4776750730907</v>
      </c>
      <c r="W152" s="29">
        <v>4272.9910510183126</v>
      </c>
      <c r="X152" s="4">
        <v>-3.845050309382767</v>
      </c>
      <c r="Y152" s="4">
        <v>-1.7721551882947248</v>
      </c>
      <c r="Z152" s="4">
        <v>0.54096157493543329</v>
      </c>
      <c r="AA152" s="3">
        <f t="shared" si="58"/>
        <v>4.2682063350593831</v>
      </c>
      <c r="AB152" s="3">
        <f t="shared" si="61"/>
        <v>5.9167245305391587</v>
      </c>
      <c r="AC152" s="3">
        <f t="shared" si="59"/>
        <v>3.9298823836535512</v>
      </c>
      <c r="AD152" s="48"/>
      <c r="AE152" s="46">
        <f t="shared" si="54"/>
        <v>41.781191599283886</v>
      </c>
      <c r="AF152" s="46">
        <f t="shared" si="55"/>
        <v>-250.19629910337855</v>
      </c>
      <c r="AG152" s="47">
        <f t="shared" si="56"/>
        <v>68259.424788208882</v>
      </c>
      <c r="AH152" s="45" t="str">
        <f t="shared" si="60"/>
        <v>-250.19630,41.78119,68259</v>
      </c>
      <c r="AI152" s="44">
        <f t="shared" si="62"/>
        <v>880.00133362766303</v>
      </c>
    </row>
    <row r="153" spans="1:35" ht="18" customHeight="1" x14ac:dyDescent="0.25">
      <c r="A153" s="36">
        <f t="shared" si="57"/>
        <v>0.74123842592592604</v>
      </c>
      <c r="B153" s="42">
        <f t="shared" si="42"/>
        <v>41.790052493035283</v>
      </c>
      <c r="C153" s="43">
        <f t="shared" si="43"/>
        <v>109.8484503550014</v>
      </c>
      <c r="D153" s="18">
        <f t="shared" si="44"/>
        <v>67.947684373451011</v>
      </c>
      <c r="E153" s="21" t="str">
        <f t="shared" si="45"/>
        <v>Umbra</v>
      </c>
      <c r="F153" s="23">
        <f>IF($E153&lt;&gt;"Umbra",fracil2($S$2,$S$3,$S$4,$A153,$Q$2,$O$3,$Q$4,$U153,$V153,$W153),0)</f>
        <v>0</v>
      </c>
      <c r="G153" s="19">
        <f t="shared" si="46"/>
        <v>69.380081654955205</v>
      </c>
      <c r="H153" s="19">
        <f t="shared" si="47"/>
        <v>-7.6037509686301512E-3</v>
      </c>
      <c r="I153" s="19">
        <f t="shared" si="48"/>
        <v>1.2004141984262651</v>
      </c>
      <c r="J153" s="28">
        <f t="shared" si="49"/>
        <v>5.7183947821186992E-2</v>
      </c>
      <c r="K153" s="24">
        <f t="shared" si="50"/>
        <v>917.64522213942655</v>
      </c>
      <c r="L153" s="32">
        <f t="shared" si="51"/>
        <v>0.54265695483956733</v>
      </c>
      <c r="M153" s="35">
        <f t="shared" si="52"/>
        <v>15.954716568358132</v>
      </c>
      <c r="O153" s="29">
        <f t="shared" si="53"/>
        <v>909.11670150497787</v>
      </c>
      <c r="T153" s="48">
        <v>0.74123842592592604</v>
      </c>
      <c r="U153" s="29">
        <v>-1043.6833079838484</v>
      </c>
      <c r="V153" s="29">
        <v>4698.7139341292923</v>
      </c>
      <c r="W153" s="29">
        <v>4273.5250183355829</v>
      </c>
      <c r="X153" s="4">
        <v>-3.7903439221070871</v>
      </c>
      <c r="Y153" s="4">
        <v>-1.7533685793499376</v>
      </c>
      <c r="Z153" s="4">
        <v>0.52640072153573758</v>
      </c>
      <c r="AA153" s="3">
        <f t="shared" si="58"/>
        <v>4.209288080250519</v>
      </c>
      <c r="AB153" s="3">
        <f t="shared" si="61"/>
        <v>5.998145646827064</v>
      </c>
      <c r="AC153" s="3">
        <f t="shared" si="59"/>
        <v>3.8710057496238139</v>
      </c>
      <c r="AD153" s="48"/>
      <c r="AE153" s="46">
        <f t="shared" si="54"/>
        <v>41.790052493035283</v>
      </c>
      <c r="AF153" s="46">
        <f t="shared" si="55"/>
        <v>-250.1515496449986</v>
      </c>
      <c r="AG153" s="47">
        <f t="shared" si="56"/>
        <v>67947.684373451018</v>
      </c>
      <c r="AH153" s="45" t="str">
        <f t="shared" si="60"/>
        <v>-250.15155,41.79005,67948</v>
      </c>
      <c r="AI153" s="44">
        <f t="shared" si="62"/>
        <v>883.84018582657529</v>
      </c>
    </row>
    <row r="154" spans="1:35" ht="18" customHeight="1" x14ac:dyDescent="0.25">
      <c r="A154" s="36">
        <f t="shared" si="57"/>
        <v>0.74124998842592593</v>
      </c>
      <c r="B154" s="42">
        <f t="shared" si="42"/>
        <v>41.798750809437301</v>
      </c>
      <c r="C154" s="43">
        <f t="shared" si="43"/>
        <v>109.89249960922834</v>
      </c>
      <c r="D154" s="18">
        <f t="shared" si="44"/>
        <v>67.634149869005341</v>
      </c>
      <c r="E154" s="21" t="str">
        <f t="shared" si="45"/>
        <v>Umbra</v>
      </c>
      <c r="F154" s="23">
        <f>IF($E154&lt;&gt;"Umbra",fracil2($S$2,$S$3,$S$4,$A154,$Q$2,$O$3,$Q$4,$U154,$V154,$W154),0)</f>
        <v>0</v>
      </c>
      <c r="G154" s="19">
        <f t="shared" si="46"/>
        <v>69.37662164213728</v>
      </c>
      <c r="H154" s="19">
        <f t="shared" si="47"/>
        <v>-6.1057731823115871E-2</v>
      </c>
      <c r="I154" s="19">
        <f t="shared" si="48"/>
        <v>1.1469602175717795</v>
      </c>
      <c r="J154" s="28">
        <f t="shared" si="49"/>
        <v>5.6467026850427822E-2</v>
      </c>
      <c r="K154" s="24">
        <f t="shared" si="50"/>
        <v>921.38732839656655</v>
      </c>
      <c r="L154" s="32">
        <f t="shared" si="51"/>
        <v>0.54279154624675019</v>
      </c>
      <c r="M154" s="35">
        <f t="shared" si="52"/>
        <v>15.922207269858353</v>
      </c>
      <c r="O154" s="29">
        <f t="shared" si="53"/>
        <v>912.89406539640936</v>
      </c>
      <c r="T154" s="48">
        <v>0.74124998842592593</v>
      </c>
      <c r="U154" s="29">
        <v>-1047.4451074120127</v>
      </c>
      <c r="V154" s="29">
        <v>4696.9705677476186</v>
      </c>
      <c r="W154" s="29">
        <v>4274.0440119486966</v>
      </c>
      <c r="X154" s="4">
        <v>-3.7349572751565674</v>
      </c>
      <c r="Y154" s="4">
        <v>-1.7341310115452784</v>
      </c>
      <c r="Z154" s="4">
        <v>0.51183581413610602</v>
      </c>
      <c r="AA154" s="3">
        <f t="shared" si="58"/>
        <v>4.149589390901272</v>
      </c>
      <c r="AB154" s="3">
        <f t="shared" si="61"/>
        <v>6.0896610283631594</v>
      </c>
      <c r="AC154" s="3">
        <f t="shared" si="59"/>
        <v>3.8113502487962689</v>
      </c>
      <c r="AD154" s="48"/>
      <c r="AE154" s="46">
        <f t="shared" si="54"/>
        <v>41.798750809437301</v>
      </c>
      <c r="AF154" s="46">
        <f t="shared" si="55"/>
        <v>-250.10750039077166</v>
      </c>
      <c r="AG154" s="47">
        <f t="shared" si="56"/>
        <v>67634.149869005341</v>
      </c>
      <c r="AH154" s="45" t="str">
        <f t="shared" si="60"/>
        <v>-250.10750,41.79875,67634</v>
      </c>
      <c r="AI154" s="44">
        <f t="shared" si="62"/>
        <v>887.61780516008866</v>
      </c>
    </row>
    <row r="155" spans="1:35" ht="18" customHeight="1" x14ac:dyDescent="0.25">
      <c r="A155" s="36">
        <f t="shared" si="57"/>
        <v>0.74126156249999997</v>
      </c>
      <c r="B155" s="42">
        <f t="shared" si="42"/>
        <v>41.807291782135167</v>
      </c>
      <c r="C155" s="43">
        <f t="shared" si="43"/>
        <v>109.93586028165856</v>
      </c>
      <c r="D155" s="18">
        <f t="shared" si="44"/>
        <v>67.318704146377968</v>
      </c>
      <c r="E155" s="21" t="str">
        <f t="shared" si="45"/>
        <v>Umbra</v>
      </c>
      <c r="F155" s="23">
        <f>IF($E155&lt;&gt;"Umbra",fracil2($S$2,$S$3,$S$4,$A155,$Q$2,$O$3,$Q$4,$U155,$V155,$W155),0)</f>
        <v>0</v>
      </c>
      <c r="G155" s="19">
        <f t="shared" si="46"/>
        <v>69.373263456483301</v>
      </c>
      <c r="H155" s="19">
        <f t="shared" si="47"/>
        <v>-0.11379440751983494</v>
      </c>
      <c r="I155" s="19">
        <f t="shared" si="48"/>
        <v>1.0942235418750603</v>
      </c>
      <c r="J155" s="28">
        <f t="shared" si="49"/>
        <v>5.5749606435577852E-2</v>
      </c>
      <c r="K155" s="24">
        <f t="shared" si="50"/>
        <v>925.0690051965629</v>
      </c>
      <c r="L155" s="32">
        <f t="shared" si="51"/>
        <v>0.54292435463832323</v>
      </c>
      <c r="M155" s="35">
        <f t="shared" si="52"/>
        <v>15.890083568697218</v>
      </c>
      <c r="O155" s="29">
        <f t="shared" si="53"/>
        <v>916.61131379049039</v>
      </c>
      <c r="T155" s="48">
        <v>0.74126156249999997</v>
      </c>
      <c r="U155" s="29">
        <v>-1051.1508770536345</v>
      </c>
      <c r="V155" s="29">
        <v>4695.2468064422865</v>
      </c>
      <c r="W155" s="29">
        <v>4274.5483985109586</v>
      </c>
      <c r="X155" s="4">
        <v>-3.6788814539766843</v>
      </c>
      <c r="Y155" s="4">
        <v>-1.7144385679636487</v>
      </c>
      <c r="Z155" s="4">
        <v>0.49726528019238769</v>
      </c>
      <c r="AA155" s="3">
        <f t="shared" si="58"/>
        <v>4.089100281800345</v>
      </c>
      <c r="AB155" s="3">
        <f t="shared" si="61"/>
        <v>6.1640060394741347</v>
      </c>
      <c r="AC155" s="3">
        <f t="shared" si="59"/>
        <v>3.7509060055733694</v>
      </c>
      <c r="AD155" s="48"/>
      <c r="AE155" s="46">
        <f t="shared" si="54"/>
        <v>41.807291782135167</v>
      </c>
      <c r="AF155" s="46">
        <f t="shared" si="55"/>
        <v>-250.06413971834144</v>
      </c>
      <c r="AG155" s="47">
        <f t="shared" si="56"/>
        <v>67318.704146377975</v>
      </c>
      <c r="AH155" s="45" t="str">
        <f t="shared" si="60"/>
        <v>-250.06414,41.80729,67319</v>
      </c>
      <c r="AI155" s="44">
        <f t="shared" si="62"/>
        <v>891.33529728439794</v>
      </c>
    </row>
    <row r="156" spans="1:35" ht="18" customHeight="1" x14ac:dyDescent="0.25">
      <c r="A156" s="36">
        <f t="shared" si="57"/>
        <v>0.74127313657407401</v>
      </c>
      <c r="B156" s="42">
        <f t="shared" si="42"/>
        <v>41.815677755343948</v>
      </c>
      <c r="C156" s="43">
        <f t="shared" si="43"/>
        <v>109.97854500936182</v>
      </c>
      <c r="D156" s="18">
        <f t="shared" si="44"/>
        <v>67.00132509159539</v>
      </c>
      <c r="E156" s="21" t="str">
        <f t="shared" si="45"/>
        <v>Umbra</v>
      </c>
      <c r="F156" s="23">
        <f>IF($E156&lt;&gt;"Umbra",fracil2($S$2,$S$3,$S$4,$A156,$Q$2,$O$3,$Q$4,$U156,$V156,$W156),0)</f>
        <v>0</v>
      </c>
      <c r="G156" s="19">
        <f t="shared" si="46"/>
        <v>69.370011128412301</v>
      </c>
      <c r="H156" s="19">
        <f t="shared" si="47"/>
        <v>-0.16583730896457591</v>
      </c>
      <c r="I156" s="19">
        <f t="shared" si="48"/>
        <v>1.0421806404303193</v>
      </c>
      <c r="J156" s="28">
        <f t="shared" si="49"/>
        <v>5.5031388770002632E-2</v>
      </c>
      <c r="K156" s="24">
        <f t="shared" si="50"/>
        <v>928.69135428632171</v>
      </c>
      <c r="L156" s="32">
        <f t="shared" si="51"/>
        <v>0.54305541358935994</v>
      </c>
      <c r="M156" s="35">
        <f t="shared" si="52"/>
        <v>15.858327360560898</v>
      </c>
      <c r="O156" s="29">
        <f t="shared" si="53"/>
        <v>920.26955158029114</v>
      </c>
      <c r="T156" s="48">
        <v>0.74127313657407401</v>
      </c>
      <c r="U156" s="29">
        <v>-1054.8013533308083</v>
      </c>
      <c r="V156" s="29">
        <v>4693.5424415052576</v>
      </c>
      <c r="W156" s="29">
        <v>4275.0383658786814</v>
      </c>
      <c r="X156" s="4">
        <v>-3.6221263920042026</v>
      </c>
      <c r="Y156" s="4">
        <v>-1.6942939465853124</v>
      </c>
      <c r="Z156" s="4">
        <v>0.48269245173938002</v>
      </c>
      <c r="AA156" s="3">
        <f t="shared" si="58"/>
        <v>4.02783112605968</v>
      </c>
      <c r="AB156" s="3">
        <f t="shared" si="61"/>
        <v>6.243372127125661</v>
      </c>
      <c r="AC156" s="3">
        <f t="shared" si="59"/>
        <v>3.6896834984949614</v>
      </c>
      <c r="AD156" s="48"/>
      <c r="AE156" s="46">
        <f t="shared" si="54"/>
        <v>41.815677755343948</v>
      </c>
      <c r="AF156" s="46">
        <f t="shared" si="55"/>
        <v>-250.02145499063818</v>
      </c>
      <c r="AG156" s="47">
        <f t="shared" si="56"/>
        <v>67001.325091595383</v>
      </c>
      <c r="AH156" s="45" t="str">
        <f t="shared" si="60"/>
        <v>-250.02145,41.81568,67001</v>
      </c>
      <c r="AI156" s="44">
        <f t="shared" si="62"/>
        <v>894.99376580542832</v>
      </c>
    </row>
    <row r="157" spans="1:35" ht="18" customHeight="1" x14ac:dyDescent="0.25">
      <c r="A157" s="36">
        <f t="shared" si="57"/>
        <v>0.74128471064814816</v>
      </c>
      <c r="B157" s="42">
        <f t="shared" si="42"/>
        <v>41.823902554601737</v>
      </c>
      <c r="C157" s="43">
        <f t="shared" si="43"/>
        <v>110.02051458941121</v>
      </c>
      <c r="D157" s="18">
        <f t="shared" si="44"/>
        <v>66.682319286704114</v>
      </c>
      <c r="E157" s="21" t="str">
        <f t="shared" si="45"/>
        <v>Umbra</v>
      </c>
      <c r="F157" s="23">
        <f>IF($E157&lt;&gt;"Umbra",fracil2($S$2,$S$3,$S$4,$A157,$Q$2,$O$3,$Q$4,$U157,$V157,$W157),0)</f>
        <v>0</v>
      </c>
      <c r="G157" s="19">
        <f t="shared" si="46"/>
        <v>69.366861418865582</v>
      </c>
      <c r="H157" s="19">
        <f t="shared" si="47"/>
        <v>-0.21715051685114178</v>
      </c>
      <c r="I157" s="19">
        <f t="shared" si="48"/>
        <v>0.99086743254375342</v>
      </c>
      <c r="J157" s="28">
        <f t="shared" si="49"/>
        <v>5.4312883835071497E-2</v>
      </c>
      <c r="K157" s="24">
        <f t="shared" si="50"/>
        <v>932.25111438927706</v>
      </c>
      <c r="L157" s="32">
        <f t="shared" si="51"/>
        <v>0.54318465265933735</v>
      </c>
      <c r="M157" s="35">
        <f t="shared" si="52"/>
        <v>15.826965084462284</v>
      </c>
      <c r="O157" s="29">
        <f t="shared" si="53"/>
        <v>923.86548517483254</v>
      </c>
      <c r="T157" s="48">
        <v>0.74128471064814816</v>
      </c>
      <c r="U157" s="29">
        <v>-1058.3935613046172</v>
      </c>
      <c r="V157" s="29">
        <v>4691.8590013040548</v>
      </c>
      <c r="W157" s="29">
        <v>4275.5136084069254</v>
      </c>
      <c r="X157" s="4">
        <v>-3.5647636045221733</v>
      </c>
      <c r="Y157" s="4">
        <v>-1.673722202509339</v>
      </c>
      <c r="Z157" s="4">
        <v>0.46813606963215365</v>
      </c>
      <c r="AA157" s="3">
        <f t="shared" si="58"/>
        <v>3.9658589166773535</v>
      </c>
      <c r="AB157" s="3">
        <f t="shared" si="61"/>
        <v>6.3148800972964674</v>
      </c>
      <c r="AC157" s="3">
        <f t="shared" si="59"/>
        <v>3.6277597842604665</v>
      </c>
      <c r="AD157" s="48"/>
      <c r="AE157" s="46">
        <f t="shared" si="54"/>
        <v>41.823902554601737</v>
      </c>
      <c r="AF157" s="46">
        <f t="shared" si="55"/>
        <v>-249.97948541058878</v>
      </c>
      <c r="AG157" s="47">
        <f t="shared" si="56"/>
        <v>66682.319286704122</v>
      </c>
      <c r="AH157" s="45" t="str">
        <f t="shared" si="60"/>
        <v>-249.97949,41.82390,66682</v>
      </c>
      <c r="AI157" s="44">
        <f t="shared" si="62"/>
        <v>898.58991823578788</v>
      </c>
    </row>
    <row r="158" spans="1:35" ht="18" customHeight="1" x14ac:dyDescent="0.25">
      <c r="A158" s="36">
        <f t="shared" si="57"/>
        <v>0.74129628472222231</v>
      </c>
      <c r="B158" s="42">
        <f t="shared" si="42"/>
        <v>41.83197337313409</v>
      </c>
      <c r="C158" s="43">
        <f t="shared" si="43"/>
        <v>110.06180473497136</v>
      </c>
      <c r="D158" s="18">
        <f t="shared" si="44"/>
        <v>66.361482523552695</v>
      </c>
      <c r="E158" s="21" t="str">
        <f t="shared" si="45"/>
        <v>Umbra</v>
      </c>
      <c r="F158" s="23">
        <f>IF($E158&lt;&gt;"Umbra",fracil2($S$2,$S$3,$S$4,$A158,$Q$2,$O$3,$Q$4,$U158,$V158,$W158),0)</f>
        <v>0</v>
      </c>
      <c r="G158" s="19">
        <f t="shared" si="46"/>
        <v>69.363814352182544</v>
      </c>
      <c r="H158" s="19">
        <f t="shared" si="47"/>
        <v>-0.26778574688011281</v>
      </c>
      <c r="I158" s="19">
        <f t="shared" si="48"/>
        <v>0.94023220251478246</v>
      </c>
      <c r="J158" s="28">
        <f t="shared" si="49"/>
        <v>5.3593458434913054E-2</v>
      </c>
      <c r="K158" s="24">
        <f t="shared" si="50"/>
        <v>935.75135194020595</v>
      </c>
      <c r="L158" s="32">
        <f t="shared" si="51"/>
        <v>0.54331218587593921</v>
      </c>
      <c r="M158" s="35">
        <f t="shared" si="52"/>
        <v>15.795963103147173</v>
      </c>
      <c r="O158" s="29">
        <f t="shared" si="53"/>
        <v>927.40220457777889</v>
      </c>
      <c r="T158" s="48">
        <v>0.74129628472222231</v>
      </c>
      <c r="U158" s="29">
        <v>-1061.9303593698876</v>
      </c>
      <c r="V158" s="29">
        <v>4690.1952857910346</v>
      </c>
      <c r="W158" s="29">
        <v>4275.9745980289817</v>
      </c>
      <c r="X158" s="4">
        <v>-3.506775602148108</v>
      </c>
      <c r="Y158" s="4">
        <v>-1.6527170103105193</v>
      </c>
      <c r="Z158" s="4">
        <v>0.4535918527543627</v>
      </c>
      <c r="AA158" s="3">
        <f t="shared" si="58"/>
        <v>3.9031646402472062</v>
      </c>
      <c r="AB158" s="3">
        <f t="shared" si="61"/>
        <v>6.3883119071863073</v>
      </c>
      <c r="AC158" s="3">
        <f t="shared" si="59"/>
        <v>3.5651159976981872</v>
      </c>
      <c r="AD158" s="48"/>
      <c r="AE158" s="46">
        <f t="shared" si="54"/>
        <v>41.83197337313409</v>
      </c>
      <c r="AF158" s="46">
        <f t="shared" si="55"/>
        <v>-249.93819526502864</v>
      </c>
      <c r="AG158" s="47">
        <f t="shared" si="56"/>
        <v>66361.482523552695</v>
      </c>
      <c r="AH158" s="45" t="str">
        <f t="shared" si="60"/>
        <v>-249.93820,41.83197,66361</v>
      </c>
      <c r="AI158" s="44">
        <f t="shared" si="62"/>
        <v>902.12684398561692</v>
      </c>
    </row>
    <row r="159" spans="1:35" ht="18" customHeight="1" x14ac:dyDescent="0.25">
      <c r="A159" s="36">
        <f t="shared" si="57"/>
        <v>0.74130785879629624</v>
      </c>
      <c r="B159" s="42">
        <f t="shared" si="42"/>
        <v>41.839878429950957</v>
      </c>
      <c r="C159" s="43">
        <f t="shared" si="43"/>
        <v>110.10234428039885</v>
      </c>
      <c r="D159" s="18">
        <f t="shared" si="44"/>
        <v>66.039368675465084</v>
      </c>
      <c r="E159" s="21" t="str">
        <f t="shared" si="45"/>
        <v>Umbra</v>
      </c>
      <c r="F159" s="23">
        <f>IF($E159&lt;&gt;"Umbra",fracil2($S$2,$S$3,$S$4,$A159,$Q$2,$O$3,$Q$4,$U159,$V159,$W159),0)</f>
        <v>0</v>
      </c>
      <c r="G159" s="19">
        <f t="shared" si="46"/>
        <v>69.360865046138883</v>
      </c>
      <c r="H159" s="19">
        <f t="shared" si="47"/>
        <v>-0.31766831423564063</v>
      </c>
      <c r="I159" s="19">
        <f t="shared" si="48"/>
        <v>0.89034963515925458</v>
      </c>
      <c r="J159" s="28">
        <f t="shared" si="49"/>
        <v>5.2874248610869395E-2</v>
      </c>
      <c r="K159" s="24">
        <f t="shared" si="50"/>
        <v>939.18611346127796</v>
      </c>
      <c r="L159" s="32">
        <f t="shared" si="51"/>
        <v>0.54343786161070973</v>
      </c>
      <c r="M159" s="35">
        <f t="shared" si="52"/>
        <v>15.76537458076591</v>
      </c>
      <c r="O159" s="29">
        <f t="shared" si="53"/>
        <v>930.8736957715164</v>
      </c>
      <c r="T159" s="48">
        <v>0.74130785879629624</v>
      </c>
      <c r="U159" s="29">
        <v>-1065.4062925027129</v>
      </c>
      <c r="V159" s="29">
        <v>4688.55400744293</v>
      </c>
      <c r="W159" s="29">
        <v>4276.4207253967661</v>
      </c>
      <c r="X159" s="4">
        <v>-3.4482846096394435</v>
      </c>
      <c r="Y159" s="4">
        <v>-1.6313231071195458</v>
      </c>
      <c r="Z159" s="4">
        <v>0.43909019521194675</v>
      </c>
      <c r="AA159" s="3">
        <f t="shared" si="58"/>
        <v>3.8398804705914591</v>
      </c>
      <c r="AB159" s="3">
        <f t="shared" si="61"/>
        <v>6.4482610779612379</v>
      </c>
      <c r="AC159" s="3">
        <f t="shared" si="59"/>
        <v>3.5018843495684981</v>
      </c>
      <c r="AD159" s="48"/>
      <c r="AE159" s="46">
        <f t="shared" si="54"/>
        <v>41.839878429950957</v>
      </c>
      <c r="AF159" s="46">
        <f t="shared" si="55"/>
        <v>-249.89765571960115</v>
      </c>
      <c r="AG159" s="47">
        <f t="shared" si="56"/>
        <v>66039.368675465084</v>
      </c>
      <c r="AH159" s="45" t="str">
        <f t="shared" si="60"/>
        <v>-249.89766,41.83988,66039</v>
      </c>
      <c r="AI159" s="44">
        <f t="shared" si="62"/>
        <v>905.59853089419278</v>
      </c>
    </row>
    <row r="160" spans="1:35" ht="18" customHeight="1" x14ac:dyDescent="0.25">
      <c r="A160" s="36">
        <f t="shared" si="57"/>
        <v>0.74131943287037039</v>
      </c>
      <c r="B160" s="42">
        <f t="shared" si="42"/>
        <v>41.847631111877135</v>
      </c>
      <c r="C160" s="43">
        <f t="shared" si="43"/>
        <v>110.14220422238807</v>
      </c>
      <c r="D160" s="18">
        <f t="shared" si="44"/>
        <v>65.71551947675016</v>
      </c>
      <c r="E160" s="21" t="str">
        <f t="shared" si="45"/>
        <v>Umbra</v>
      </c>
      <c r="F160" s="23">
        <f>IF($E160&lt;&gt;"Umbra",fracil2($S$2,$S$3,$S$4,$A160,$Q$2,$O$3,$Q$4,$U160,$V160,$W160),0)</f>
        <v>0</v>
      </c>
      <c r="G160" s="19">
        <f t="shared" si="46"/>
        <v>69.358015401618431</v>
      </c>
      <c r="H160" s="19">
        <f t="shared" si="47"/>
        <v>-0.36689083744660278</v>
      </c>
      <c r="I160" s="19">
        <f t="shared" si="48"/>
        <v>0.84112711194829248</v>
      </c>
      <c r="J160" s="28">
        <f t="shared" si="49"/>
        <v>5.2154116491211232E-2</v>
      </c>
      <c r="K160" s="24">
        <f t="shared" si="50"/>
        <v>942.56143959041356</v>
      </c>
      <c r="L160" s="32">
        <f t="shared" si="51"/>
        <v>0.54356187915136578</v>
      </c>
      <c r="M160" s="35">
        <f t="shared" si="52"/>
        <v>15.735137535750432</v>
      </c>
      <c r="O160" s="29">
        <f t="shared" si="53"/>
        <v>934.28605059498591</v>
      </c>
      <c r="T160" s="48">
        <v>0.74131943287037039</v>
      </c>
      <c r="U160" s="29">
        <v>-1068.8269593240957</v>
      </c>
      <c r="V160" s="29">
        <v>4686.9326687665889</v>
      </c>
      <c r="W160" s="29">
        <v>4276.8528105907126</v>
      </c>
      <c r="X160" s="4">
        <v>-3.3892321355707726</v>
      </c>
      <c r="Y160" s="4">
        <v>-1.6095198389065732</v>
      </c>
      <c r="Z160" s="4">
        <v>0.42461611063702764</v>
      </c>
      <c r="AA160" s="3">
        <f t="shared" si="58"/>
        <v>3.7759432493129417</v>
      </c>
      <c r="AB160" s="3">
        <f t="shared" si="61"/>
        <v>6.5146297655413505</v>
      </c>
      <c r="AC160" s="3">
        <f t="shared" si="59"/>
        <v>3.4380018900871812</v>
      </c>
      <c r="AD160" s="48"/>
      <c r="AE160" s="46">
        <f t="shared" si="54"/>
        <v>41.847631111877135</v>
      </c>
      <c r="AF160" s="46">
        <f t="shared" si="55"/>
        <v>-249.85779577761193</v>
      </c>
      <c r="AG160" s="47">
        <f t="shared" si="56"/>
        <v>65715.519476750167</v>
      </c>
      <c r="AH160" s="45" t="str">
        <f t="shared" si="60"/>
        <v>-249.85780,41.84763,65716</v>
      </c>
      <c r="AI160" s="44">
        <f t="shared" si="62"/>
        <v>909.01106938100509</v>
      </c>
    </row>
    <row r="161" spans="1:35" ht="18" customHeight="1" x14ac:dyDescent="0.25">
      <c r="A161" s="36">
        <f t="shared" si="57"/>
        <v>0.74133101851851846</v>
      </c>
      <c r="B161" s="42">
        <f t="shared" si="42"/>
        <v>41.855223374345201</v>
      </c>
      <c r="C161" s="43">
        <f t="shared" si="43"/>
        <v>110.18133014625063</v>
      </c>
      <c r="D161" s="18">
        <f t="shared" si="44"/>
        <v>65.39035462974698</v>
      </c>
      <c r="E161" s="21" t="str">
        <f t="shared" si="45"/>
        <v>Umbra</v>
      </c>
      <c r="F161" s="23">
        <f>IF($E161&lt;&gt;"Umbra",fracil2($S$2,$S$3,$S$4,$A161,$Q$2,$O$3,$Q$4,$U161,$V161,$W161),0)</f>
        <v>0</v>
      </c>
      <c r="G161" s="19">
        <f t="shared" si="46"/>
        <v>69.355256403314215</v>
      </c>
      <c r="H161" s="19">
        <f t="shared" si="47"/>
        <v>-0.41539941288647736</v>
      </c>
      <c r="I161" s="19">
        <f t="shared" si="48"/>
        <v>0.79261853650841796</v>
      </c>
      <c r="J161" s="28">
        <f t="shared" si="49"/>
        <v>5.1433972629473107E-2</v>
      </c>
      <c r="K161" s="24">
        <f t="shared" si="50"/>
        <v>945.8728084335628</v>
      </c>
      <c r="L161" s="32">
        <f t="shared" si="51"/>
        <v>0.54368415150007154</v>
      </c>
      <c r="M161" s="35">
        <f t="shared" si="52"/>
        <v>15.705294565320594</v>
      </c>
      <c r="O161" s="29">
        <f t="shared" si="53"/>
        <v>937.63470173606106</v>
      </c>
      <c r="T161" s="48">
        <v>0.74133101851851846</v>
      </c>
      <c r="U161" s="29">
        <v>-1072.1885353034049</v>
      </c>
      <c r="V161" s="29">
        <v>4685.3332240816089</v>
      </c>
      <c r="W161" s="29">
        <v>4277.2704672796735</v>
      </c>
      <c r="X161" s="4">
        <v>-3.3297218325515305</v>
      </c>
      <c r="Y161" s="4">
        <v>-1.5873463620264725</v>
      </c>
      <c r="Z161" s="4">
        <v>0.41019440374079258</v>
      </c>
      <c r="AA161" s="3">
        <f t="shared" si="58"/>
        <v>3.7114653984739321</v>
      </c>
      <c r="AB161" s="3">
        <f t="shared" si="61"/>
        <v>6.562963262589399</v>
      </c>
      <c r="AC161" s="3">
        <f t="shared" si="59"/>
        <v>3.3735811159169034</v>
      </c>
      <c r="AD161" s="48"/>
      <c r="AE161" s="46">
        <f t="shared" si="54"/>
        <v>41.855223374345201</v>
      </c>
      <c r="AF161" s="46">
        <f t="shared" si="55"/>
        <v>-249.81866985374938</v>
      </c>
      <c r="AG161" s="47">
        <f t="shared" si="56"/>
        <v>65390.35462974698</v>
      </c>
      <c r="AH161" s="45" t="str">
        <f t="shared" si="60"/>
        <v>-249.81867,41.85522,65390</v>
      </c>
      <c r="AI161" s="44">
        <f t="shared" si="62"/>
        <v>912.35989471661912</v>
      </c>
    </row>
    <row r="162" spans="1:35" ht="18" customHeight="1" x14ac:dyDescent="0.25">
      <c r="A162" s="36">
        <f t="shared" si="57"/>
        <v>0.74134258101851858</v>
      </c>
      <c r="B162" s="42">
        <f t="shared" si="42"/>
        <v>41.862648318219186</v>
      </c>
      <c r="C162" s="43">
        <f t="shared" si="43"/>
        <v>110.21969014965003</v>
      </c>
      <c r="D162" s="18">
        <f t="shared" si="44"/>
        <v>65.064282191153325</v>
      </c>
      <c r="E162" s="21" t="str">
        <f t="shared" si="45"/>
        <v>Umbra</v>
      </c>
      <c r="F162" s="23">
        <f>IF($E162&lt;&gt;"Umbra",fracil2($S$2,$S$3,$S$4,$A162,$Q$2,$O$3,$Q$4,$U162,$V162,$W162),0)</f>
        <v>0</v>
      </c>
      <c r="G162" s="19">
        <f t="shared" si="46"/>
        <v>69.352599105829356</v>
      </c>
      <c r="H162" s="19">
        <f t="shared" si="47"/>
        <v>-0.46315752026944118</v>
      </c>
      <c r="I162" s="19">
        <f t="shared" si="48"/>
        <v>0.74486042912545414</v>
      </c>
      <c r="J162" s="28">
        <f t="shared" si="49"/>
        <v>5.0714668061387719E-2</v>
      </c>
      <c r="K162" s="24">
        <f t="shared" si="50"/>
        <v>949.11754408903971</v>
      </c>
      <c r="L162" s="32">
        <f t="shared" si="51"/>
        <v>0.54380454498282027</v>
      </c>
      <c r="M162" s="35">
        <f t="shared" si="52"/>
        <v>15.675861745123335</v>
      </c>
      <c r="O162" s="29">
        <f t="shared" si="53"/>
        <v>940.91692434609365</v>
      </c>
      <c r="T162" s="48">
        <v>0.74134258101851858</v>
      </c>
      <c r="U162" s="29">
        <v>-1075.4876561190383</v>
      </c>
      <c r="V162" s="29">
        <v>4683.7574357465974</v>
      </c>
      <c r="W162" s="29">
        <v>4277.6733976183723</v>
      </c>
      <c r="X162" s="4">
        <v>-3.2698586822969182</v>
      </c>
      <c r="Y162" s="4">
        <v>-1.564843618377298</v>
      </c>
      <c r="Z162" s="4">
        <v>0.39584914782033342</v>
      </c>
      <c r="AA162" s="3">
        <f t="shared" si="58"/>
        <v>3.64656110602836</v>
      </c>
      <c r="AB162" s="3">
        <f t="shared" si="61"/>
        <v>6.6193894236539688</v>
      </c>
      <c r="AC162" s="3">
        <f t="shared" si="59"/>
        <v>3.3087362929605826</v>
      </c>
      <c r="AD162" s="48"/>
      <c r="AE162" s="46">
        <f t="shared" si="54"/>
        <v>41.862648318219186</v>
      </c>
      <c r="AF162" s="46">
        <f t="shared" si="55"/>
        <v>-249.78030985034997</v>
      </c>
      <c r="AG162" s="47">
        <f t="shared" si="56"/>
        <v>65064.282191153325</v>
      </c>
      <c r="AH162" s="45" t="str">
        <f t="shared" si="60"/>
        <v>-249.78031,41.86265,65064</v>
      </c>
      <c r="AI162" s="44">
        <f t="shared" si="62"/>
        <v>915.64227978467068</v>
      </c>
    </row>
    <row r="163" spans="1:35" ht="18" customHeight="1" x14ac:dyDescent="0.25">
      <c r="A163" s="36">
        <f t="shared" si="57"/>
        <v>0.7413541550925925</v>
      </c>
      <c r="B163" s="42">
        <f t="shared" si="42"/>
        <v>41.869912463724077</v>
      </c>
      <c r="C163" s="43">
        <f t="shared" si="43"/>
        <v>110.25730393401705</v>
      </c>
      <c r="D163" s="18">
        <f t="shared" si="44"/>
        <v>64.737135318961919</v>
      </c>
      <c r="E163" s="21" t="str">
        <f t="shared" si="45"/>
        <v>Umbra</v>
      </c>
      <c r="F163" s="23">
        <f>IF($E163&lt;&gt;"Umbra",fracil2($S$2,$S$3,$S$4,$A163,$Q$2,$O$3,$Q$4,$U163,$V163,$W163),0)</f>
        <v>0</v>
      </c>
      <c r="G163" s="19">
        <f t="shared" si="46"/>
        <v>69.350028422893573</v>
      </c>
      <c r="H163" s="19">
        <f t="shared" si="47"/>
        <v>-0.51020191608616172</v>
      </c>
      <c r="I163" s="19">
        <f t="shared" si="48"/>
        <v>0.69781603330873354</v>
      </c>
      <c r="J163" s="28">
        <f t="shared" si="49"/>
        <v>4.9995878279632991E-2</v>
      </c>
      <c r="K163" s="24">
        <f t="shared" si="50"/>
        <v>952.29740687763206</v>
      </c>
      <c r="L163" s="32">
        <f t="shared" si="51"/>
        <v>0.54392320441617692</v>
      </c>
      <c r="M163" s="35">
        <f t="shared" si="52"/>
        <v>15.646826591137421</v>
      </c>
      <c r="O163" s="29">
        <f t="shared" si="53"/>
        <v>944.1344997953521</v>
      </c>
      <c r="T163" s="48">
        <v>0.7413541550925925</v>
      </c>
      <c r="U163" s="29">
        <v>-1078.7269073432351</v>
      </c>
      <c r="V163" s="29">
        <v>4682.2042332933661</v>
      </c>
      <c r="W163" s="29">
        <v>4278.0620417063064</v>
      </c>
      <c r="X163" s="4">
        <v>-3.2096450041140567</v>
      </c>
      <c r="Y163" s="4">
        <v>-1.5420147181319164</v>
      </c>
      <c r="Z163" s="4">
        <v>0.38157919528351947</v>
      </c>
      <c r="AA163" s="3">
        <f t="shared" si="58"/>
        <v>3.581233464274983</v>
      </c>
      <c r="AB163" s="3">
        <f t="shared" si="61"/>
        <v>6.6556791094691397</v>
      </c>
      <c r="AC163" s="3">
        <f t="shared" si="59"/>
        <v>3.2434707036139527</v>
      </c>
      <c r="AD163" s="48"/>
      <c r="AE163" s="46">
        <f t="shared" si="54"/>
        <v>41.869912463724077</v>
      </c>
      <c r="AF163" s="46">
        <f t="shared" si="55"/>
        <v>-249.74269606598295</v>
      </c>
      <c r="AG163" s="47">
        <f t="shared" si="56"/>
        <v>64737.135318961919</v>
      </c>
      <c r="AH163" s="45" t="str">
        <f t="shared" si="60"/>
        <v>-249.74270,41.86991,64737</v>
      </c>
      <c r="AI163" s="44">
        <f t="shared" si="62"/>
        <v>918.86000901728676</v>
      </c>
    </row>
    <row r="164" spans="1:35" ht="18" customHeight="1" x14ac:dyDescent="0.25">
      <c r="A164" s="36">
        <f t="shared" si="57"/>
        <v>0.74136572916666665</v>
      </c>
      <c r="B164" s="42">
        <f t="shared" si="42"/>
        <v>41.87701524538587</v>
      </c>
      <c r="C164" s="43">
        <f t="shared" si="43"/>
        <v>110.29416750050765</v>
      </c>
      <c r="D164" s="18">
        <f t="shared" si="44"/>
        <v>64.409055815376632</v>
      </c>
      <c r="E164" s="21" t="str">
        <f t="shared" si="45"/>
        <v>Umbra</v>
      </c>
      <c r="F164" s="23">
        <f>IF($E164&lt;&gt;"Umbra",fracil2($S$2,$S$3,$S$4,$A164,$Q$2,$O$3,$Q$4,$U164,$V164,$W164),0)</f>
        <v>0</v>
      </c>
      <c r="G164" s="19">
        <f t="shared" si="46"/>
        <v>69.347547289068359</v>
      </c>
      <c r="H164" s="19">
        <f t="shared" si="47"/>
        <v>-0.55653240702809459</v>
      </c>
      <c r="I164" s="19">
        <f t="shared" si="48"/>
        <v>0.65148554236680067</v>
      </c>
      <c r="J164" s="28">
        <f t="shared" si="49"/>
        <v>4.9277955179462103E-2</v>
      </c>
      <c r="K164" s="24">
        <f t="shared" si="50"/>
        <v>955.41210103897708</v>
      </c>
      <c r="L164" s="32">
        <f t="shared" si="51"/>
        <v>0.54404011362163696</v>
      </c>
      <c r="M164" s="35">
        <f t="shared" si="52"/>
        <v>15.618187362935622</v>
      </c>
      <c r="O164" s="29">
        <f t="shared" si="53"/>
        <v>947.28711457199984</v>
      </c>
      <c r="T164" s="48">
        <v>0.74136572916666665</v>
      </c>
      <c r="U164" s="29">
        <v>-1081.9057378371258</v>
      </c>
      <c r="V164" s="29">
        <v>4680.674040773546</v>
      </c>
      <c r="W164" s="29">
        <v>4278.436453239352</v>
      </c>
      <c r="X164" s="4">
        <v>-3.1491420254047129</v>
      </c>
      <c r="Y164" s="4">
        <v>-1.5188852598482845</v>
      </c>
      <c r="Z164" s="4">
        <v>0.3673972339149173</v>
      </c>
      <c r="AA164" s="3">
        <f t="shared" si="58"/>
        <v>3.5155495525227378</v>
      </c>
      <c r="AB164" s="3">
        <f t="shared" si="61"/>
        <v>6.6917326149574583</v>
      </c>
      <c r="AC164" s="3">
        <f t="shared" si="59"/>
        <v>3.17785157359125</v>
      </c>
      <c r="AD164" s="48"/>
      <c r="AE164" s="46">
        <f t="shared" si="54"/>
        <v>41.87701524538587</v>
      </c>
      <c r="AF164" s="46">
        <f t="shared" si="55"/>
        <v>-249.70583249949235</v>
      </c>
      <c r="AG164" s="47">
        <f t="shared" si="56"/>
        <v>64409.055815376632</v>
      </c>
      <c r="AH164" s="45" t="str">
        <f t="shared" si="60"/>
        <v>-249.70583,41.87702,64409</v>
      </c>
      <c r="AI164" s="44">
        <f t="shared" si="62"/>
        <v>922.01276817262567</v>
      </c>
    </row>
    <row r="165" spans="1:35" ht="18" customHeight="1" x14ac:dyDescent="0.25">
      <c r="A165" s="36">
        <f t="shared" si="57"/>
        <v>0.7413773032407408</v>
      </c>
      <c r="B165" s="42">
        <f t="shared" si="42"/>
        <v>41.883957506875262</v>
      </c>
      <c r="C165" s="43">
        <f t="shared" si="43"/>
        <v>110.33028077886645</v>
      </c>
      <c r="D165" s="18">
        <f t="shared" si="44"/>
        <v>64.080127571811317</v>
      </c>
      <c r="E165" s="21" t="str">
        <f t="shared" si="45"/>
        <v>Umbra</v>
      </c>
      <c r="F165" s="23">
        <f>IF($E165&lt;&gt;"Umbra",fracil2($S$2,$S$3,$S$4,$A165,$Q$2,$O$3,$Q$4,$U165,$V165,$W165),0)</f>
        <v>0</v>
      </c>
      <c r="G165" s="19">
        <f t="shared" si="46"/>
        <v>69.345154039367046</v>
      </c>
      <c r="H165" s="19">
        <f t="shared" si="47"/>
        <v>-0.60215507021986237</v>
      </c>
      <c r="I165" s="19">
        <f t="shared" si="48"/>
        <v>0.6058628791750329</v>
      </c>
      <c r="J165" s="28">
        <f t="shared" si="49"/>
        <v>4.8561166678034333E-2</v>
      </c>
      <c r="K165" s="24">
        <f t="shared" si="50"/>
        <v>958.46167635284405</v>
      </c>
      <c r="L165" s="32">
        <f t="shared" si="51"/>
        <v>0.54415529035019838</v>
      </c>
      <c r="M165" s="35">
        <f t="shared" si="52"/>
        <v>15.589941644211589</v>
      </c>
      <c r="O165" s="29">
        <f t="shared" si="53"/>
        <v>950.37480793391012</v>
      </c>
      <c r="T165" s="48">
        <v>0.7413773032407408</v>
      </c>
      <c r="U165" s="29">
        <v>-1085.024224938458</v>
      </c>
      <c r="V165" s="29">
        <v>4679.1669831090176</v>
      </c>
      <c r="W165" s="29">
        <v>4278.7967649441025</v>
      </c>
      <c r="X165" s="4">
        <v>-3.0884024926654714</v>
      </c>
      <c r="Y165" s="4">
        <v>-1.495478145845601</v>
      </c>
      <c r="Z165" s="4">
        <v>0.35331351667518179</v>
      </c>
      <c r="AA165" s="3">
        <f t="shared" si="58"/>
        <v>3.4495674051204563</v>
      </c>
      <c r="AB165" s="3">
        <f t="shared" si="61"/>
        <v>6.7218506850504989</v>
      </c>
      <c r="AC165" s="3">
        <f t="shared" si="59"/>
        <v>3.111937105773213</v>
      </c>
      <c r="AD165" s="48"/>
      <c r="AE165" s="46">
        <f t="shared" si="54"/>
        <v>41.883957506875262</v>
      </c>
      <c r="AF165" s="46">
        <f t="shared" si="55"/>
        <v>-249.66971922113356</v>
      </c>
      <c r="AG165" s="47">
        <f t="shared" si="56"/>
        <v>64080.127571811317</v>
      </c>
      <c r="AH165" s="45" t="str">
        <f t="shared" si="60"/>
        <v>-249.66972,41.88396,64080</v>
      </c>
      <c r="AI165" s="44">
        <f t="shared" si="62"/>
        <v>925.10059677477136</v>
      </c>
    </row>
    <row r="166" spans="1:35" ht="18" customHeight="1" x14ac:dyDescent="0.25">
      <c r="A166" s="36">
        <f t="shared" si="57"/>
        <v>0.74138887731481484</v>
      </c>
      <c r="B166" s="42">
        <f t="shared" si="42"/>
        <v>41.890742649078923</v>
      </c>
      <c r="C166" s="43">
        <f t="shared" si="43"/>
        <v>110.36565868563969</v>
      </c>
      <c r="D166" s="18">
        <f t="shared" si="44"/>
        <v>63.750312108452817</v>
      </c>
      <c r="E166" s="21" t="str">
        <f t="shared" si="45"/>
        <v>Umbra</v>
      </c>
      <c r="F166" s="23">
        <f>IF($E166&lt;&gt;"Umbra",fracil2($S$2,$S$3,$S$4,$A166,$Q$2,$O$3,$Q$4,$U166,$V166,$W166),0)</f>
        <v>0</v>
      </c>
      <c r="G166" s="19">
        <f t="shared" si="46"/>
        <v>69.342848022107432</v>
      </c>
      <c r="H166" s="19">
        <f t="shared" si="47"/>
        <v>-0.64709362272055204</v>
      </c>
      <c r="I166" s="19">
        <f t="shared" si="48"/>
        <v>0.56092432667434322</v>
      </c>
      <c r="J166" s="28">
        <f t="shared" si="49"/>
        <v>4.7845548376673118E-2</v>
      </c>
      <c r="K166" s="24">
        <f t="shared" si="50"/>
        <v>961.44744105642508</v>
      </c>
      <c r="L166" s="32">
        <f t="shared" si="51"/>
        <v>0.54426878865832695</v>
      </c>
      <c r="M166" s="35">
        <f t="shared" si="52"/>
        <v>15.562074626070862</v>
      </c>
      <c r="O166" s="29">
        <f t="shared" si="53"/>
        <v>953.39889121136787</v>
      </c>
      <c r="T166" s="48">
        <v>0.74138887731481484</v>
      </c>
      <c r="U166" s="29">
        <v>-1088.083604192306</v>
      </c>
      <c r="V166" s="29">
        <v>4677.6826227928814</v>
      </c>
      <c r="W166" s="29">
        <v>4279.1432412927315</v>
      </c>
      <c r="X166" s="4">
        <v>-3.0274588589968268</v>
      </c>
      <c r="Y166" s="4">
        <v>-1.4718088567782057</v>
      </c>
      <c r="Z166" s="4">
        <v>0.33933326548057396</v>
      </c>
      <c r="AA166" s="3">
        <f t="shared" si="58"/>
        <v>3.3833231472726406</v>
      </c>
      <c r="AB166" s="3">
        <f t="shared" si="61"/>
        <v>6.7482635428041293</v>
      </c>
      <c r="AC166" s="3">
        <f t="shared" si="59"/>
        <v>3.045763633472677</v>
      </c>
      <c r="AD166" s="48"/>
      <c r="AE166" s="46">
        <f t="shared" si="54"/>
        <v>41.890742649078923</v>
      </c>
      <c r="AF166" s="46">
        <f t="shared" si="55"/>
        <v>-249.63434131436031</v>
      </c>
      <c r="AG166" s="47">
        <f t="shared" si="56"/>
        <v>63750.312108452817</v>
      </c>
      <c r="AH166" s="45" t="str">
        <f t="shared" si="60"/>
        <v>-249.63434,41.89074,63750</v>
      </c>
      <c r="AI166" s="44">
        <f t="shared" si="62"/>
        <v>928.12480604141342</v>
      </c>
    </row>
    <row r="167" spans="1:35" ht="18" customHeight="1" x14ac:dyDescent="0.25">
      <c r="A167" s="36">
        <f t="shared" si="57"/>
        <v>0.74140045138888888</v>
      </c>
      <c r="B167" s="42">
        <f t="shared" si="42"/>
        <v>41.897361987565247</v>
      </c>
      <c r="C167" s="43">
        <f t="shared" si="43"/>
        <v>110.40024551055933</v>
      </c>
      <c r="D167" s="18">
        <f t="shared" si="44"/>
        <v>63.420172304919106</v>
      </c>
      <c r="E167" s="21" t="str">
        <f t="shared" si="45"/>
        <v>Umbra</v>
      </c>
      <c r="F167" s="23">
        <f>IF($E167&lt;&gt;"Umbra",fracil2($S$2,$S$3,$S$4,$A167,$Q$2,$O$3,$Q$4,$U167,$V167,$W167),0)</f>
        <v>0</v>
      </c>
      <c r="G167" s="19">
        <f t="shared" si="46"/>
        <v>69.340623747029227</v>
      </c>
      <c r="H167" s="19">
        <f t="shared" si="47"/>
        <v>-0.69128579770104859</v>
      </c>
      <c r="I167" s="19">
        <f t="shared" si="48"/>
        <v>0.51673215169384668</v>
      </c>
      <c r="J167" s="28">
        <f t="shared" si="49"/>
        <v>4.7132489085083246E-2</v>
      </c>
      <c r="K167" s="24">
        <f t="shared" si="50"/>
        <v>964.36477284995863</v>
      </c>
      <c r="L167" s="32">
        <f t="shared" si="51"/>
        <v>0.54438048522488447</v>
      </c>
      <c r="M167" s="35">
        <f t="shared" si="52"/>
        <v>15.534631772281813</v>
      </c>
      <c r="O167" s="29">
        <f t="shared" si="53"/>
        <v>956.35467681538614</v>
      </c>
      <c r="T167" s="48">
        <v>0.74140045138888888</v>
      </c>
      <c r="U167" s="29">
        <v>-1091.0796507460605</v>
      </c>
      <c r="V167" s="29">
        <v>4676.2231793317642</v>
      </c>
      <c r="W167" s="29">
        <v>4279.4755389559205</v>
      </c>
      <c r="X167" s="4">
        <v>-2.9664564863835636</v>
      </c>
      <c r="Y167" s="4">
        <v>-1.4479373988172526</v>
      </c>
      <c r="Z167" s="4">
        <v>0.32548704918943994</v>
      </c>
      <c r="AA167" s="3">
        <f t="shared" si="58"/>
        <v>3.316975823802585</v>
      </c>
      <c r="AB167" s="3">
        <f t="shared" si="61"/>
        <v>6.7584482259241847</v>
      </c>
      <c r="AC167" s="3">
        <f t="shared" si="59"/>
        <v>2.979490290169466</v>
      </c>
      <c r="AD167" s="48"/>
      <c r="AE167" s="46">
        <f t="shared" si="54"/>
        <v>41.897361987565247</v>
      </c>
      <c r="AF167" s="46">
        <f t="shared" si="55"/>
        <v>-249.59975448944067</v>
      </c>
      <c r="AG167" s="47">
        <f t="shared" si="56"/>
        <v>63420.172304919106</v>
      </c>
      <c r="AH167" s="45" t="str">
        <f t="shared" si="60"/>
        <v>-249.59975,41.89736,63420</v>
      </c>
      <c r="AI167" s="44">
        <f t="shared" si="62"/>
        <v>931.08071009063406</v>
      </c>
    </row>
    <row r="168" spans="1:35" ht="18" customHeight="1" x14ac:dyDescent="0.25">
      <c r="A168" s="36">
        <f t="shared" si="57"/>
        <v>0.74141202546296292</v>
      </c>
      <c r="B168" s="42">
        <f t="shared" si="42"/>
        <v>41.90382412194019</v>
      </c>
      <c r="C168" s="43">
        <f t="shared" si="43"/>
        <v>110.43408646581405</v>
      </c>
      <c r="D168" s="18">
        <f t="shared" si="44"/>
        <v>63.089429140970424</v>
      </c>
      <c r="E168" s="21" t="str">
        <f t="shared" si="45"/>
        <v>Umbra</v>
      </c>
      <c r="F168" s="23">
        <f>IF($E168&lt;&gt;"Umbra",fracil2($S$2,$S$3,$S$4,$A168,$Q$2,$O$3,$Q$4,$U168,$V168,$W168),0)</f>
        <v>0</v>
      </c>
      <c r="G168" s="19">
        <f t="shared" si="46"/>
        <v>69.338482485657693</v>
      </c>
      <c r="H168" s="19">
        <f t="shared" si="47"/>
        <v>-0.73479078025513989</v>
      </c>
      <c r="I168" s="19">
        <f t="shared" si="48"/>
        <v>0.47322716913975538</v>
      </c>
      <c r="J168" s="28">
        <f t="shared" si="49"/>
        <v>4.6421554342931978E-2</v>
      </c>
      <c r="K168" s="24">
        <f t="shared" si="50"/>
        <v>967.21752579939107</v>
      </c>
      <c r="L168" s="32">
        <f t="shared" si="51"/>
        <v>0.5444905073518802</v>
      </c>
      <c r="M168" s="35">
        <f t="shared" si="52"/>
        <v>15.50757344868099</v>
      </c>
      <c r="O168" s="29">
        <f t="shared" si="53"/>
        <v>959.24604859546366</v>
      </c>
      <c r="T168" s="48">
        <v>0.74141202546296292</v>
      </c>
      <c r="U168" s="29">
        <v>-1094.0159433210163</v>
      </c>
      <c r="V168" s="29">
        <v>4674.7870826857206</v>
      </c>
      <c r="W168" s="29">
        <v>4279.7941958385154</v>
      </c>
      <c r="X168" s="4">
        <v>-2.9053869998800641</v>
      </c>
      <c r="Y168" s="4">
        <v>-1.4238644477226976</v>
      </c>
      <c r="Z168" s="4">
        <v>0.31176985966099569</v>
      </c>
      <c r="AA168" s="3">
        <f t="shared" si="58"/>
        <v>3.2505175018685533</v>
      </c>
      <c r="AB168" s="3">
        <f t="shared" si="61"/>
        <v>6.769412791957989</v>
      </c>
      <c r="AC168" s="3">
        <f t="shared" si="59"/>
        <v>2.9131094283317278</v>
      </c>
      <c r="AD168" s="48"/>
      <c r="AE168" s="46">
        <f t="shared" si="54"/>
        <v>41.90382412194019</v>
      </c>
      <c r="AF168" s="46">
        <f t="shared" si="55"/>
        <v>-249.56591353418594</v>
      </c>
      <c r="AG168" s="47">
        <f t="shared" si="56"/>
        <v>63089.429140970424</v>
      </c>
      <c r="AH168" s="45" t="str">
        <f t="shared" si="60"/>
        <v>-249.56591,41.90382,63089</v>
      </c>
      <c r="AI168" s="44">
        <f t="shared" si="62"/>
        <v>933.97219191929696</v>
      </c>
    </row>
    <row r="169" spans="1:35" ht="18" customHeight="1" x14ac:dyDescent="0.25">
      <c r="A169" s="36">
        <f t="shared" si="57"/>
        <v>0.7414236111111111</v>
      </c>
      <c r="B169" s="42">
        <f t="shared" si="42"/>
        <v>41.910128503730633</v>
      </c>
      <c r="C169" s="43">
        <f t="shared" si="43"/>
        <v>110.46716924482466</v>
      </c>
      <c r="D169" s="18">
        <f t="shared" si="44"/>
        <v>62.758254544286501</v>
      </c>
      <c r="E169" s="21" t="str">
        <f t="shared" si="45"/>
        <v>Umbra</v>
      </c>
      <c r="F169" s="23">
        <f>IF($E169&lt;&gt;"Umbra",fracil2($S$2,$S$3,$S$4,$A169,$Q$2,$O$3,$Q$4,$U169,$V169,$W169),0)</f>
        <v>0</v>
      </c>
      <c r="G169" s="19">
        <f t="shared" si="46"/>
        <v>69.336417054528155</v>
      </c>
      <c r="H169" s="19">
        <f t="shared" si="47"/>
        <v>-0.77760004577393682</v>
      </c>
      <c r="I169" s="19">
        <f t="shared" si="48"/>
        <v>0.43041790362095844</v>
      </c>
      <c r="J169" s="28">
        <f t="shared" si="49"/>
        <v>4.5713343811353273E-2</v>
      </c>
      <c r="K169" s="24">
        <f t="shared" si="50"/>
        <v>970.00473660384114</v>
      </c>
      <c r="L169" s="32">
        <f t="shared" si="51"/>
        <v>0.54459886307631</v>
      </c>
      <c r="M169" s="35">
        <f t="shared" si="52"/>
        <v>15.480910969862078</v>
      </c>
      <c r="O169" s="29">
        <f t="shared" si="53"/>
        <v>962.07202278365287</v>
      </c>
      <c r="T169" s="48">
        <v>0.7414236111111111</v>
      </c>
      <c r="U169" s="29">
        <v>-1096.8919350493629</v>
      </c>
      <c r="V169" s="29">
        <v>4673.3747665852625</v>
      </c>
      <c r="W169" s="29">
        <v>4280.0992868154826</v>
      </c>
      <c r="X169" s="4">
        <v>-2.8443267777551879</v>
      </c>
      <c r="Y169" s="4">
        <v>-1.3996241152011553</v>
      </c>
      <c r="Z169" s="4">
        <v>0.29819570264687867</v>
      </c>
      <c r="AA169" s="3">
        <f t="shared" si="58"/>
        <v>3.1840325311756619</v>
      </c>
      <c r="AB169" s="3">
        <f t="shared" si="61"/>
        <v>6.764989877498822</v>
      </c>
      <c r="AC169" s="3">
        <f t="shared" si="59"/>
        <v>2.8467056001020392</v>
      </c>
      <c r="AD169" s="48"/>
      <c r="AE169" s="46">
        <f t="shared" si="54"/>
        <v>41.910128503730633</v>
      </c>
      <c r="AF169" s="46">
        <f t="shared" si="55"/>
        <v>-249.53283075517533</v>
      </c>
      <c r="AG169" s="47">
        <f t="shared" si="56"/>
        <v>62758.254544286501</v>
      </c>
      <c r="AH169" s="45" t="str">
        <f t="shared" si="60"/>
        <v>-249.53283,41.91013,62758</v>
      </c>
      <c r="AI169" s="44">
        <f t="shared" si="62"/>
        <v>936.79826935722144</v>
      </c>
    </row>
    <row r="170" spans="1:35" ht="18" customHeight="1" x14ac:dyDescent="0.25">
      <c r="A170" s="36">
        <f t="shared" si="57"/>
        <v>0.741435173611111</v>
      </c>
      <c r="B170" s="42">
        <f t="shared" si="42"/>
        <v>41.916265981679686</v>
      </c>
      <c r="C170" s="43">
        <f t="shared" si="43"/>
        <v>110.49944688956717</v>
      </c>
      <c r="D170" s="18">
        <f t="shared" si="44"/>
        <v>62.427303508594377</v>
      </c>
      <c r="E170" s="21" t="str">
        <f t="shared" si="45"/>
        <v>Umbra</v>
      </c>
      <c r="F170" s="23">
        <f>IF($E170&lt;&gt;"Umbra",fracil2($S$2,$S$3,$S$4,$A170,$Q$2,$O$3,$Q$4,$U170,$V170,$W170),0)</f>
        <v>0</v>
      </c>
      <c r="G170" s="19">
        <f t="shared" si="46"/>
        <v>69.33443543357599</v>
      </c>
      <c r="H170" s="19">
        <f t="shared" si="47"/>
        <v>-0.81965209472343659</v>
      </c>
      <c r="I170" s="19">
        <f t="shared" si="48"/>
        <v>0.38836585467145868</v>
      </c>
      <c r="J170" s="28">
        <f t="shared" si="49"/>
        <v>4.5009476866994899E-2</v>
      </c>
      <c r="K170" s="24">
        <f t="shared" si="50"/>
        <v>972.72248942060264</v>
      </c>
      <c r="L170" s="32">
        <f t="shared" si="51"/>
        <v>0.54470537037976119</v>
      </c>
      <c r="M170" s="35">
        <f t="shared" si="52"/>
        <v>15.454679176925447</v>
      </c>
      <c r="O170" s="29">
        <f t="shared" si="53"/>
        <v>964.82860348489555</v>
      </c>
      <c r="T170" s="48">
        <v>0.741435173611111</v>
      </c>
      <c r="U170" s="29">
        <v>-1099.7031207307264</v>
      </c>
      <c r="V170" s="29">
        <v>4671.9886269883091</v>
      </c>
      <c r="W170" s="29">
        <v>4280.3904914626473</v>
      </c>
      <c r="X170" s="4">
        <v>-2.7834422295262606</v>
      </c>
      <c r="Y170" s="4">
        <v>-1.3752872547161834</v>
      </c>
      <c r="Z170" s="4">
        <v>0.28479777364126646</v>
      </c>
      <c r="AA170" s="3">
        <f t="shared" si="58"/>
        <v>3.1177035538944233</v>
      </c>
      <c r="AB170" s="3">
        <f t="shared" si="61"/>
        <v>6.7622246477889654</v>
      </c>
      <c r="AC170" s="3">
        <f t="shared" si="59"/>
        <v>2.7804615355813165</v>
      </c>
      <c r="AD170" s="48"/>
      <c r="AE170" s="46">
        <f t="shared" si="54"/>
        <v>41.916265981679686</v>
      </c>
      <c r="AF170" s="46">
        <f t="shared" si="55"/>
        <v>-249.50055311043283</v>
      </c>
      <c r="AG170" s="47">
        <f t="shared" si="56"/>
        <v>62427.303508594377</v>
      </c>
      <c r="AH170" s="45" t="str">
        <f t="shared" si="60"/>
        <v>-249.50055,41.91627,62427</v>
      </c>
      <c r="AI170" s="44">
        <f t="shared" si="62"/>
        <v>939.55494519738454</v>
      </c>
    </row>
    <row r="171" spans="1:35" ht="18" customHeight="1" x14ac:dyDescent="0.25">
      <c r="A171" s="36">
        <f t="shared" si="57"/>
        <v>0.74144674768518515</v>
      </c>
      <c r="B171" s="42">
        <f t="shared" si="42"/>
        <v>41.922250713717794</v>
      </c>
      <c r="C171" s="43">
        <f t="shared" si="43"/>
        <v>110.53098565389379</v>
      </c>
      <c r="D171" s="18">
        <f t="shared" si="44"/>
        <v>62.095987938463622</v>
      </c>
      <c r="E171" s="21" t="str">
        <f t="shared" si="45"/>
        <v>Umbra</v>
      </c>
      <c r="F171" s="23">
        <f>IF($E171&lt;&gt;"Umbra",fracil2($S$2,$S$3,$S$4,$A171,$Q$2,$O$3,$Q$4,$U171,$V171,$W171),0)</f>
        <v>0</v>
      </c>
      <c r="G171" s="19">
        <f t="shared" si="46"/>
        <v>69.332527143335</v>
      </c>
      <c r="H171" s="19">
        <f t="shared" si="47"/>
        <v>-0.86103804785596194</v>
      </c>
      <c r="I171" s="19">
        <f t="shared" si="48"/>
        <v>0.34697990153893332</v>
      </c>
      <c r="J171" s="28">
        <f t="shared" si="49"/>
        <v>4.4309000413344159E-2</v>
      </c>
      <c r="K171" s="24">
        <f t="shared" si="50"/>
        <v>975.3764353873745</v>
      </c>
      <c r="L171" s="32">
        <f t="shared" si="51"/>
        <v>0.54481028275310928</v>
      </c>
      <c r="M171" s="35">
        <f t="shared" si="52"/>
        <v>15.428826170666753</v>
      </c>
      <c r="O171" s="29">
        <f t="shared" si="53"/>
        <v>967.52150959209496</v>
      </c>
      <c r="T171" s="48">
        <v>0.74144674768518515</v>
      </c>
      <c r="U171" s="29">
        <v>-1102.4556609035249</v>
      </c>
      <c r="V171" s="29">
        <v>4670.6258073100262</v>
      </c>
      <c r="W171" s="29">
        <v>4280.6686045156675</v>
      </c>
      <c r="X171" s="4">
        <v>-2.7226732606467263</v>
      </c>
      <c r="Y171" s="4">
        <v>-1.350835001987216</v>
      </c>
      <c r="Z171" s="4">
        <v>0.27155875229207588</v>
      </c>
      <c r="AA171" s="3">
        <f t="shared" si="58"/>
        <v>3.0514667035346963</v>
      </c>
      <c r="AB171" s="3">
        <f t="shared" si="61"/>
        <v>6.7456402541404472</v>
      </c>
      <c r="AC171" s="3">
        <f t="shared" si="59"/>
        <v>2.7143137872487819</v>
      </c>
      <c r="AD171" s="48"/>
      <c r="AE171" s="46">
        <f t="shared" si="54"/>
        <v>41.922250713717794</v>
      </c>
      <c r="AF171" s="46">
        <f t="shared" si="55"/>
        <v>-249.46901434610621</v>
      </c>
      <c r="AG171" s="47">
        <f t="shared" si="56"/>
        <v>62095.987938463622</v>
      </c>
      <c r="AH171" s="45" t="str">
        <f t="shared" si="60"/>
        <v>-249.46901,41.92225,62096</v>
      </c>
      <c r="AI171" s="44">
        <f t="shared" si="62"/>
        <v>942.2479398166904</v>
      </c>
    </row>
    <row r="172" spans="1:35" ht="18" customHeight="1" x14ac:dyDescent="0.25">
      <c r="A172" s="36">
        <f t="shared" si="57"/>
        <v>0.7414583217592593</v>
      </c>
      <c r="B172" s="42">
        <f t="shared" si="42"/>
        <v>41.928082379934374</v>
      </c>
      <c r="C172" s="43">
        <f t="shared" si="43"/>
        <v>110.56178298374473</v>
      </c>
      <c r="D172" s="18">
        <f t="shared" si="44"/>
        <v>61.764483041389212</v>
      </c>
      <c r="E172" s="21" t="str">
        <f t="shared" si="45"/>
        <v>Umbra</v>
      </c>
      <c r="F172" s="23">
        <f>IF($E172&lt;&gt;"Umbra",fracil2($S$2,$S$3,$S$4,$A172,$Q$2,$O$3,$Q$4,$U172,$V172,$W172),0)</f>
        <v>0</v>
      </c>
      <c r="G172" s="19">
        <f t="shared" si="46"/>
        <v>69.330694662000226</v>
      </c>
      <c r="H172" s="19">
        <f t="shared" si="47"/>
        <v>-0.90175500208284698</v>
      </c>
      <c r="I172" s="19">
        <f t="shared" si="48"/>
        <v>0.30626294731204828</v>
      </c>
      <c r="J172" s="28">
        <f t="shared" si="49"/>
        <v>4.3612580063495748E-2</v>
      </c>
      <c r="K172" s="24">
        <f t="shared" si="50"/>
        <v>977.96640272087768</v>
      </c>
      <c r="L172" s="32">
        <f t="shared" si="51"/>
        <v>0.54491357874311397</v>
      </c>
      <c r="M172" s="35">
        <f t="shared" si="52"/>
        <v>15.403352273813066</v>
      </c>
      <c r="O172" s="29">
        <f t="shared" si="53"/>
        <v>970.15054588143846</v>
      </c>
      <c r="T172" s="48">
        <v>0.7414583217592593</v>
      </c>
      <c r="U172" s="29">
        <v>-1105.1491148275265</v>
      </c>
      <c r="V172" s="29">
        <v>4669.2866920171537</v>
      </c>
      <c r="W172" s="29">
        <v>4280.9337217904094</v>
      </c>
      <c r="X172" s="4">
        <v>-2.6621002634020474</v>
      </c>
      <c r="Y172" s="4">
        <v>-1.3263045482402409</v>
      </c>
      <c r="Z172" s="4">
        <v>0.25849230949964064</v>
      </c>
      <c r="AA172" s="3">
        <f t="shared" si="58"/>
        <v>2.985411167855855</v>
      </c>
      <c r="AB172" s="3">
        <f t="shared" si="61"/>
        <v>6.7266974044510235</v>
      </c>
      <c r="AC172" s="3">
        <f t="shared" si="59"/>
        <v>2.6483517925003031</v>
      </c>
      <c r="AD172" s="48"/>
      <c r="AE172" s="46">
        <f t="shared" si="54"/>
        <v>41.928082379934374</v>
      </c>
      <c r="AF172" s="46">
        <f t="shared" si="55"/>
        <v>-249.43821701625527</v>
      </c>
      <c r="AG172" s="47">
        <f t="shared" si="56"/>
        <v>61764.483041389212</v>
      </c>
      <c r="AH172" s="45" t="str">
        <f t="shared" si="60"/>
        <v>-249.43822,41.92808,61764</v>
      </c>
      <c r="AI172" s="44">
        <f t="shared" si="62"/>
        <v>944.87705742964567</v>
      </c>
    </row>
    <row r="173" spans="1:35" ht="18" customHeight="1" x14ac:dyDescent="0.25">
      <c r="A173" s="36">
        <f t="shared" si="57"/>
        <v>0.74146989583333334</v>
      </c>
      <c r="B173" s="42">
        <f t="shared" si="42"/>
        <v>41.933755254674345</v>
      </c>
      <c r="C173" s="43">
        <f t="shared" si="43"/>
        <v>110.59179931791985</v>
      </c>
      <c r="D173" s="18">
        <f t="shared" si="44"/>
        <v>61.433297685140133</v>
      </c>
      <c r="E173" s="21" t="str">
        <f t="shared" si="45"/>
        <v>Umbra</v>
      </c>
      <c r="F173" s="23">
        <f>IF($E173&lt;&gt;"Umbra",fracil2($S$2,$S$3,$S$4,$A173,$Q$2,$O$3,$Q$4,$U173,$V173,$W173),0)</f>
        <v>0</v>
      </c>
      <c r="G173" s="19">
        <f t="shared" si="46"/>
        <v>69.328932477779844</v>
      </c>
      <c r="H173" s="19">
        <f t="shared" si="47"/>
        <v>-0.94175540768346977</v>
      </c>
      <c r="I173" s="19">
        <f t="shared" si="48"/>
        <v>0.26626254171142549</v>
      </c>
      <c r="J173" s="28">
        <f t="shared" si="49"/>
        <v>4.2921602311987279E-2</v>
      </c>
      <c r="K173" s="24">
        <f t="shared" si="50"/>
        <v>980.48913996200031</v>
      </c>
      <c r="L173" s="32">
        <f t="shared" si="51"/>
        <v>0.54501516699523955</v>
      </c>
      <c r="M173" s="35">
        <f t="shared" si="52"/>
        <v>15.378293256554505</v>
      </c>
      <c r="O173" s="29">
        <f t="shared" si="53"/>
        <v>972.71239974476146</v>
      </c>
      <c r="T173" s="48">
        <v>0.74146989583333334</v>
      </c>
      <c r="U173" s="29">
        <v>-1107.7805176718018</v>
      </c>
      <c r="V173" s="29">
        <v>4667.9729347698849</v>
      </c>
      <c r="W173" s="29">
        <v>4281.1857110787541</v>
      </c>
      <c r="X173" s="4">
        <v>-2.6018637830887537</v>
      </c>
      <c r="Y173" s="4">
        <v>-1.3017581748166809</v>
      </c>
      <c r="Z173" s="4">
        <v>0.2456244837581944</v>
      </c>
      <c r="AA173" s="3">
        <f t="shared" si="58"/>
        <v>2.9196919149924803</v>
      </c>
      <c r="AB173" s="3">
        <f t="shared" si="61"/>
        <v>6.6919346056340663</v>
      </c>
      <c r="AC173" s="3">
        <f t="shared" si="59"/>
        <v>2.582730681757655</v>
      </c>
      <c r="AD173" s="48"/>
      <c r="AE173" s="46">
        <f t="shared" si="54"/>
        <v>41.933755254674345</v>
      </c>
      <c r="AF173" s="46">
        <f t="shared" si="55"/>
        <v>-249.40820068208015</v>
      </c>
      <c r="AG173" s="47">
        <f t="shared" si="56"/>
        <v>61433.297685140133</v>
      </c>
      <c r="AH173" s="45" t="str">
        <f t="shared" si="60"/>
        <v>-249.40820,41.93376,61433</v>
      </c>
      <c r="AI173" s="44">
        <f t="shared" si="62"/>
        <v>947.43898690339722</v>
      </c>
    </row>
    <row r="174" spans="1:35" ht="18" customHeight="1" x14ac:dyDescent="0.25">
      <c r="A174" s="36">
        <f t="shared" si="57"/>
        <v>0.74148148148148152</v>
      </c>
      <c r="B174" s="42">
        <f t="shared" si="42"/>
        <v>41.939282097464314</v>
      </c>
      <c r="C174" s="43">
        <f t="shared" si="43"/>
        <v>110.6211023423981</v>
      </c>
      <c r="D174" s="18">
        <f t="shared" si="44"/>
        <v>61.101867196167404</v>
      </c>
      <c r="E174" s="21" t="str">
        <f t="shared" si="45"/>
        <v>Umbra</v>
      </c>
      <c r="F174" s="23">
        <f>IF($E174&lt;&gt;"Umbra",fracil2($S$2,$S$3,$S$4,$A174,$Q$2,$O$3,$Q$4,$U174,$V174,$W174),0)</f>
        <v>0</v>
      </c>
      <c r="G174" s="19">
        <f t="shared" si="46"/>
        <v>69.327240098361159</v>
      </c>
      <c r="H174" s="19">
        <f t="shared" si="47"/>
        <v>-0.98112765942415614</v>
      </c>
      <c r="I174" s="19">
        <f t="shared" si="48"/>
        <v>0.22689028997073912</v>
      </c>
      <c r="J174" s="28">
        <f t="shared" si="49"/>
        <v>4.2235205158871879E-2</v>
      </c>
      <c r="K174" s="24">
        <f t="shared" si="50"/>
        <v>982.95037755937778</v>
      </c>
      <c r="L174" s="32">
        <f t="shared" si="51"/>
        <v>0.54511525261539651</v>
      </c>
      <c r="M174" s="35">
        <f t="shared" si="52"/>
        <v>15.353591447557877</v>
      </c>
      <c r="O174" s="29">
        <f t="shared" si="53"/>
        <v>975.21286489292265</v>
      </c>
      <c r="T174" s="48">
        <v>0.74148148148148152</v>
      </c>
      <c r="U174" s="29">
        <v>-1110.3554786277277</v>
      </c>
      <c r="V174" s="29">
        <v>4666.6819095001747</v>
      </c>
      <c r="W174" s="29">
        <v>4281.4252649329974</v>
      </c>
      <c r="X174" s="4">
        <v>-2.5419091653837067</v>
      </c>
      <c r="Y174" s="4">
        <v>-1.2771790404521786</v>
      </c>
      <c r="Z174" s="4">
        <v>0.23293926346188942</v>
      </c>
      <c r="AA174" s="3">
        <f t="shared" si="58"/>
        <v>2.8542510763585969</v>
      </c>
      <c r="AB174" s="3">
        <f t="shared" si="61"/>
        <v>6.6563659178045613</v>
      </c>
      <c r="AC174" s="3">
        <f t="shared" si="59"/>
        <v>2.5173930852432802</v>
      </c>
      <c r="AD174" s="48"/>
      <c r="AE174" s="46">
        <f t="shared" si="54"/>
        <v>41.939282097464314</v>
      </c>
      <c r="AF174" s="46">
        <f t="shared" si="55"/>
        <v>-249.3788976576019</v>
      </c>
      <c r="AG174" s="47">
        <f t="shared" si="56"/>
        <v>61101.867196167404</v>
      </c>
      <c r="AH174" s="45" t="str">
        <f t="shared" si="60"/>
        <v>-249.37890,41.93928,61102</v>
      </c>
      <c r="AI174" s="44">
        <f t="shared" si="62"/>
        <v>949.93952133401433</v>
      </c>
    </row>
    <row r="175" spans="1:35" ht="18" customHeight="1" x14ac:dyDescent="0.25">
      <c r="A175" s="36">
        <f t="shared" si="57"/>
        <v>0.74149304398148141</v>
      </c>
      <c r="B175" s="42">
        <f t="shared" si="42"/>
        <v>41.944643327312136</v>
      </c>
      <c r="C175" s="43">
        <f t="shared" si="43"/>
        <v>110.64958040995695</v>
      </c>
      <c r="D175" s="18">
        <f t="shared" si="44"/>
        <v>60.771577667933343</v>
      </c>
      <c r="E175" s="21" t="str">
        <f t="shared" si="45"/>
        <v>Umbra</v>
      </c>
      <c r="F175" s="23">
        <f>IF($E175&lt;&gt;"Umbra",fracil2($S$2,$S$3,$S$4,$A175,$Q$2,$O$3,$Q$4,$U175,$V175,$W175),0)</f>
        <v>0</v>
      </c>
      <c r="G175" s="19">
        <f t="shared" si="46"/>
        <v>69.325617876557061</v>
      </c>
      <c r="H175" s="19">
        <f t="shared" si="47"/>
        <v>-1.0197238504679835</v>
      </c>
      <c r="I175" s="19">
        <f t="shared" si="48"/>
        <v>0.18829409892691173</v>
      </c>
      <c r="J175" s="28">
        <f t="shared" si="49"/>
        <v>4.1556591643279968E-2</v>
      </c>
      <c r="K175" s="24">
        <f t="shared" si="50"/>
        <v>985.34081050803798</v>
      </c>
      <c r="L175" s="32">
        <f t="shared" si="51"/>
        <v>0.54521348100687783</v>
      </c>
      <c r="M175" s="35">
        <f t="shared" si="52"/>
        <v>15.32934441663804</v>
      </c>
      <c r="O175" s="29">
        <f t="shared" si="53"/>
        <v>977.64247036765846</v>
      </c>
      <c r="T175" s="48">
        <v>0.74149304398148141</v>
      </c>
      <c r="U175" s="29">
        <v>-1112.8645316824391</v>
      </c>
      <c r="V175" s="29">
        <v>4665.4185526007295</v>
      </c>
      <c r="W175" s="29">
        <v>4281.6516816808717</v>
      </c>
      <c r="X175" s="4">
        <v>-2.4825337487707122</v>
      </c>
      <c r="Y175" s="4">
        <v>-1.2526950684381288</v>
      </c>
      <c r="Z175" s="4">
        <v>0.22049472533823869</v>
      </c>
      <c r="AA175" s="3">
        <f t="shared" si="58"/>
        <v>2.7894151129182547</v>
      </c>
      <c r="AB175" s="3">
        <f t="shared" si="61"/>
        <v>6.6074351348114417</v>
      </c>
      <c r="AC175" s="3">
        <f t="shared" si="59"/>
        <v>2.4526653688208371</v>
      </c>
      <c r="AD175" s="48"/>
      <c r="AE175" s="46">
        <f t="shared" si="54"/>
        <v>41.944643327312136</v>
      </c>
      <c r="AF175" s="46">
        <f t="shared" si="55"/>
        <v>-249.35041959004303</v>
      </c>
      <c r="AG175" s="47">
        <f t="shared" si="56"/>
        <v>60771.577667933343</v>
      </c>
      <c r="AH175" s="45" t="str">
        <f t="shared" si="60"/>
        <v>-249.35042,41.94464,60772</v>
      </c>
      <c r="AI175" s="44">
        <f t="shared" si="62"/>
        <v>952.36919069417786</v>
      </c>
    </row>
    <row r="176" spans="1:35" ht="18" customHeight="1" x14ac:dyDescent="0.25">
      <c r="A176" s="36">
        <f t="shared" si="57"/>
        <v>0.74150461805555556</v>
      </c>
      <c r="B176" s="42">
        <f t="shared" si="42"/>
        <v>41.949863270046599</v>
      </c>
      <c r="C176" s="43">
        <f t="shared" si="43"/>
        <v>110.67736363313828</v>
      </c>
      <c r="D176" s="18">
        <f t="shared" si="44"/>
        <v>60.441145975923973</v>
      </c>
      <c r="E176" s="21" t="str">
        <f t="shared" si="45"/>
        <v>Umbra</v>
      </c>
      <c r="F176" s="23">
        <f>IF($E176&lt;&gt;"Umbra",fracil2($S$2,$S$3,$S$4,$A176,$Q$2,$O$3,$Q$4,$U176,$V176,$W176),0)</f>
        <v>0</v>
      </c>
      <c r="G176" s="19">
        <f t="shared" si="46"/>
        <v>69.324062635137821</v>
      </c>
      <c r="H176" s="19">
        <f t="shared" si="47"/>
        <v>-1.057715834575528</v>
      </c>
      <c r="I176" s="19">
        <f t="shared" si="48"/>
        <v>0.15030211481936728</v>
      </c>
      <c r="J176" s="28">
        <f t="shared" si="49"/>
        <v>4.0883450242522462E-2</v>
      </c>
      <c r="K176" s="24">
        <f t="shared" si="50"/>
        <v>987.67140369508058</v>
      </c>
      <c r="L176" s="32">
        <f t="shared" si="51"/>
        <v>0.54531026614752787</v>
      </c>
      <c r="M176" s="35">
        <f t="shared" si="52"/>
        <v>15.305441418708723</v>
      </c>
      <c r="O176" s="29">
        <f t="shared" si="53"/>
        <v>980.01232924133342</v>
      </c>
      <c r="T176" s="48">
        <v>0.74150461805555556</v>
      </c>
      <c r="U176" s="29">
        <v>-1115.3187199278896</v>
      </c>
      <c r="V176" s="29">
        <v>4664.177492638265</v>
      </c>
      <c r="W176" s="29">
        <v>4281.8661379843379</v>
      </c>
      <c r="X176" s="4">
        <v>-2.423553120246587</v>
      </c>
      <c r="Y176" s="4">
        <v>-1.228236381071278</v>
      </c>
      <c r="Z176" s="4">
        <v>0.20824726341781025</v>
      </c>
      <c r="AA176" s="3">
        <f t="shared" si="58"/>
        <v>2.7249846342988877</v>
      </c>
      <c r="AB176" s="3">
        <f t="shared" si="61"/>
        <v>6.5588870142672508</v>
      </c>
      <c r="AC176" s="3">
        <f t="shared" si="59"/>
        <v>2.3883489227585111</v>
      </c>
      <c r="AD176" s="48"/>
      <c r="AE176" s="46">
        <f t="shared" si="54"/>
        <v>41.949863270046599</v>
      </c>
      <c r="AF176" s="46">
        <f t="shared" si="55"/>
        <v>-249.32263636686173</v>
      </c>
      <c r="AG176" s="47">
        <f t="shared" si="56"/>
        <v>60441.145975923973</v>
      </c>
      <c r="AH176" s="45" t="str">
        <f t="shared" si="60"/>
        <v>-249.32264,41.94986,60441</v>
      </c>
      <c r="AI176" s="44">
        <f t="shared" si="62"/>
        <v>954.73910743058184</v>
      </c>
    </row>
    <row r="177" spans="1:35" ht="18" customHeight="1" x14ac:dyDescent="0.25">
      <c r="A177" s="36">
        <f t="shared" si="57"/>
        <v>0.74151619212962971</v>
      </c>
      <c r="B177" s="42">
        <f t="shared" si="42"/>
        <v>41.954932340471906</v>
      </c>
      <c r="C177" s="43">
        <f t="shared" si="43"/>
        <v>110.70439249745912</v>
      </c>
      <c r="D177" s="18">
        <f t="shared" si="44"/>
        <v>60.111373812062993</v>
      </c>
      <c r="E177" s="21" t="str">
        <f t="shared" si="45"/>
        <v>Umbra</v>
      </c>
      <c r="F177" s="23">
        <f>IF($E177&lt;&gt;"Umbra",fracil2($S$2,$S$3,$S$4,$A177,$Q$2,$O$3,$Q$4,$U177,$V177,$W177),0)</f>
        <v>0</v>
      </c>
      <c r="G177" s="19">
        <f t="shared" si="46"/>
        <v>69.32257054822567</v>
      </c>
      <c r="H177" s="19">
        <f t="shared" si="47"/>
        <v>-1.0950250964185475</v>
      </c>
      <c r="I177" s="19">
        <f t="shared" si="48"/>
        <v>0.11299285297634776</v>
      </c>
      <c r="J177" s="28">
        <f t="shared" si="49"/>
        <v>4.021778594832992E-2</v>
      </c>
      <c r="K177" s="24">
        <f t="shared" si="50"/>
        <v>989.93723460163949</v>
      </c>
      <c r="L177" s="32">
        <f t="shared" si="51"/>
        <v>0.54540543479555736</v>
      </c>
      <c r="M177" s="35">
        <f t="shared" si="52"/>
        <v>15.281937371427263</v>
      </c>
      <c r="O177" s="29">
        <f t="shared" si="53"/>
        <v>982.31742214805126</v>
      </c>
      <c r="T177" s="48">
        <v>0.74151619212962971</v>
      </c>
      <c r="U177" s="29">
        <v>-1117.7132279163948</v>
      </c>
      <c r="V177" s="29">
        <v>4662.9613376391735</v>
      </c>
      <c r="W177" s="29">
        <v>4282.068375236724</v>
      </c>
      <c r="X177" s="4">
        <v>-2.3651569137060724</v>
      </c>
      <c r="Y177" s="4">
        <v>-1.2038875162536531</v>
      </c>
      <c r="Z177" s="4">
        <v>0.19623151886825912</v>
      </c>
      <c r="AA177" s="3">
        <f t="shared" si="58"/>
        <v>2.6611687633895689</v>
      </c>
      <c r="AB177" s="3">
        <f t="shared" si="61"/>
        <v>6.4956078246027298</v>
      </c>
      <c r="AC177" s="3">
        <f t="shared" si="59"/>
        <v>2.3246529924300394</v>
      </c>
      <c r="AD177" s="48"/>
      <c r="AE177" s="46">
        <f t="shared" si="54"/>
        <v>41.954932340471906</v>
      </c>
      <c r="AF177" s="46">
        <f t="shared" si="55"/>
        <v>-249.29560750254086</v>
      </c>
      <c r="AG177" s="47">
        <f t="shared" si="56"/>
        <v>60111.373812062993</v>
      </c>
      <c r="AH177" s="45" t="str">
        <f t="shared" si="60"/>
        <v>-249.29561,41.95493,60111</v>
      </c>
      <c r="AI177" s="44">
        <f t="shared" si="62"/>
        <v>957.04425345088566</v>
      </c>
    </row>
    <row r="178" spans="1:35" ht="18" customHeight="1" x14ac:dyDescent="0.25">
      <c r="A178" s="36">
        <f t="shared" si="57"/>
        <v>0.74152776620370364</v>
      </c>
      <c r="B178" s="42">
        <f t="shared" si="42"/>
        <v>41.959851564574038</v>
      </c>
      <c r="C178" s="43">
        <f t="shared" si="43"/>
        <v>110.73066766658684</v>
      </c>
      <c r="D178" s="18">
        <f t="shared" si="44"/>
        <v>59.782428784041258</v>
      </c>
      <c r="E178" s="21" t="str">
        <f t="shared" si="45"/>
        <v>Umbra</v>
      </c>
      <c r="F178" s="23">
        <f>IF($E178&lt;&gt;"Umbra",fracil2($S$2,$S$3,$S$4,$A178,$Q$2,$O$3,$Q$4,$U178,$V178,$W178),0)</f>
        <v>0</v>
      </c>
      <c r="G178" s="19">
        <f t="shared" si="46"/>
        <v>69.321138896587129</v>
      </c>
      <c r="H178" s="19">
        <f t="shared" si="47"/>
        <v>-1.1316508133815539</v>
      </c>
      <c r="I178" s="19">
        <f t="shared" si="48"/>
        <v>7.636713601334133E-2</v>
      </c>
      <c r="J178" s="28">
        <f t="shared" si="49"/>
        <v>3.9560278726007099E-2</v>
      </c>
      <c r="K178" s="24">
        <f t="shared" si="50"/>
        <v>992.13842171422891</v>
      </c>
      <c r="L178" s="32">
        <f t="shared" si="51"/>
        <v>0.54549899139434244</v>
      </c>
      <c r="M178" s="35">
        <f t="shared" si="52"/>
        <v>15.258835099647952</v>
      </c>
      <c r="O178" s="29">
        <f t="shared" si="53"/>
        <v>984.5578447991619</v>
      </c>
      <c r="T178" s="48">
        <v>0.74152776620370364</v>
      </c>
      <c r="U178" s="29">
        <v>-1120.0481873128908</v>
      </c>
      <c r="V178" s="29">
        <v>4661.7702133231787</v>
      </c>
      <c r="W178" s="29">
        <v>4282.2585960773386</v>
      </c>
      <c r="X178" s="4">
        <v>-2.3074184035871537</v>
      </c>
      <c r="Y178" s="4">
        <v>-1.179685529654894</v>
      </c>
      <c r="Z178" s="4">
        <v>0.18445732307964119</v>
      </c>
      <c r="AA178" s="3">
        <f t="shared" si="58"/>
        <v>2.5980496804579283</v>
      </c>
      <c r="AB178" s="3">
        <f t="shared" si="61"/>
        <v>6.4239134025173916</v>
      </c>
      <c r="AC178" s="3">
        <f t="shared" si="59"/>
        <v>2.2616600976057497</v>
      </c>
      <c r="AD178" s="48"/>
      <c r="AE178" s="46">
        <f t="shared" si="54"/>
        <v>41.959851564574038</v>
      </c>
      <c r="AF178" s="46">
        <f t="shared" si="55"/>
        <v>-249.26933233341316</v>
      </c>
      <c r="AG178" s="47">
        <f t="shared" si="56"/>
        <v>59782.428784041258</v>
      </c>
      <c r="AH178" s="45" t="str">
        <f t="shared" si="60"/>
        <v>-249.26933,41.95985,59782</v>
      </c>
      <c r="AI178" s="44">
        <f t="shared" si="62"/>
        <v>959.2847249537399</v>
      </c>
    </row>
    <row r="179" spans="1:35" ht="18" customHeight="1" x14ac:dyDescent="0.25">
      <c r="A179" s="36">
        <f t="shared" si="57"/>
        <v>0.74153936342592586</v>
      </c>
      <c r="B179" s="42">
        <f t="shared" si="42"/>
        <v>41.964637954194551</v>
      </c>
      <c r="C179" s="43">
        <f t="shared" si="43"/>
        <v>110.75628114139612</v>
      </c>
      <c r="D179" s="18">
        <f t="shared" si="44"/>
        <v>59.45337605601344</v>
      </c>
      <c r="E179" s="21" t="str">
        <f t="shared" si="45"/>
        <v>Umbra</v>
      </c>
      <c r="F179" s="23">
        <f>IF($E179&lt;&gt;"Umbra",fracil2($S$2,$S$3,$S$4,$A179,$Q$2,$O$3,$Q$4,$U179,$V179,$W179),0)</f>
        <v>0</v>
      </c>
      <c r="G179" s="19">
        <f t="shared" si="46"/>
        <v>69.319766735226466</v>
      </c>
      <c r="H179" s="19">
        <f t="shared" si="47"/>
        <v>-1.1677161160617051</v>
      </c>
      <c r="I179" s="19">
        <f t="shared" si="48"/>
        <v>4.0301833333190151E-2</v>
      </c>
      <c r="J179" s="28">
        <f t="shared" si="49"/>
        <v>3.8909416937152649E-2</v>
      </c>
      <c r="K179" s="24">
        <f t="shared" si="50"/>
        <v>994.28271100708457</v>
      </c>
      <c r="L179" s="32">
        <f t="shared" si="51"/>
        <v>0.5455912282490808</v>
      </c>
      <c r="M179" s="35">
        <f t="shared" si="52"/>
        <v>15.236054250006319</v>
      </c>
      <c r="O179" s="29">
        <f t="shared" si="53"/>
        <v>986.74145078335175</v>
      </c>
      <c r="T179" s="48">
        <v>0.74153936342592586</v>
      </c>
      <c r="U179" s="29">
        <v>-1122.3313652601289</v>
      </c>
      <c r="V179" s="29">
        <v>4660.6003279897732</v>
      </c>
      <c r="W179" s="29">
        <v>4282.4375984630087</v>
      </c>
      <c r="X179" s="4">
        <v>-2.2502178950011156</v>
      </c>
      <c r="Y179" s="4">
        <v>-1.1555863274803493</v>
      </c>
      <c r="Z179" s="4">
        <v>0.17289537091708421</v>
      </c>
      <c r="AA179" s="3">
        <f t="shared" si="58"/>
        <v>2.5354985988020835</v>
      </c>
      <c r="AB179" s="3">
        <f t="shared" si="61"/>
        <v>6.3525644844260984</v>
      </c>
      <c r="AC179" s="3">
        <f t="shared" si="59"/>
        <v>2.1992422637768381</v>
      </c>
      <c r="AD179" s="48"/>
      <c r="AE179" s="46">
        <f t="shared" si="54"/>
        <v>41.964637954194551</v>
      </c>
      <c r="AF179" s="46">
        <f t="shared" si="55"/>
        <v>-249.24371885860387</v>
      </c>
      <c r="AG179" s="47">
        <f t="shared" si="56"/>
        <v>59453.37605601344</v>
      </c>
      <c r="AH179" s="45" t="str">
        <f t="shared" si="60"/>
        <v>-249.24372,41.96464,59453</v>
      </c>
      <c r="AI179" s="44">
        <f t="shared" si="62"/>
        <v>961.4683748471432</v>
      </c>
    </row>
    <row r="180" spans="1:35" ht="18" customHeight="1" x14ac:dyDescent="0.25">
      <c r="A180" s="36">
        <f t="shared" si="57"/>
        <v>0.74155092592592586</v>
      </c>
      <c r="B180" s="42">
        <f t="shared" si="42"/>
        <v>41.969267807807924</v>
      </c>
      <c r="C180" s="43">
        <f t="shared" si="43"/>
        <v>110.78110066282628</v>
      </c>
      <c r="D180" s="18">
        <f t="shared" si="44"/>
        <v>59.126086243325517</v>
      </c>
      <c r="E180" s="21" t="str">
        <f t="shared" si="45"/>
        <v>Umbra</v>
      </c>
      <c r="F180" s="23">
        <f>IF($E180&lt;&gt;"Umbra",fracil2($S$2,$S$3,$S$4,$A180,$Q$2,$O$3,$Q$4,$U180,$V180,$W180),0)</f>
        <v>0</v>
      </c>
      <c r="G180" s="19">
        <f t="shared" si="46"/>
        <v>69.318457505568674</v>
      </c>
      <c r="H180" s="19">
        <f t="shared" si="47"/>
        <v>-1.2030327017950764</v>
      </c>
      <c r="I180" s="19">
        <f t="shared" si="48"/>
        <v>4.9852475998188872E-3</v>
      </c>
      <c r="J180" s="28">
        <f t="shared" si="49"/>
        <v>3.8269246647981529E-2</v>
      </c>
      <c r="K180" s="24">
        <f t="shared" si="50"/>
        <v>996.35909383442413</v>
      </c>
      <c r="L180" s="32">
        <f t="shared" si="51"/>
        <v>0.54568167451367311</v>
      </c>
      <c r="M180" s="35">
        <f t="shared" si="52"/>
        <v>15.21371678090682</v>
      </c>
      <c r="O180" s="29">
        <f t="shared" si="53"/>
        <v>988.85700527678364</v>
      </c>
      <c r="T180" s="48">
        <v>0.74155092592592586</v>
      </c>
      <c r="U180" s="29">
        <v>-1124.551105159486</v>
      </c>
      <c r="V180" s="29">
        <v>4659.4578431796781</v>
      </c>
      <c r="W180" s="29">
        <v>4282.604661960072</v>
      </c>
      <c r="X180" s="4">
        <v>-2.1939212992976178</v>
      </c>
      <c r="Y180" s="4">
        <v>-1.1317506773948409</v>
      </c>
      <c r="Z180" s="4">
        <v>0.16161428125884247</v>
      </c>
      <c r="AA180" s="3">
        <f t="shared" si="58"/>
        <v>2.4739178319423307</v>
      </c>
      <c r="AB180" s="3">
        <f t="shared" si="61"/>
        <v>6.2719014519366203</v>
      </c>
      <c r="AC180" s="3">
        <f t="shared" si="59"/>
        <v>2.1378015004047515</v>
      </c>
      <c r="AD180" s="48"/>
      <c r="AE180" s="46">
        <f t="shared" si="54"/>
        <v>41.969267807807924</v>
      </c>
      <c r="AF180" s="46">
        <f t="shared" si="55"/>
        <v>-249.21889933717372</v>
      </c>
      <c r="AG180" s="47">
        <f t="shared" si="56"/>
        <v>59126.086243325517</v>
      </c>
      <c r="AH180" s="45" t="str">
        <f t="shared" si="60"/>
        <v>-249.21890,41.96927,59126</v>
      </c>
      <c r="AI180" s="44">
        <f t="shared" si="62"/>
        <v>963.58396876426661</v>
      </c>
    </row>
    <row r="181" spans="1:35" ht="18" customHeight="1" x14ac:dyDescent="0.25">
      <c r="A181" s="36">
        <f t="shared" si="57"/>
        <v>0.74156248842592598</v>
      </c>
      <c r="B181" s="42">
        <f t="shared" si="42"/>
        <v>41.973761508312933</v>
      </c>
      <c r="C181" s="43">
        <f t="shared" si="43"/>
        <v>110.80523528942189</v>
      </c>
      <c r="D181" s="18">
        <f t="shared" si="44"/>
        <v>58.799389477676414</v>
      </c>
      <c r="E181" s="21" t="str">
        <f t="shared" si="45"/>
        <v>Umbra</v>
      </c>
      <c r="F181" s="23">
        <f>IF($E181&lt;&gt;"Umbra",fracil2($S$2,$S$3,$S$4,$A181,$Q$2,$O$3,$Q$4,$U181,$V181,$W181),0)</f>
        <v>0</v>
      </c>
      <c r="G181" s="19">
        <f t="shared" si="46"/>
        <v>69.317207895233778</v>
      </c>
      <c r="H181" s="19">
        <f t="shared" si="47"/>
        <v>-1.2377479829797198</v>
      </c>
      <c r="I181" s="19">
        <f t="shared" si="48"/>
        <v>-2.9730033584824511E-2</v>
      </c>
      <c r="J181" s="28">
        <f t="shared" si="49"/>
        <v>3.7637788490012578E-2</v>
      </c>
      <c r="K181" s="24">
        <f t="shared" si="50"/>
        <v>998.37674525166494</v>
      </c>
      <c r="L181" s="32">
        <f t="shared" si="51"/>
        <v>0.54577069102234577</v>
      </c>
      <c r="M181" s="35">
        <f t="shared" si="52"/>
        <v>15.191728064069858</v>
      </c>
      <c r="O181" s="29">
        <f t="shared" si="53"/>
        <v>990.91381927802593</v>
      </c>
      <c r="T181" s="48">
        <v>0.74156248842592598</v>
      </c>
      <c r="U181" s="29">
        <v>-1126.7167964655616</v>
      </c>
      <c r="V181" s="29">
        <v>4658.3381279008572</v>
      </c>
      <c r="W181" s="29">
        <v>4282.7607080132739</v>
      </c>
      <c r="X181" s="4">
        <v>-2.1383645779198575</v>
      </c>
      <c r="Y181" s="4">
        <v>-1.1081160818483813</v>
      </c>
      <c r="Z181" s="4">
        <v>0.1505755397348654</v>
      </c>
      <c r="AA181" s="3">
        <f t="shared" si="58"/>
        <v>2.4131301896333368</v>
      </c>
      <c r="AB181" s="3">
        <f t="shared" si="61"/>
        <v>6.1901512617765837</v>
      </c>
      <c r="AC181" s="3">
        <f t="shared" si="59"/>
        <v>2.0771615777544277</v>
      </c>
      <c r="AD181" s="48"/>
      <c r="AE181" s="46">
        <f t="shared" si="54"/>
        <v>41.973761508312933</v>
      </c>
      <c r="AF181" s="46">
        <f t="shared" si="55"/>
        <v>-249.19476471057811</v>
      </c>
      <c r="AG181" s="47">
        <f t="shared" si="56"/>
        <v>58799.389477676414</v>
      </c>
      <c r="AH181" s="45" t="str">
        <f t="shared" si="60"/>
        <v>-249.19476,41.97376,58799</v>
      </c>
      <c r="AI181" s="44">
        <f t="shared" si="62"/>
        <v>965.64081736549804</v>
      </c>
    </row>
    <row r="182" spans="1:35" ht="18" customHeight="1" x14ac:dyDescent="0.25">
      <c r="A182" s="36">
        <f t="shared" si="57"/>
        <v>0.74157406249999991</v>
      </c>
      <c r="B182" s="42">
        <f t="shared" si="42"/>
        <v>41.978116783997571</v>
      </c>
      <c r="C182" s="43">
        <f t="shared" si="43"/>
        <v>110.82866117044915</v>
      </c>
      <c r="D182" s="18">
        <f t="shared" si="44"/>
        <v>58.473689685009049</v>
      </c>
      <c r="E182" s="21" t="str">
        <f t="shared" si="45"/>
        <v>Umbra</v>
      </c>
      <c r="F182" s="23">
        <f>IF($E182&lt;&gt;"Umbra",fracil2($S$2,$S$3,$S$4,$A182,$Q$2,$O$3,$Q$4,$U182,$V182,$W182),0)</f>
        <v>0</v>
      </c>
      <c r="G182" s="19">
        <f t="shared" si="46"/>
        <v>69.316008049481496</v>
      </c>
      <c r="H182" s="19">
        <f t="shared" si="47"/>
        <v>-1.2718303352072258</v>
      </c>
      <c r="I182" s="19">
        <f t="shared" si="48"/>
        <v>-6.3812385812330508E-2</v>
      </c>
      <c r="J182" s="28">
        <f t="shared" si="49"/>
        <v>3.7016177431019599E-2</v>
      </c>
      <c r="K182" s="24">
        <f t="shared" si="50"/>
        <v>1000.3337510299408</v>
      </c>
      <c r="L182" s="32">
        <f t="shared" si="51"/>
        <v>0.54585824063776112</v>
      </c>
      <c r="M182" s="35">
        <f t="shared" si="52"/>
        <v>15.170116578060053</v>
      </c>
      <c r="O182" s="29">
        <f t="shared" si="53"/>
        <v>992.90992899631237</v>
      </c>
      <c r="T182" s="48">
        <v>0.74157406249999991</v>
      </c>
      <c r="U182" s="29">
        <v>-1128.8270062424751</v>
      </c>
      <c r="V182" s="29">
        <v>4657.2421026175334</v>
      </c>
      <c r="W182" s="29">
        <v>4282.9058216970043</v>
      </c>
      <c r="X182" s="4">
        <v>-2.0836538579715733</v>
      </c>
      <c r="Y182" s="4">
        <v>-1.0847341805935347</v>
      </c>
      <c r="Z182" s="4">
        <v>0.139794970022805</v>
      </c>
      <c r="AA182" s="3">
        <f t="shared" si="58"/>
        <v>2.3532539761002051</v>
      </c>
      <c r="AB182" s="3">
        <f t="shared" si="61"/>
        <v>6.0901939943309626</v>
      </c>
      <c r="AC182" s="3">
        <f t="shared" si="59"/>
        <v>2.0174411354467727</v>
      </c>
      <c r="AD182" s="48"/>
      <c r="AE182" s="46">
        <f t="shared" si="54"/>
        <v>41.978116783997571</v>
      </c>
      <c r="AF182" s="46">
        <f t="shared" si="55"/>
        <v>-249.17133882955085</v>
      </c>
      <c r="AG182" s="47">
        <f t="shared" si="56"/>
        <v>58473.689685009049</v>
      </c>
      <c r="AH182" s="45" t="str">
        <f t="shared" si="60"/>
        <v>-249.17134,41.97812,58474</v>
      </c>
      <c r="AI182" s="44">
        <f t="shared" si="62"/>
        <v>967.63695893367969</v>
      </c>
    </row>
    <row r="183" spans="1:35" ht="18" customHeight="1" x14ac:dyDescent="0.25">
      <c r="A183" s="36">
        <f t="shared" si="57"/>
        <v>0.7415856481481482</v>
      </c>
      <c r="B183" s="42">
        <f t="shared" si="42"/>
        <v>41.982341284465036</v>
      </c>
      <c r="C183" s="43">
        <f t="shared" si="43"/>
        <v>110.85142142972128</v>
      </c>
      <c r="D183" s="18">
        <f t="shared" si="44"/>
        <v>58.148657715033551</v>
      </c>
      <c r="E183" s="21" t="str">
        <f t="shared" si="45"/>
        <v>Umbra</v>
      </c>
      <c r="F183" s="23">
        <f>IF($E183&lt;&gt;"Umbra",fracil2($S$2,$S$3,$S$4,$A183,$Q$2,$O$3,$Q$4,$U183,$V183,$W183),0)</f>
        <v>0</v>
      </c>
      <c r="G183" s="19">
        <f t="shared" si="46"/>
        <v>69.314860437573046</v>
      </c>
      <c r="H183" s="19">
        <f t="shared" si="47"/>
        <v>-1.3053336248138694</v>
      </c>
      <c r="I183" s="19">
        <f t="shared" si="48"/>
        <v>-9.7315675418974124E-2</v>
      </c>
      <c r="J183" s="28">
        <f t="shared" si="49"/>
        <v>3.6404100423769244E-2</v>
      </c>
      <c r="K183" s="24">
        <f t="shared" si="50"/>
        <v>1002.233753231123</v>
      </c>
      <c r="L183" s="32">
        <f t="shared" si="51"/>
        <v>0.54594443593193398</v>
      </c>
      <c r="M183" s="35">
        <f t="shared" si="52"/>
        <v>15.14884508370983</v>
      </c>
      <c r="O183" s="29">
        <f t="shared" si="53"/>
        <v>994.84901176060885</v>
      </c>
      <c r="T183" s="48">
        <v>0.7415856481481482</v>
      </c>
      <c r="U183" s="29">
        <v>-1130.8851017075258</v>
      </c>
      <c r="V183" s="29">
        <v>4656.1681965529369</v>
      </c>
      <c r="W183" s="29">
        <v>4283.0404244776573</v>
      </c>
      <c r="X183" s="4">
        <v>-2.029769183441513</v>
      </c>
      <c r="Y183" s="4">
        <v>-1.0616029340931981</v>
      </c>
      <c r="Z183" s="4">
        <v>0.1292633713739704</v>
      </c>
      <c r="AA183" s="3">
        <f t="shared" si="58"/>
        <v>2.294269545389791</v>
      </c>
      <c r="AB183" s="3">
        <f t="shared" si="61"/>
        <v>5.9923658686960648</v>
      </c>
      <c r="AC183" s="3">
        <f t="shared" si="59"/>
        <v>1.9586212345978931</v>
      </c>
      <c r="AD183" s="48"/>
      <c r="AE183" s="46">
        <f t="shared" si="54"/>
        <v>41.982341284465036</v>
      </c>
      <c r="AF183" s="46">
        <f t="shared" si="55"/>
        <v>-249.14857857027872</v>
      </c>
      <c r="AG183" s="47">
        <f t="shared" si="56"/>
        <v>58148.657715033551</v>
      </c>
      <c r="AH183" s="45" t="str">
        <f t="shared" si="60"/>
        <v>-249.14858,41.98234,58149</v>
      </c>
      <c r="AI183" s="44">
        <f t="shared" si="62"/>
        <v>969.57606991788077</v>
      </c>
    </row>
    <row r="184" spans="1:35" ht="18" customHeight="1" x14ac:dyDescent="0.25">
      <c r="A184" s="36">
        <f t="shared" si="57"/>
        <v>0.74159721064814821</v>
      </c>
      <c r="B184" s="42">
        <f t="shared" si="42"/>
        <v>41.986425600739032</v>
      </c>
      <c r="C184" s="43">
        <f t="shared" si="43"/>
        <v>110.87346277750838</v>
      </c>
      <c r="D184" s="18">
        <f t="shared" si="44"/>
        <v>57.82528949915104</v>
      </c>
      <c r="E184" s="21" t="str">
        <f t="shared" si="45"/>
        <v>Umbra</v>
      </c>
      <c r="F184" s="23">
        <f>IF($E184&lt;&gt;"Umbra",fracil2($S$2,$S$3,$S$4,$A184,$Q$2,$O$3,$Q$4,$U184,$V184,$W184),0)</f>
        <v>0</v>
      </c>
      <c r="G184" s="19">
        <f t="shared" si="46"/>
        <v>69.313767053558607</v>
      </c>
      <c r="H184" s="19">
        <f t="shared" si="47"/>
        <v>-1.3381727309988434</v>
      </c>
      <c r="I184" s="19">
        <f t="shared" si="48"/>
        <v>-0.13015478160394811</v>
      </c>
      <c r="J184" s="28">
        <f t="shared" si="49"/>
        <v>3.5803720491483372E-2</v>
      </c>
      <c r="K184" s="24">
        <f t="shared" si="50"/>
        <v>1004.0723592545733</v>
      </c>
      <c r="L184" s="32">
        <f t="shared" si="51"/>
        <v>0.54602905521299083</v>
      </c>
      <c r="M184" s="35">
        <f t="shared" si="52"/>
        <v>15.127968509281899</v>
      </c>
      <c r="O184" s="29">
        <f t="shared" si="53"/>
        <v>996.72655188314491</v>
      </c>
      <c r="T184" s="48">
        <v>0.74159721064814821</v>
      </c>
      <c r="U184" s="29">
        <v>-1132.8861278436282</v>
      </c>
      <c r="V184" s="29">
        <v>4655.1191851179419</v>
      </c>
      <c r="W184" s="29">
        <v>4283.1644026268614</v>
      </c>
      <c r="X184" s="4">
        <v>-1.976906504429881</v>
      </c>
      <c r="Y184" s="4">
        <v>-1.0388131727673389</v>
      </c>
      <c r="Z184" s="4">
        <v>0.11901357383449808</v>
      </c>
      <c r="AA184" s="3">
        <f t="shared" si="58"/>
        <v>2.2363936071114532</v>
      </c>
      <c r="AB184" s="3">
        <f t="shared" si="61"/>
        <v>5.8903079598759192</v>
      </c>
      <c r="AC184" s="3">
        <f t="shared" si="59"/>
        <v>1.9009186351031726</v>
      </c>
      <c r="AD184" s="48"/>
      <c r="AE184" s="46">
        <f t="shared" si="54"/>
        <v>41.986425600739032</v>
      </c>
      <c r="AF184" s="46">
        <f t="shared" si="55"/>
        <v>-249.12653722249161</v>
      </c>
      <c r="AG184" s="47">
        <f t="shared" si="56"/>
        <v>57825.28949915104</v>
      </c>
      <c r="AH184" s="45" t="str">
        <f t="shared" si="60"/>
        <v>-249.12654,41.98643,57825</v>
      </c>
      <c r="AI184" s="44">
        <f t="shared" si="62"/>
        <v>971.45363466848153</v>
      </c>
    </row>
    <row r="185" spans="1:35" ht="18" customHeight="1" x14ac:dyDescent="0.25">
      <c r="A185" s="36">
        <f t="shared" si="57"/>
        <v>0.74160878472222225</v>
      </c>
      <c r="B185" s="42">
        <f t="shared" si="42"/>
        <v>41.990387251848567</v>
      </c>
      <c r="C185" s="43">
        <f t="shared" si="43"/>
        <v>110.89487944976359</v>
      </c>
      <c r="D185" s="18">
        <f t="shared" si="44"/>
        <v>57.502466230938808</v>
      </c>
      <c r="E185" s="21" t="str">
        <f t="shared" si="45"/>
        <v>Umbra</v>
      </c>
      <c r="F185" s="23">
        <f>IF($E185&lt;&gt;"Umbra",fracil2($S$2,$S$3,$S$4,$A185,$Q$2,$O$3,$Q$4,$U185,$V185,$W185),0)</f>
        <v>0</v>
      </c>
      <c r="G185" s="19">
        <f t="shared" si="46"/>
        <v>69.312725034445606</v>
      </c>
      <c r="H185" s="19">
        <f t="shared" si="47"/>
        <v>-1.3704793255272301</v>
      </c>
      <c r="I185" s="19">
        <f t="shared" si="48"/>
        <v>-0.1624613761323348</v>
      </c>
      <c r="J185" s="28">
        <f t="shared" si="49"/>
        <v>3.5213236350503045E-2</v>
      </c>
      <c r="K185" s="24">
        <f t="shared" si="50"/>
        <v>1005.8574781550611</v>
      </c>
      <c r="L185" s="32">
        <f t="shared" si="51"/>
        <v>0.54611242400992233</v>
      </c>
      <c r="M185" s="35">
        <f t="shared" si="52"/>
        <v>15.107402190047335</v>
      </c>
      <c r="O185" s="29">
        <f t="shared" si="53"/>
        <v>998.55058936230887</v>
      </c>
      <c r="T185" s="48">
        <v>0.74160878472222225</v>
      </c>
      <c r="U185" s="29">
        <v>-1134.8383047622121</v>
      </c>
      <c r="V185" s="29">
        <v>4654.0909429921894</v>
      </c>
      <c r="W185" s="29">
        <v>4283.2784712764724</v>
      </c>
      <c r="X185" s="4">
        <v>-1.9249119296230615</v>
      </c>
      <c r="Y185" s="4">
        <v>-1.0163051320944325</v>
      </c>
      <c r="Z185" s="4">
        <v>0.10901037500519922</v>
      </c>
      <c r="AA185" s="3">
        <f t="shared" si="58"/>
        <v>2.1794598689091371</v>
      </c>
      <c r="AB185" s="3">
        <f t="shared" si="61"/>
        <v>5.7873134755231179</v>
      </c>
      <c r="AC185" s="3">
        <f t="shared" si="59"/>
        <v>1.8441682391623655</v>
      </c>
      <c r="AD185" s="48"/>
      <c r="AE185" s="46">
        <f t="shared" si="54"/>
        <v>41.990387251848567</v>
      </c>
      <c r="AF185" s="46">
        <f t="shared" si="55"/>
        <v>-249.10512055023639</v>
      </c>
      <c r="AG185" s="47">
        <f t="shared" si="56"/>
        <v>57502.466230938808</v>
      </c>
      <c r="AH185" s="45" t="str">
        <f t="shared" si="60"/>
        <v>-249.10512,41.99039,57502</v>
      </c>
      <c r="AI185" s="44">
        <f t="shared" si="62"/>
        <v>973.27769293095059</v>
      </c>
    </row>
    <row r="186" spans="1:35" ht="18" customHeight="1" x14ac:dyDescent="0.25">
      <c r="A186" s="36">
        <f t="shared" si="57"/>
        <v>0.74162038194444435</v>
      </c>
      <c r="B186" s="42">
        <f t="shared" si="42"/>
        <v>41.994223781604475</v>
      </c>
      <c r="C186" s="43">
        <f t="shared" si="43"/>
        <v>110.91564629970574</v>
      </c>
      <c r="D186" s="18">
        <f t="shared" si="44"/>
        <v>57.180628291395806</v>
      </c>
      <c r="E186" s="21" t="str">
        <f t="shared" si="45"/>
        <v>Umbra</v>
      </c>
      <c r="F186" s="23">
        <f>IF($E186&lt;&gt;"Umbra",fracil2($S$2,$S$3,$S$4,$A186,$Q$2,$O$3,$Q$4,$U186,$V186,$W186),0)</f>
        <v>0</v>
      </c>
      <c r="G186" s="19">
        <f t="shared" si="46"/>
        <v>69.311723994142952</v>
      </c>
      <c r="H186" s="19">
        <f t="shared" si="47"/>
        <v>-1.4022181382866143</v>
      </c>
      <c r="I186" s="19">
        <f t="shared" si="48"/>
        <v>-0.19420018889171908</v>
      </c>
      <c r="J186" s="28">
        <f t="shared" si="49"/>
        <v>3.4633767151652679E-2</v>
      </c>
      <c r="K186" s="24">
        <f t="shared" si="50"/>
        <v>1007.5870889530307</v>
      </c>
      <c r="L186" s="32">
        <f t="shared" si="51"/>
        <v>0.54619449822651389</v>
      </c>
      <c r="M186" s="35">
        <f t="shared" si="52"/>
        <v>15.087177384130271</v>
      </c>
      <c r="O186" s="29">
        <f t="shared" si="53"/>
        <v>1000.3190492035034</v>
      </c>
      <c r="T186" s="48">
        <v>0.74162038194444435</v>
      </c>
      <c r="U186" s="29">
        <v>-1136.7400966817913</v>
      </c>
      <c r="V186" s="29">
        <v>4653.0844444983568</v>
      </c>
      <c r="W186" s="29">
        <v>4283.3827239968587</v>
      </c>
      <c r="X186" s="4">
        <v>-1.8738854966494609</v>
      </c>
      <c r="Y186" s="4">
        <v>-0.99412831464456741</v>
      </c>
      <c r="Z186" s="4">
        <v>9.9267971632518437E-2</v>
      </c>
      <c r="AA186" s="3">
        <f t="shared" si="58"/>
        <v>2.1235800174995245</v>
      </c>
      <c r="AB186" s="3">
        <f t="shared" si="61"/>
        <v>5.6674426212155078</v>
      </c>
      <c r="AC186" s="3">
        <f t="shared" si="59"/>
        <v>1.7884821469346071</v>
      </c>
      <c r="AD186" s="48"/>
      <c r="AE186" s="46">
        <f t="shared" si="54"/>
        <v>41.994223781604475</v>
      </c>
      <c r="AF186" s="46">
        <f t="shared" si="55"/>
        <v>-249.08435370029426</v>
      </c>
      <c r="AG186" s="47">
        <f t="shared" si="56"/>
        <v>57180.628291395806</v>
      </c>
      <c r="AH186" s="45" t="str">
        <f t="shared" si="60"/>
        <v>-249.08435,41.99422,57181</v>
      </c>
      <c r="AI186" s="44">
        <f t="shared" si="62"/>
        <v>975.04617182379764</v>
      </c>
    </row>
    <row r="187" spans="1:35" ht="18" customHeight="1" x14ac:dyDescent="0.25">
      <c r="A187" s="36">
        <f t="shared" si="57"/>
        <v>0.74163193287037033</v>
      </c>
      <c r="B187" s="42">
        <f t="shared" si="42"/>
        <v>41.997923832289004</v>
      </c>
      <c r="C187" s="43">
        <f t="shared" si="43"/>
        <v>110.93570811322263</v>
      </c>
      <c r="D187" s="18">
        <f t="shared" si="44"/>
        <v>56.861044527800914</v>
      </c>
      <c r="E187" s="21" t="str">
        <f t="shared" si="45"/>
        <v>Umbra</v>
      </c>
      <c r="F187" s="23">
        <f>IF($E187&lt;&gt;"Umbra",fracil2($S$2,$S$3,$S$4,$A187,$Q$2,$O$3,$Q$4,$U187,$V187,$W187),0)</f>
        <v>0</v>
      </c>
      <c r="G187" s="19">
        <f t="shared" si="46"/>
        <v>69.310775831826859</v>
      </c>
      <c r="H187" s="19">
        <f t="shared" si="47"/>
        <v>-1.4332872803042149</v>
      </c>
      <c r="I187" s="19">
        <f t="shared" si="48"/>
        <v>-0.22526933090931966</v>
      </c>
      <c r="J187" s="28">
        <f t="shared" si="49"/>
        <v>3.4067780999904512E-2</v>
      </c>
      <c r="K187" s="24">
        <f t="shared" si="50"/>
        <v>1009.2566291134135</v>
      </c>
      <c r="L187" s="32">
        <f t="shared" si="51"/>
        <v>0.54627496635914163</v>
      </c>
      <c r="M187" s="35">
        <f t="shared" si="52"/>
        <v>15.067352685041527</v>
      </c>
      <c r="O187" s="29">
        <f t="shared" si="53"/>
        <v>1002.0272103394803</v>
      </c>
      <c r="T187" s="48">
        <v>0.74163193287037033</v>
      </c>
      <c r="U187" s="29">
        <v>-1138.5854582089116</v>
      </c>
      <c r="V187" s="29">
        <v>4652.1030898642084</v>
      </c>
      <c r="W187" s="29">
        <v>4283.477067445333</v>
      </c>
      <c r="X187" s="4">
        <v>-1.8240483585152805</v>
      </c>
      <c r="Y187" s="4">
        <v>-0.97238559839917615</v>
      </c>
      <c r="Z187" s="4">
        <v>8.9823047673960196E-2</v>
      </c>
      <c r="AA187" s="3">
        <f t="shared" si="58"/>
        <v>2.0689983919930559</v>
      </c>
      <c r="AB187" s="3">
        <f t="shared" si="61"/>
        <v>5.5564527896586222</v>
      </c>
      <c r="AC187" s="3">
        <f t="shared" si="59"/>
        <v>1.7341045440310998</v>
      </c>
      <c r="AD187" s="48"/>
      <c r="AE187" s="46">
        <f t="shared" si="54"/>
        <v>41.997923832289004</v>
      </c>
      <c r="AF187" s="46">
        <f t="shared" si="55"/>
        <v>-249.06429188677737</v>
      </c>
      <c r="AG187" s="47">
        <f t="shared" si="56"/>
        <v>56861.044527800914</v>
      </c>
      <c r="AH187" s="45" t="str">
        <f t="shared" si="60"/>
        <v>-249.06429,41.99792,56861</v>
      </c>
      <c r="AI187" s="44">
        <f t="shared" si="62"/>
        <v>976.75434849391286</v>
      </c>
    </row>
    <row r="188" spans="1:35" ht="18" customHeight="1" x14ac:dyDescent="0.25">
      <c r="A188" s="36">
        <f t="shared" si="57"/>
        <v>0.74164350694444447</v>
      </c>
      <c r="B188" s="42">
        <f t="shared" si="42"/>
        <v>42.001509657365339</v>
      </c>
      <c r="C188" s="43">
        <f t="shared" si="43"/>
        <v>110.95517944971648</v>
      </c>
      <c r="D188" s="18">
        <f t="shared" si="44"/>
        <v>56.542095611609511</v>
      </c>
      <c r="E188" s="21" t="str">
        <f t="shared" si="45"/>
        <v>Umbra</v>
      </c>
      <c r="F188" s="23">
        <f>IF($E188&lt;&gt;"Umbra",fracil2($S$2,$S$3,$S$4,$A188,$Q$2,$O$3,$Q$4,$U188,$V188,$W188),0)</f>
        <v>0</v>
      </c>
      <c r="G188" s="19">
        <f t="shared" si="46"/>
        <v>69.309870078368505</v>
      </c>
      <c r="H188" s="19">
        <f t="shared" si="47"/>
        <v>-1.4638584549850613</v>
      </c>
      <c r="I188" s="19">
        <f t="shared" si="48"/>
        <v>-0.25584050559016602</v>
      </c>
      <c r="J188" s="28">
        <f t="shared" si="49"/>
        <v>3.351261486541901E-2</v>
      </c>
      <c r="K188" s="24">
        <f t="shared" si="50"/>
        <v>1010.8756981828168</v>
      </c>
      <c r="L188" s="32">
        <f t="shared" si="51"/>
        <v>0.54635428942204345</v>
      </c>
      <c r="M188" s="35">
        <f t="shared" si="52"/>
        <v>15.047822618606039</v>
      </c>
      <c r="O188" s="29">
        <f t="shared" si="53"/>
        <v>1003.6848655804894</v>
      </c>
      <c r="T188" s="48">
        <v>0.74164350694444447</v>
      </c>
      <c r="U188" s="29">
        <v>-1140.3850916859533</v>
      </c>
      <c r="V188" s="29">
        <v>4651.141377493409</v>
      </c>
      <c r="W188" s="29">
        <v>4283.5622751880883</v>
      </c>
      <c r="X188" s="4">
        <v>-1.7751666729830764</v>
      </c>
      <c r="Y188" s="4">
        <v>-0.95098144981713684</v>
      </c>
      <c r="Z188" s="4">
        <v>8.0625968297374756E-2</v>
      </c>
      <c r="AA188" s="3">
        <f t="shared" si="58"/>
        <v>2.0154609848692178</v>
      </c>
      <c r="AB188" s="3">
        <f t="shared" si="61"/>
        <v>5.4376324933627034</v>
      </c>
      <c r="AC188" s="3">
        <f t="shared" si="59"/>
        <v>1.6807831198008358</v>
      </c>
      <c r="AD188" s="48"/>
      <c r="AE188" s="46">
        <f t="shared" si="54"/>
        <v>42.001509657365339</v>
      </c>
      <c r="AF188" s="46">
        <f t="shared" si="55"/>
        <v>-249.04482055028353</v>
      </c>
      <c r="AG188" s="47">
        <f t="shared" si="56"/>
        <v>56542.095611609511</v>
      </c>
      <c r="AH188" s="45" t="str">
        <f t="shared" si="60"/>
        <v>-249.04482,42.00151,56542</v>
      </c>
      <c r="AI188" s="44">
        <f t="shared" si="62"/>
        <v>978.41201674574381</v>
      </c>
    </row>
    <row r="189" spans="1:35" ht="18" customHeight="1" x14ac:dyDescent="0.25">
      <c r="A189" s="36">
        <f t="shared" si="57"/>
        <v>0.74165508101851862</v>
      </c>
      <c r="B189" s="42">
        <f t="shared" si="42"/>
        <v>42.004975160977203</v>
      </c>
      <c r="C189" s="43">
        <f t="shared" si="43"/>
        <v>110.97402301981251</v>
      </c>
      <c r="D189" s="18">
        <f t="shared" si="44"/>
        <v>56.224592496872901</v>
      </c>
      <c r="E189" s="21" t="str">
        <f t="shared" si="45"/>
        <v>Umbra</v>
      </c>
      <c r="F189" s="23">
        <f>IF($E189&lt;&gt;"Umbra",fracil2($S$2,$S$3,$S$4,$A189,$Q$2,$O$3,$Q$4,$U189,$V189,$W189),0)</f>
        <v>0</v>
      </c>
      <c r="G189" s="19">
        <f t="shared" si="46"/>
        <v>69.309005452697491</v>
      </c>
      <c r="H189" s="19">
        <f t="shared" si="47"/>
        <v>-1.4938671147979774</v>
      </c>
      <c r="I189" s="19">
        <f t="shared" si="48"/>
        <v>-0.28584916540308214</v>
      </c>
      <c r="J189" s="28">
        <f t="shared" si="49"/>
        <v>3.2969894921664751E-2</v>
      </c>
      <c r="K189" s="24">
        <f t="shared" si="50"/>
        <v>1012.4412509596283</v>
      </c>
      <c r="L189" s="32">
        <f t="shared" si="51"/>
        <v>0.54643230795884257</v>
      </c>
      <c r="M189" s="35">
        <f t="shared" si="52"/>
        <v>15.028630962218701</v>
      </c>
      <c r="O189" s="29">
        <f t="shared" si="53"/>
        <v>1005.2888690145732</v>
      </c>
      <c r="T189" s="48">
        <v>0.74165508101851862</v>
      </c>
      <c r="U189" s="29">
        <v>-1142.135585259389</v>
      </c>
      <c r="V189" s="29">
        <v>4650.2012993716689</v>
      </c>
      <c r="W189" s="29">
        <v>4283.6383854301048</v>
      </c>
      <c r="X189" s="4">
        <v>-1.7273838469412557</v>
      </c>
      <c r="Y189" s="4">
        <v>-0.92998467862194056</v>
      </c>
      <c r="Z189" s="4">
        <v>7.1698785311303095E-2</v>
      </c>
      <c r="AA189" s="3">
        <f t="shared" si="58"/>
        <v>1.9631268866174294</v>
      </c>
      <c r="AB189" s="3">
        <f t="shared" si="61"/>
        <v>5.3136814458885402</v>
      </c>
      <c r="AC189" s="3">
        <f t="shared" si="59"/>
        <v>1.6286771595421115</v>
      </c>
      <c r="AD189" s="48"/>
      <c r="AE189" s="46">
        <f t="shared" si="54"/>
        <v>42.004975160977203</v>
      </c>
      <c r="AF189" s="46">
        <f t="shared" si="55"/>
        <v>-249.02597698018749</v>
      </c>
      <c r="AG189" s="47">
        <f t="shared" si="56"/>
        <v>56224.592496872901</v>
      </c>
      <c r="AH189" s="45" t="str">
        <f t="shared" si="60"/>
        <v>-249.02598,42.00498,56225</v>
      </c>
      <c r="AI189" s="44">
        <f t="shared" si="62"/>
        <v>980.01603116895228</v>
      </c>
    </row>
    <row r="190" spans="1:35" ht="18" customHeight="1" x14ac:dyDescent="0.25">
      <c r="A190" s="36">
        <f t="shared" si="57"/>
        <v>0.74166665509259255</v>
      </c>
      <c r="B190" s="42">
        <f t="shared" si="42"/>
        <v>42.008328532010751</v>
      </c>
      <c r="C190" s="43">
        <f t="shared" si="43"/>
        <v>110.99228750204389</v>
      </c>
      <c r="D190" s="18">
        <f t="shared" si="44"/>
        <v>55.908071947173084</v>
      </c>
      <c r="E190" s="21" t="str">
        <f t="shared" si="45"/>
        <v>Umbra</v>
      </c>
      <c r="F190" s="23">
        <f>IF($E190&lt;&gt;"Umbra",fracil2($S$2,$S$3,$S$4,$A190,$Q$2,$O$3,$Q$4,$U190,$V190,$W190),0)</f>
        <v>0</v>
      </c>
      <c r="G190" s="19">
        <f t="shared" si="46"/>
        <v>69.308186087314709</v>
      </c>
      <c r="H190" s="19">
        <f t="shared" si="47"/>
        <v>-1.5233755463648475</v>
      </c>
      <c r="I190" s="19">
        <f t="shared" si="48"/>
        <v>-0.31535759696995225</v>
      </c>
      <c r="J190" s="28">
        <f t="shared" si="49"/>
        <v>3.2438992070705087E-2</v>
      </c>
      <c r="K190" s="24">
        <f t="shared" si="50"/>
        <v>1013.957368392899</v>
      </c>
      <c r="L190" s="32">
        <f t="shared" si="51"/>
        <v>0.54650914918920379</v>
      </c>
      <c r="M190" s="35">
        <f t="shared" si="52"/>
        <v>15.009733584868407</v>
      </c>
      <c r="O190" s="29">
        <f t="shared" si="53"/>
        <v>1006.8433532357752</v>
      </c>
      <c r="T190" s="48">
        <v>0.74166665509259255</v>
      </c>
      <c r="U190" s="29">
        <v>-1143.8407025926315</v>
      </c>
      <c r="V190" s="29">
        <v>4649.2810084257953</v>
      </c>
      <c r="W190" s="29">
        <v>4283.7057732467656</v>
      </c>
      <c r="X190" s="4">
        <v>-1.6806452992935306</v>
      </c>
      <c r="Y190" s="4">
        <v>-0.90937731298177382</v>
      </c>
      <c r="Z190" s="4">
        <v>6.3026361957717159E-2</v>
      </c>
      <c r="AA190" s="3">
        <f t="shared" si="58"/>
        <v>1.9119382944292467</v>
      </c>
      <c r="AB190" s="3">
        <f t="shared" si="61"/>
        <v>5.1955133822652746</v>
      </c>
      <c r="AC190" s="3">
        <f t="shared" si="59"/>
        <v>1.5777299553162618</v>
      </c>
      <c r="AD190" s="48"/>
      <c r="AE190" s="46">
        <f t="shared" si="54"/>
        <v>42.008328532010751</v>
      </c>
      <c r="AF190" s="46">
        <f t="shared" si="55"/>
        <v>-249.00771249795611</v>
      </c>
      <c r="AG190" s="47">
        <f t="shared" si="56"/>
        <v>55908.071947173084</v>
      </c>
      <c r="AH190" s="45" t="str">
        <f t="shared" si="60"/>
        <v>-249.00771,42.00833,55908</v>
      </c>
      <c r="AI190" s="44">
        <f t="shared" si="62"/>
        <v>981.57052323447988</v>
      </c>
    </row>
    <row r="191" spans="1:35" ht="18" customHeight="1" x14ac:dyDescent="0.25">
      <c r="A191" s="36">
        <f t="shared" si="57"/>
        <v>0.74167825231481477</v>
      </c>
      <c r="B191" s="42">
        <f t="shared" si="42"/>
        <v>42.011573679829837</v>
      </c>
      <c r="C191" s="43">
        <f t="shared" si="43"/>
        <v>111.00998542974887</v>
      </c>
      <c r="D191" s="18">
        <f t="shared" si="44"/>
        <v>55.592429432663266</v>
      </c>
      <c r="E191" s="21" t="str">
        <f t="shared" si="45"/>
        <v>Umbra</v>
      </c>
      <c r="F191" s="23">
        <f>IF($E191&lt;&gt;"Umbra",fracil2($S$2,$S$3,$S$4,$A191,$Q$2,$O$3,$Q$4,$U191,$V191,$W191),0)</f>
        <v>0</v>
      </c>
      <c r="G191" s="19">
        <f t="shared" si="46"/>
        <v>69.307403053184814</v>
      </c>
      <c r="H191" s="19">
        <f t="shared" si="47"/>
        <v>-1.5524025853231322</v>
      </c>
      <c r="I191" s="19">
        <f t="shared" si="48"/>
        <v>-0.34438463592823698</v>
      </c>
      <c r="J191" s="28">
        <f t="shared" si="49"/>
        <v>3.1919921051186032E-2</v>
      </c>
      <c r="K191" s="24">
        <f t="shared" si="50"/>
        <v>1015.425154930247</v>
      </c>
      <c r="L191" s="32">
        <f t="shared" si="51"/>
        <v>0.54658489454251025</v>
      </c>
      <c r="M191" s="35">
        <f t="shared" si="52"/>
        <v>14.991124856314379</v>
      </c>
      <c r="O191" s="29">
        <f t="shared" si="53"/>
        <v>1008.3494339310623</v>
      </c>
      <c r="T191" s="48">
        <v>0.74167825231481477</v>
      </c>
      <c r="U191" s="29">
        <v>-1145.5020878986663</v>
      </c>
      <c r="V191" s="29">
        <v>4648.3797766747994</v>
      </c>
      <c r="W191" s="29">
        <v>4283.7646971015802</v>
      </c>
      <c r="X191" s="4">
        <v>-1.6349504261526517</v>
      </c>
      <c r="Y191" s="4">
        <v>-0.88916474734824313</v>
      </c>
      <c r="Z191" s="4">
        <v>5.460393432682268E-2</v>
      </c>
      <c r="AA191" s="3">
        <f t="shared" si="58"/>
        <v>1.8618964615540712</v>
      </c>
      <c r="AB191" s="3">
        <f t="shared" si="61"/>
        <v>5.0669898364765507</v>
      </c>
      <c r="AC191" s="3">
        <f t="shared" si="59"/>
        <v>1.5279436791751311</v>
      </c>
      <c r="AD191" s="48"/>
      <c r="AE191" s="46">
        <f t="shared" si="54"/>
        <v>42.011573679829837</v>
      </c>
      <c r="AF191" s="46">
        <f t="shared" si="55"/>
        <v>-248.99001457025113</v>
      </c>
      <c r="AG191" s="47">
        <f t="shared" si="56"/>
        <v>55592.429432663266</v>
      </c>
      <c r="AH191" s="45" t="str">
        <f t="shared" si="60"/>
        <v>-248.99001,42.01157,55592</v>
      </c>
      <c r="AI191" s="44">
        <f t="shared" si="62"/>
        <v>983.07661010730749</v>
      </c>
    </row>
    <row r="192" spans="1:35" ht="18" customHeight="1" x14ac:dyDescent="0.25">
      <c r="A192" s="36">
        <f t="shared" si="57"/>
        <v>0.74168980324074074</v>
      </c>
      <c r="B192" s="42">
        <f t="shared" si="42"/>
        <v>42.014695100975203</v>
      </c>
      <c r="C192" s="43">
        <f t="shared" si="43"/>
        <v>111.02703065023843</v>
      </c>
      <c r="D192" s="18">
        <f t="shared" si="44"/>
        <v>55.279518400055167</v>
      </c>
      <c r="E192" s="21" t="str">
        <f t="shared" si="45"/>
        <v>Umbra</v>
      </c>
      <c r="F192" s="23">
        <f>IF($E192&lt;&gt;"Umbra",fracil2($S$2,$S$3,$S$4,$A192,$Q$2,$O$3,$Q$4,$U192,$V192,$W192),0)</f>
        <v>0</v>
      </c>
      <c r="G192" s="19">
        <f t="shared" si="46"/>
        <v>69.306659938421262</v>
      </c>
      <c r="H192" s="19">
        <f t="shared" si="47"/>
        <v>-1.5807941556383776</v>
      </c>
      <c r="I192" s="19">
        <f t="shared" si="48"/>
        <v>-0.37277620624348229</v>
      </c>
      <c r="J192" s="28">
        <f t="shared" si="49"/>
        <v>3.1415794167264234E-2</v>
      </c>
      <c r="K192" s="24">
        <f t="shared" si="50"/>
        <v>1016.8375226523331</v>
      </c>
      <c r="L192" s="32">
        <f t="shared" si="51"/>
        <v>0.54665913578680725</v>
      </c>
      <c r="M192" s="35">
        <f t="shared" si="52"/>
        <v>14.972904123474761</v>
      </c>
      <c r="O192" s="29">
        <f t="shared" si="53"/>
        <v>1009.7997950660674</v>
      </c>
      <c r="T192" s="48">
        <v>0.74168980324074074</v>
      </c>
      <c r="U192" s="29">
        <v>-1147.11136410829</v>
      </c>
      <c r="V192" s="29">
        <v>4647.5023431979052</v>
      </c>
      <c r="W192" s="29">
        <v>4283.8151098199987</v>
      </c>
      <c r="X192" s="4">
        <v>-1.590572001368519</v>
      </c>
      <c r="Y192" s="4">
        <v>-0.86947364962064788</v>
      </c>
      <c r="Z192" s="4">
        <v>4.6476810891874221E-2</v>
      </c>
      <c r="AA192" s="3">
        <f t="shared" si="58"/>
        <v>1.8133019089144489</v>
      </c>
      <c r="AB192" s="3">
        <f t="shared" si="61"/>
        <v>4.9380403669571828</v>
      </c>
      <c r="AC192" s="3">
        <f t="shared" si="59"/>
        <v>1.4796181001842252</v>
      </c>
      <c r="AD192" s="48"/>
      <c r="AE192" s="46">
        <f t="shared" si="54"/>
        <v>42.014695100975203</v>
      </c>
      <c r="AF192" s="46">
        <f t="shared" si="55"/>
        <v>-248.97296934976157</v>
      </c>
      <c r="AG192" s="47">
        <f t="shared" si="56"/>
        <v>55279.518400055167</v>
      </c>
      <c r="AH192" s="45" t="str">
        <f t="shared" si="60"/>
        <v>-248.97297,42.01470,55280</v>
      </c>
      <c r="AI192" s="44">
        <f t="shared" si="62"/>
        <v>984.52697573533248</v>
      </c>
    </row>
    <row r="193" spans="1:35" ht="18" customHeight="1" x14ac:dyDescent="0.25">
      <c r="A193" s="36">
        <f t="shared" si="57"/>
        <v>0.74170137731481478</v>
      </c>
      <c r="B193" s="42">
        <f t="shared" si="42"/>
        <v>42.017715539821232</v>
      </c>
      <c r="C193" s="43">
        <f t="shared" si="43"/>
        <v>111.0435460605206</v>
      </c>
      <c r="D193" s="18">
        <f t="shared" si="44"/>
        <v>54.967403762347203</v>
      </c>
      <c r="E193" s="21" t="str">
        <f t="shared" si="45"/>
        <v>Umbra</v>
      </c>
      <c r="F193" s="23">
        <f>IF($E193&lt;&gt;"Umbra",fracil2($S$2,$S$3,$S$4,$A193,$Q$2,$O$3,$Q$4,$U193,$V193,$W193),0)</f>
        <v>0</v>
      </c>
      <c r="G193" s="19">
        <f t="shared" si="46"/>
        <v>69.305951397662653</v>
      </c>
      <c r="H193" s="19">
        <f t="shared" si="47"/>
        <v>-1.6087417163574398</v>
      </c>
      <c r="I193" s="19">
        <f t="shared" si="48"/>
        <v>-0.40072376696254453</v>
      </c>
      <c r="J193" s="28">
        <f t="shared" si="49"/>
        <v>3.0923536229329779E-2</v>
      </c>
      <c r="K193" s="24">
        <f t="shared" si="50"/>
        <v>1018.2047105787545</v>
      </c>
      <c r="L193" s="32">
        <f t="shared" si="51"/>
        <v>0.54673236635078293</v>
      </c>
      <c r="M193" s="35">
        <f t="shared" si="52"/>
        <v>14.954948903059536</v>
      </c>
      <c r="O193" s="29">
        <f t="shared" si="53"/>
        <v>1011.2049074078502</v>
      </c>
      <c r="T193" s="48">
        <v>0.74170137731481478</v>
      </c>
      <c r="U193" s="29">
        <v>-1148.6798195679562</v>
      </c>
      <c r="V193" s="29">
        <v>4646.6427438414885</v>
      </c>
      <c r="W193" s="29">
        <v>4283.8576125655263</v>
      </c>
      <c r="X193" s="4">
        <v>-1.5472376818236817</v>
      </c>
      <c r="Y193" s="4">
        <v>-0.85018896100491781</v>
      </c>
      <c r="Z193" s="4">
        <v>3.8590327886911135E-2</v>
      </c>
      <c r="AA193" s="3">
        <f t="shared" si="58"/>
        <v>1.7658581276184566</v>
      </c>
      <c r="AB193" s="3">
        <f t="shared" si="61"/>
        <v>4.8091924775359951</v>
      </c>
      <c r="AC193" s="3">
        <f t="shared" si="59"/>
        <v>1.4324591587496507</v>
      </c>
      <c r="AD193" s="48"/>
      <c r="AE193" s="46">
        <f t="shared" si="54"/>
        <v>42.017715539821232</v>
      </c>
      <c r="AF193" s="46">
        <f t="shared" si="55"/>
        <v>-248.95645393947939</v>
      </c>
      <c r="AG193" s="47">
        <f t="shared" si="56"/>
        <v>54967.403762347203</v>
      </c>
      <c r="AH193" s="45" t="str">
        <f t="shared" si="60"/>
        <v>-248.95645,42.01772,54967</v>
      </c>
      <c r="AI193" s="44">
        <f t="shared" si="62"/>
        <v>985.93209090319419</v>
      </c>
    </row>
    <row r="194" spans="1:35" ht="18" customHeight="1" x14ac:dyDescent="0.25">
      <c r="A194" s="36">
        <f t="shared" si="57"/>
        <v>0.74171295138888882</v>
      </c>
      <c r="B194" s="42">
        <f t="shared" si="42"/>
        <v>42.020631417904369</v>
      </c>
      <c r="C194" s="43">
        <f t="shared" si="43"/>
        <v>111.05950990555681</v>
      </c>
      <c r="D194" s="18">
        <f t="shared" si="44"/>
        <v>54.656744566997077</v>
      </c>
      <c r="E194" s="21" t="str">
        <f t="shared" si="45"/>
        <v>Umbra</v>
      </c>
      <c r="F194" s="23">
        <f>IF($E194&lt;&gt;"Umbra",fracil2($S$2,$S$3,$S$4,$A194,$Q$2,$O$3,$Q$4,$U194,$V194,$W194),0)</f>
        <v>0</v>
      </c>
      <c r="G194" s="19">
        <f t="shared" si="46"/>
        <v>69.305277218601958</v>
      </c>
      <c r="H194" s="19">
        <f t="shared" si="47"/>
        <v>-1.6361987549458434</v>
      </c>
      <c r="I194" s="19">
        <f t="shared" si="48"/>
        <v>-0.42818080555094817</v>
      </c>
      <c r="J194" s="28">
        <f t="shared" si="49"/>
        <v>3.0444270522377203E-2</v>
      </c>
      <c r="K194" s="24">
        <f t="shared" si="50"/>
        <v>1019.5249674441292</v>
      </c>
      <c r="L194" s="32">
        <f t="shared" si="51"/>
        <v>0.54680446363545854</v>
      </c>
      <c r="M194" s="35">
        <f t="shared" si="52"/>
        <v>14.937290237969416</v>
      </c>
      <c r="O194" s="29">
        <f t="shared" si="53"/>
        <v>1012.5629368871766</v>
      </c>
      <c r="T194" s="48">
        <v>0.74171295138888882</v>
      </c>
      <c r="U194" s="29">
        <v>-1150.2052268106556</v>
      </c>
      <c r="V194" s="29">
        <v>4645.8023599111757</v>
      </c>
      <c r="W194" s="29">
        <v>4283.8923511882385</v>
      </c>
      <c r="X194" s="4">
        <v>-1.5050441561664925</v>
      </c>
      <c r="Y194" s="4">
        <v>-0.8313589294923629</v>
      </c>
      <c r="Z194" s="4">
        <v>3.0957764488463699E-2</v>
      </c>
      <c r="AA194" s="3">
        <f t="shared" si="58"/>
        <v>1.7196726330437779</v>
      </c>
      <c r="AB194" s="3">
        <f t="shared" si="61"/>
        <v>4.67922420148561</v>
      </c>
      <c r="AC194" s="3">
        <f t="shared" si="59"/>
        <v>1.3865746862300223</v>
      </c>
      <c r="AD194" s="48"/>
      <c r="AE194" s="46">
        <f t="shared" si="54"/>
        <v>42.020631417904369</v>
      </c>
      <c r="AF194" s="46">
        <f t="shared" si="55"/>
        <v>-248.94049009444319</v>
      </c>
      <c r="AG194" s="47">
        <f t="shared" si="56"/>
        <v>54656.744566997077</v>
      </c>
      <c r="AH194" s="45" t="str">
        <f t="shared" si="60"/>
        <v>-248.94049,42.02063,54657</v>
      </c>
      <c r="AI194" s="44">
        <f t="shared" si="62"/>
        <v>987.29012171767079</v>
      </c>
    </row>
    <row r="195" spans="1:35" ht="18" customHeight="1" x14ac:dyDescent="0.25">
      <c r="A195" s="36">
        <f t="shared" si="57"/>
        <v>0.74172452546296297</v>
      </c>
      <c r="B195" s="42">
        <f t="shared" si="42"/>
        <v>42.023447359192609</v>
      </c>
      <c r="C195" s="43">
        <f t="shared" si="43"/>
        <v>111.07494810978848</v>
      </c>
      <c r="D195" s="18">
        <f t="shared" si="44"/>
        <v>54.347363251348725</v>
      </c>
      <c r="E195" s="21" t="str">
        <f t="shared" si="45"/>
        <v>Umbra</v>
      </c>
      <c r="F195" s="23">
        <f>IF($E195&lt;&gt;"Umbra",fracil2($S$2,$S$3,$S$4,$A195,$Q$2,$O$3,$Q$4,$U195,$V195,$W195),0)</f>
        <v>0</v>
      </c>
      <c r="G195" s="19">
        <f t="shared" si="46"/>
        <v>69.304638236603878</v>
      </c>
      <c r="H195" s="19">
        <f t="shared" si="47"/>
        <v>-1.6631956112240531</v>
      </c>
      <c r="I195" s="19">
        <f t="shared" si="48"/>
        <v>-0.45517766182915786</v>
      </c>
      <c r="J195" s="28">
        <f t="shared" si="49"/>
        <v>2.9977745554047589E-2</v>
      </c>
      <c r="K195" s="24">
        <f t="shared" si="50"/>
        <v>1020.8004838759317</v>
      </c>
      <c r="L195" s="32">
        <f t="shared" si="51"/>
        <v>0.54687549200211105</v>
      </c>
      <c r="M195" s="35">
        <f t="shared" si="52"/>
        <v>14.919907549416886</v>
      </c>
      <c r="O195" s="29">
        <f t="shared" si="53"/>
        <v>1013.8760923977844</v>
      </c>
      <c r="T195" s="48">
        <v>0.74172452546296297</v>
      </c>
      <c r="U195" s="29">
        <v>-1151.6896056075354</v>
      </c>
      <c r="V195" s="29">
        <v>4644.9802477665526</v>
      </c>
      <c r="W195" s="29">
        <v>4283.9195942328106</v>
      </c>
      <c r="X195" s="4">
        <v>-1.4639675298888197</v>
      </c>
      <c r="Y195" s="4">
        <v>-0.81297799142285154</v>
      </c>
      <c r="Z195" s="4">
        <v>2.3570563661355858E-2</v>
      </c>
      <c r="AA195" s="3">
        <f t="shared" si="58"/>
        <v>1.6747207870501939</v>
      </c>
      <c r="AB195" s="3">
        <f t="shared" si="61"/>
        <v>4.5516578615044452</v>
      </c>
      <c r="AC195" s="3">
        <f t="shared" si="59"/>
        <v>1.3419411292398173</v>
      </c>
      <c r="AD195" s="48"/>
      <c r="AE195" s="46">
        <f t="shared" si="54"/>
        <v>42.023447359192609</v>
      </c>
      <c r="AF195" s="46">
        <f t="shared" si="55"/>
        <v>-248.92505189021153</v>
      </c>
      <c r="AG195" s="47">
        <f t="shared" si="56"/>
        <v>54347.363251348725</v>
      </c>
      <c r="AH195" s="45" t="str">
        <f t="shared" si="60"/>
        <v>-248.92505,42.02345,54347</v>
      </c>
      <c r="AI195" s="44">
        <f t="shared" si="62"/>
        <v>988.60327674088569</v>
      </c>
    </row>
    <row r="196" spans="1:35" ht="18" customHeight="1" x14ac:dyDescent="0.25">
      <c r="A196" s="36">
        <f t="shared" si="57"/>
        <v>0.74173611111111104</v>
      </c>
      <c r="B196" s="42">
        <f t="shared" si="42"/>
        <v>42.02616812415895</v>
      </c>
      <c r="C196" s="43">
        <f t="shared" si="43"/>
        <v>111.08988393304965</v>
      </c>
      <c r="D196" s="18">
        <f t="shared" si="44"/>
        <v>54.039037108115735</v>
      </c>
      <c r="E196" s="21" t="str">
        <f t="shared" si="45"/>
        <v>Umbra</v>
      </c>
      <c r="F196" s="23">
        <f>IF($E196&lt;&gt;"Umbra",fracil2($S$2,$S$3,$S$4,$A196,$Q$2,$O$3,$Q$4,$U196,$V196,$W196),0)</f>
        <v>0</v>
      </c>
      <c r="G196" s="19">
        <f t="shared" si="46"/>
        <v>69.304031475446337</v>
      </c>
      <c r="H196" s="19">
        <f t="shared" si="47"/>
        <v>-1.6897632249670407</v>
      </c>
      <c r="I196" s="19">
        <f t="shared" si="48"/>
        <v>-0.48174527557214541</v>
      </c>
      <c r="J196" s="28">
        <f t="shared" si="49"/>
        <v>2.9523639290446359E-2</v>
      </c>
      <c r="K196" s="24">
        <f t="shared" si="50"/>
        <v>1022.0332327548749</v>
      </c>
      <c r="L196" s="32">
        <f t="shared" si="51"/>
        <v>0.54694553590936834</v>
      </c>
      <c r="M196" s="35">
        <f t="shared" si="52"/>
        <v>14.902782705134763</v>
      </c>
      <c r="O196" s="29">
        <f t="shared" si="53"/>
        <v>1015.1463714622669</v>
      </c>
      <c r="T196" s="48">
        <v>0.74173611111111104</v>
      </c>
      <c r="U196" s="29">
        <v>-1153.1350849855298</v>
      </c>
      <c r="V196" s="29">
        <v>4644.1753871473729</v>
      </c>
      <c r="W196" s="29">
        <v>4283.9395911613692</v>
      </c>
      <c r="X196" s="4">
        <v>-1.4239774260633926</v>
      </c>
      <c r="Y196" s="4">
        <v>-0.79503726757026238</v>
      </c>
      <c r="Z196" s="4">
        <v>1.6419340600142295E-2</v>
      </c>
      <c r="AA196" s="3">
        <f t="shared" si="58"/>
        <v>1.6309707420764659</v>
      </c>
      <c r="AB196" s="3">
        <f t="shared" si="61"/>
        <v>4.4227929867183988</v>
      </c>
      <c r="AC196" s="3">
        <f t="shared" si="59"/>
        <v>1.2985278513043166</v>
      </c>
      <c r="AD196" s="48"/>
      <c r="AE196" s="46">
        <f t="shared" si="54"/>
        <v>42.02616812415895</v>
      </c>
      <c r="AF196" s="46">
        <f t="shared" si="55"/>
        <v>-248.91011606695037</v>
      </c>
      <c r="AG196" s="47">
        <f t="shared" si="56"/>
        <v>54039.037108115735</v>
      </c>
      <c r="AH196" s="45" t="str">
        <f t="shared" si="60"/>
        <v>-248.91012,42.02617,54039</v>
      </c>
      <c r="AI196" s="44">
        <f t="shared" si="62"/>
        <v>989.87355382798614</v>
      </c>
    </row>
    <row r="197" spans="1:35" ht="18" customHeight="1" x14ac:dyDescent="0.25">
      <c r="A197" s="36">
        <f t="shared" si="57"/>
        <v>0.74174767361111105</v>
      </c>
      <c r="B197" s="42">
        <f t="shared" si="42"/>
        <v>42.028789178786397</v>
      </c>
      <c r="C197" s="43">
        <f t="shared" si="43"/>
        <v>111.10429178962755</v>
      </c>
      <c r="D197" s="18">
        <f t="shared" si="44"/>
        <v>53.732612733921997</v>
      </c>
      <c r="E197" s="21" t="str">
        <f t="shared" si="45"/>
        <v>Umbra</v>
      </c>
      <c r="F197" s="23">
        <f>IF($E197&lt;&gt;"Umbra",fracil2($S$2,$S$3,$S$4,$A197,$Q$2,$O$3,$Q$4,$U197,$V197,$W197),0)</f>
        <v>0</v>
      </c>
      <c r="G197" s="19">
        <f t="shared" si="46"/>
        <v>69.303458310104048</v>
      </c>
      <c r="H197" s="19">
        <f t="shared" si="47"/>
        <v>-1.7158420955371758</v>
      </c>
      <c r="I197" s="19">
        <f t="shared" si="48"/>
        <v>-0.50782414614228055</v>
      </c>
      <c r="J197" s="28">
        <f t="shared" si="49"/>
        <v>2.9083143824292272E-2</v>
      </c>
      <c r="K197" s="24">
        <f t="shared" si="50"/>
        <v>1023.2211528874598</v>
      </c>
      <c r="L197" s="32">
        <f t="shared" si="51"/>
        <v>0.54701443014602014</v>
      </c>
      <c r="M197" s="35">
        <f t="shared" si="52"/>
        <v>14.885954155183725</v>
      </c>
      <c r="O197" s="29">
        <f t="shared" si="53"/>
        <v>1016.3716069344358</v>
      </c>
      <c r="T197" s="48">
        <v>0.74174767361111105</v>
      </c>
      <c r="U197" s="29">
        <v>-1154.5388379622784</v>
      </c>
      <c r="V197" s="29">
        <v>4643.3895224262205</v>
      </c>
      <c r="W197" s="29">
        <v>4283.9525337886362</v>
      </c>
      <c r="X197" s="4">
        <v>-1.3851773638275997</v>
      </c>
      <c r="Y197" s="4">
        <v>-0.77758777799362044</v>
      </c>
      <c r="Z197" s="4">
        <v>9.5187791801191815E-3</v>
      </c>
      <c r="AA197" s="3">
        <f t="shared" si="58"/>
        <v>1.5885369649153633</v>
      </c>
      <c r="AB197" s="3">
        <f t="shared" si="61"/>
        <v>4.2953931401535712</v>
      </c>
      <c r="AC197" s="3">
        <f t="shared" si="59"/>
        <v>1.2564493467970799</v>
      </c>
      <c r="AD197" s="48"/>
      <c r="AE197" s="46">
        <f t="shared" si="54"/>
        <v>42.028789178786397</v>
      </c>
      <c r="AF197" s="46">
        <f t="shared" si="55"/>
        <v>-248.89570821037245</v>
      </c>
      <c r="AG197" s="47">
        <f t="shared" si="56"/>
        <v>53732.612733921997</v>
      </c>
      <c r="AH197" s="45" t="str">
        <f t="shared" si="60"/>
        <v>-248.89571,42.02879,53733</v>
      </c>
      <c r="AI197" s="44">
        <f t="shared" si="62"/>
        <v>991.0987857694987</v>
      </c>
    </row>
    <row r="198" spans="1:35" ht="18" customHeight="1" x14ac:dyDescent="0.25">
      <c r="A198" s="36">
        <f t="shared" si="57"/>
        <v>0.7417592476851852</v>
      </c>
      <c r="B198" s="42">
        <f t="shared" ref="B198:B261" si="63">latitude($U198,$V198,$W198)</f>
        <v>42.031318926567309</v>
      </c>
      <c r="C198" s="43">
        <f t="shared" ref="C198:C261" si="64">longitude($S$2,$S$3,$S$4,$A198,$U198,$V198)</f>
        <v>111.11821225355773</v>
      </c>
      <c r="D198" s="18">
        <f t="shared" ref="D198:D261" si="65">altitude($U198,$V198,$W198)</f>
        <v>53.427454189506534</v>
      </c>
      <c r="E198" s="21" t="str">
        <f t="shared" ref="E198:E261" si="66">illum2($S$2,$S$3,$S$4,$A198,$U198,$V198,$W198)</f>
        <v>Umbra</v>
      </c>
      <c r="F198" s="23">
        <f>IF($E198&lt;&gt;"Umbra",fracil2($S$2,$S$3,$S$4,$A198,$Q$2,$O$3,$Q$4,$U198,$V198,$W198),0)</f>
        <v>0</v>
      </c>
      <c r="G198" s="19">
        <f t="shared" ref="G198:G261" si="67">azimuth($S$2,$S$3,$S$4,$A198,$Q$2,$O$3,$Q$4,$U198,$V198,$W198)</f>
        <v>69.302911956481495</v>
      </c>
      <c r="H198" s="19">
        <f t="shared" ref="H198:H261" si="68">elev($S$2,$S$3,$S$4,$A198,$Q$2,$O$3,$Q$4,$U198,$V198,$W198)</f>
        <v>-1.7414968472866372</v>
      </c>
      <c r="I198" s="19">
        <f t="shared" ref="I198:I261" si="69">elev($S$2,$S$3,$S$4,$A198,$Q$2,$O$3,$Q$4,$U198,$V198,$W198)+DEGREES(ACOS($Q$3/$Q$4))</f>
        <v>-0.53347889789174197</v>
      </c>
      <c r="J198" s="28">
        <f t="shared" ref="J198:J261" si="70">vang($S$2,$S$3,$S$4,$A198,$Q$2,$O$3,$Q$4,$U198,$V198,$W198,$X198,$Y198,$Z198)</f>
        <v>2.8655252846973987E-2</v>
      </c>
      <c r="K198" s="24">
        <f t="shared" ref="K198:K261" si="71">slant_rng($S$2,$S$3,$S$4,$A198,$Q$2,$O$3,$Q$4,$U198,$V198,$W198)</f>
        <v>1024.3676504085652</v>
      </c>
      <c r="L198" s="32">
        <f t="shared" ref="L198:L261" si="72">radec2("ra",$S$2,$S$3,$S$4,$A198,$Q$2,$O$3,$Q$4,$U198,$V198,$W198)/24</f>
        <v>0.54708236220209028</v>
      </c>
      <c r="M198" s="35">
        <f t="shared" ref="M198:M261" si="73">radec2("dec",$S$2,$S$3,$S$4,$A198,$Q$2,$O$3,$Q$4,$U198,$V198,$W198)</f>
        <v>14.869384320816494</v>
      </c>
      <c r="O198" s="29">
        <f t="shared" ref="O198:O261" si="74">DEGREES(ACOS(SIN(RADIANS($B198))*SIN(RADIANS($O$2))+COS(RADIANS($B198))*COS(RADIANS($O$2))*COS(RADIANS($C198-$O$3))))*111.2</f>
        <v>1017.5552805955955</v>
      </c>
      <c r="T198" s="48">
        <v>0.7417592476851852</v>
      </c>
      <c r="U198" s="29">
        <v>-1155.9049317912566</v>
      </c>
      <c r="V198" s="29">
        <v>4642.6205496922303</v>
      </c>
      <c r="W198" s="29">
        <v>4283.9586978645393</v>
      </c>
      <c r="X198" s="4">
        <v>-1.3474769794604182</v>
      </c>
      <c r="Y198" s="4">
        <v>-0.7605931975984308</v>
      </c>
      <c r="Z198" s="4">
        <v>2.8491853165782278E-3</v>
      </c>
      <c r="AA198" s="3">
        <f t="shared" si="58"/>
        <v>1.5473216667085568</v>
      </c>
      <c r="AB198" s="3">
        <f t="shared" si="61"/>
        <v>4.1647792704167399</v>
      </c>
      <c r="AC198" s="3">
        <f t="shared" si="59"/>
        <v>1.2156095212711058</v>
      </c>
      <c r="AD198" s="48"/>
      <c r="AE198" s="46">
        <f t="shared" ref="AE198:AE261" si="75">$B198</f>
        <v>42.031318926567309</v>
      </c>
      <c r="AF198" s="46">
        <f t="shared" ref="AF198:AF261" si="76">$C198-360</f>
        <v>-248.88178774644228</v>
      </c>
      <c r="AG198" s="47">
        <f t="shared" ref="AG198:AG261" si="77">$D198*1000</f>
        <v>53427.454189506534</v>
      </c>
      <c r="AH198" s="45" t="str">
        <f t="shared" si="60"/>
        <v>-248.88179,42.03132,53427</v>
      </c>
      <c r="AI198" s="44">
        <f t="shared" si="62"/>
        <v>992.2824551856387</v>
      </c>
    </row>
    <row r="199" spans="1:35" ht="18" customHeight="1" x14ac:dyDescent="0.25">
      <c r="A199" s="36">
        <f t="shared" ref="A199:A262" si="78">$T199+$S$5/86400</f>
        <v>0.74177083333333327</v>
      </c>
      <c r="B199" s="42">
        <f t="shared" si="63"/>
        <v>42.033761588665655</v>
      </c>
      <c r="C199" s="43">
        <f t="shared" si="64"/>
        <v>111.13166970703794</v>
      </c>
      <c r="D199" s="18">
        <f t="shared" si="65"/>
        <v>53.123363340135256</v>
      </c>
      <c r="E199" s="21" t="str">
        <f t="shared" si="66"/>
        <v>Umbra</v>
      </c>
      <c r="F199" s="23">
        <f>IF($E199&lt;&gt;"Umbra",fracil2($S$2,$S$3,$S$4,$A199,$Q$2,$O$3,$Q$4,$U199,$V199,$W199),0)</f>
        <v>0</v>
      </c>
      <c r="G199" s="19">
        <f t="shared" si="67"/>
        <v>69.302393693376288</v>
      </c>
      <c r="H199" s="19">
        <f t="shared" si="68"/>
        <v>-1.7667569372589502</v>
      </c>
      <c r="I199" s="19">
        <f t="shared" si="69"/>
        <v>-0.55873898786405496</v>
      </c>
      <c r="J199" s="28">
        <f t="shared" si="70"/>
        <v>2.8239599565710861E-2</v>
      </c>
      <c r="K199" s="24">
        <f t="shared" si="71"/>
        <v>1025.4747770135459</v>
      </c>
      <c r="L199" s="32">
        <f t="shared" si="72"/>
        <v>0.54714939354622416</v>
      </c>
      <c r="M199" s="35">
        <f t="shared" si="73"/>
        <v>14.85305284289668</v>
      </c>
      <c r="O199" s="29">
        <f t="shared" si="74"/>
        <v>1018.699465200276</v>
      </c>
      <c r="T199" s="48">
        <v>0.74177083333333327</v>
      </c>
      <c r="U199" s="29">
        <v>-1157.2352561355042</v>
      </c>
      <c r="V199" s="29">
        <v>4641.8675594041933</v>
      </c>
      <c r="W199" s="29">
        <v>4283.9583039840836</v>
      </c>
      <c r="X199" s="4">
        <v>-1.3108435058385677</v>
      </c>
      <c r="Y199" s="4">
        <v>-0.74404262212122396</v>
      </c>
      <c r="Z199" s="4">
        <v>-3.5984895755836839E-3</v>
      </c>
      <c r="AA199" s="3">
        <f t="shared" ref="AA199:AA262" si="79">SQRT($X199*$X199+$Y199*$Y199+$Z199*$Z199)</f>
        <v>1.5072899752401325</v>
      </c>
      <c r="AB199" s="3">
        <f t="shared" si="61"/>
        <v>4.0378450427791162</v>
      </c>
      <c r="AC199" s="3">
        <f t="shared" ref="AC199:AC262" si="80">vrel($S$2,$S$3,$S$4,$A199,$B199,$C199,$U199,$V199,$W199,$X199,$Y199,$Z199)</f>
        <v>1.1759748176733869</v>
      </c>
      <c r="AD199" s="48"/>
      <c r="AE199" s="46">
        <f t="shared" si="75"/>
        <v>42.033761588665655</v>
      </c>
      <c r="AF199" s="46">
        <f t="shared" si="76"/>
        <v>-248.86833029296207</v>
      </c>
      <c r="AG199" s="47">
        <f t="shared" si="77"/>
        <v>53123.363340135256</v>
      </c>
      <c r="AH199" s="45" t="str">
        <f t="shared" ref="AH199:AH262" si="81">CONCATENATE(TEXT($AF199,"00.00000"),",",TEXT($AE199,"00.00000"),",",TEXT($AG199,"00000"))</f>
        <v>-248.86833,42.03376,53123</v>
      </c>
      <c r="AI199" s="44">
        <f t="shared" si="62"/>
        <v>993.42663444502909</v>
      </c>
    </row>
    <row r="200" spans="1:35" ht="18" customHeight="1" x14ac:dyDescent="0.25">
      <c r="A200" s="36">
        <f t="shared" si="78"/>
        <v>0.74178240740740742</v>
      </c>
      <c r="B200" s="42">
        <f t="shared" si="63"/>
        <v>42.036114954139535</v>
      </c>
      <c r="C200" s="43">
        <f t="shared" si="64"/>
        <v>111.14465034708067</v>
      </c>
      <c r="D200" s="18">
        <f t="shared" si="65"/>
        <v>52.820949868303614</v>
      </c>
      <c r="E200" s="21" t="str">
        <f t="shared" si="66"/>
        <v>Umbra</v>
      </c>
      <c r="F200" s="23">
        <f>IF($E200&lt;&gt;"Umbra",fracil2($S$2,$S$3,$S$4,$A200,$Q$2,$O$3,$Q$4,$U200,$V200,$W200),0)</f>
        <v>0</v>
      </c>
      <c r="G200" s="19">
        <f t="shared" si="67"/>
        <v>69.301903169995555</v>
      </c>
      <c r="H200" s="19">
        <f t="shared" si="68"/>
        <v>-1.7915831744079389</v>
      </c>
      <c r="I200" s="19">
        <f t="shared" si="69"/>
        <v>-0.58356522501304364</v>
      </c>
      <c r="J200" s="28">
        <f t="shared" si="70"/>
        <v>2.7836880904909139E-2</v>
      </c>
      <c r="K200" s="24">
        <f t="shared" si="71"/>
        <v>1026.541447987443</v>
      </c>
      <c r="L200" s="32">
        <f t="shared" si="72"/>
        <v>0.54721541760692793</v>
      </c>
      <c r="M200" s="35">
        <f t="shared" si="73"/>
        <v>14.836986017662662</v>
      </c>
      <c r="O200" s="29">
        <f t="shared" si="74"/>
        <v>1019.802999294899</v>
      </c>
      <c r="T200" s="48">
        <v>0.74178240740740742</v>
      </c>
      <c r="U200" s="29">
        <v>-1158.5281903978846</v>
      </c>
      <c r="V200" s="29">
        <v>4641.1316302233881</v>
      </c>
      <c r="W200" s="29">
        <v>4283.9515784378509</v>
      </c>
      <c r="X200" s="4">
        <v>-1.2753380116016357</v>
      </c>
      <c r="Y200" s="4">
        <v>-0.72796729398630866</v>
      </c>
      <c r="Z200" s="4">
        <v>-9.8165868451157798E-3</v>
      </c>
      <c r="AA200" s="3">
        <f t="shared" si="79"/>
        <v>1.4685093769966369</v>
      </c>
      <c r="AB200" s="3">
        <f t="shared" ref="AB200:AB263" si="82">-($AC200-$AC199)/(($A200-$A199)*86400)*1000/9.806</f>
        <v>3.9120784615112569</v>
      </c>
      <c r="AC200" s="3">
        <f t="shared" si="80"/>
        <v>1.1376129762795562</v>
      </c>
      <c r="AD200" s="48"/>
      <c r="AE200" s="46">
        <f t="shared" si="75"/>
        <v>42.036114954139535</v>
      </c>
      <c r="AF200" s="46">
        <f t="shared" si="76"/>
        <v>-248.85534965291933</v>
      </c>
      <c r="AG200" s="47">
        <f t="shared" si="77"/>
        <v>52820.949868303614</v>
      </c>
      <c r="AH200" s="45" t="str">
        <f t="shared" si="81"/>
        <v>-248.85535,42.03611,52821</v>
      </c>
      <c r="AI200" s="44">
        <f t="shared" ref="AI200:AI263" si="83">IFERROR(ACOS(SIN(RADIANS($B199))*SIN(RADIANS($B200))+COS(RADIANS($B199))*COS(RADIANS($B200))*COS(RADIANS($C199-$C200)))*6371,0)+AI199</f>
        <v>994.53016223562497</v>
      </c>
    </row>
    <row r="201" spans="1:35" ht="18" customHeight="1" x14ac:dyDescent="0.25">
      <c r="A201" s="36">
        <f t="shared" si="78"/>
        <v>0.74179399305555549</v>
      </c>
      <c r="B201" s="42">
        <f t="shared" si="63"/>
        <v>42.038387266553208</v>
      </c>
      <c r="C201" s="43">
        <f t="shared" si="64"/>
        <v>111.15719978078502</v>
      </c>
      <c r="D201" s="18">
        <f t="shared" si="65"/>
        <v>52.519487747215862</v>
      </c>
      <c r="E201" s="21" t="str">
        <f t="shared" si="66"/>
        <v>Umbra</v>
      </c>
      <c r="F201" s="23">
        <f>IF($E201&lt;&gt;"Umbra",fracil2($S$2,$S$3,$S$4,$A201,$Q$2,$O$3,$Q$4,$U201,$V201,$W201),0)</f>
        <v>0</v>
      </c>
      <c r="G201" s="19">
        <f t="shared" si="67"/>
        <v>69.301439655551661</v>
      </c>
      <c r="H201" s="19">
        <f t="shared" si="68"/>
        <v>-1.816047141406687</v>
      </c>
      <c r="I201" s="19">
        <f t="shared" si="69"/>
        <v>-0.60802919201179173</v>
      </c>
      <c r="J201" s="28">
        <f t="shared" si="70"/>
        <v>2.7445968744264186E-2</v>
      </c>
      <c r="K201" s="24">
        <f t="shared" si="71"/>
        <v>1027.5714584683315</v>
      </c>
      <c r="L201" s="32">
        <f t="shared" si="72"/>
        <v>0.54728061359663982</v>
      </c>
      <c r="M201" s="35">
        <f t="shared" si="73"/>
        <v>14.821137095388744</v>
      </c>
      <c r="O201" s="29">
        <f t="shared" si="74"/>
        <v>1020.8697637954871</v>
      </c>
      <c r="T201" s="48">
        <v>0.74179399305555549</v>
      </c>
      <c r="U201" s="29">
        <v>-1159.7878497714767</v>
      </c>
      <c r="V201" s="29">
        <v>4640.410577754802</v>
      </c>
      <c r="W201" s="29">
        <v>4283.9387227370389</v>
      </c>
      <c r="X201" s="4">
        <v>-1.2408614052220888</v>
      </c>
      <c r="Y201" s="4">
        <v>-0.71232569987001537</v>
      </c>
      <c r="Z201" s="4">
        <v>-1.5825308692046017E-2</v>
      </c>
      <c r="AA201" s="3">
        <f t="shared" si="79"/>
        <v>1.4308722409985604</v>
      </c>
      <c r="AB201" s="3">
        <f t="shared" si="82"/>
        <v>3.7892474672598682</v>
      </c>
      <c r="AC201" s="3">
        <f t="shared" si="80"/>
        <v>1.1004184582551884</v>
      </c>
      <c r="AD201" s="48"/>
      <c r="AE201" s="46">
        <f t="shared" si="75"/>
        <v>42.038387266553208</v>
      </c>
      <c r="AF201" s="46">
        <f t="shared" si="76"/>
        <v>-248.84280021921498</v>
      </c>
      <c r="AG201" s="47">
        <f t="shared" si="77"/>
        <v>52519.487747215862</v>
      </c>
      <c r="AH201" s="45" t="str">
        <f t="shared" si="81"/>
        <v>-248.84280,42.03839,52519</v>
      </c>
      <c r="AI201" s="44">
        <f t="shared" si="83"/>
        <v>995.59691928788823</v>
      </c>
    </row>
    <row r="202" spans="1:35" ht="18" customHeight="1" x14ac:dyDescent="0.25">
      <c r="A202" s="36">
        <f t="shared" si="78"/>
        <v>0.74180555555555561</v>
      </c>
      <c r="B202" s="42">
        <f t="shared" si="63"/>
        <v>42.040573103212957</v>
      </c>
      <c r="C202" s="43">
        <f t="shared" si="64"/>
        <v>111.16928415765773</v>
      </c>
      <c r="D202" s="18">
        <f t="shared" si="65"/>
        <v>52.220049729698076</v>
      </c>
      <c r="E202" s="21" t="str">
        <f t="shared" si="66"/>
        <v>Umbra</v>
      </c>
      <c r="F202" s="23">
        <f>IF($E202&lt;&gt;"Umbra",fracil2($S$2,$S$3,$S$4,$A202,$Q$2,$O$3,$Q$4,$U202,$V202,$W202),0)</f>
        <v>0</v>
      </c>
      <c r="G202" s="19">
        <f t="shared" si="67"/>
        <v>69.301000914722422</v>
      </c>
      <c r="H202" s="19">
        <f t="shared" si="68"/>
        <v>-1.8400715551530498</v>
      </c>
      <c r="I202" s="19">
        <f t="shared" si="69"/>
        <v>-0.6320536057581545</v>
      </c>
      <c r="J202" s="28">
        <f t="shared" si="70"/>
        <v>2.7068053764354092E-2</v>
      </c>
      <c r="K202" s="24">
        <f t="shared" si="71"/>
        <v>1028.5620856260412</v>
      </c>
      <c r="L202" s="32">
        <f t="shared" si="72"/>
        <v>0.54734478486886429</v>
      </c>
      <c r="M202" s="35">
        <f t="shared" si="73"/>
        <v>14.805559000102079</v>
      </c>
      <c r="O202" s="29">
        <f t="shared" si="74"/>
        <v>1021.8969032740447</v>
      </c>
      <c r="T202" s="48">
        <v>0.74180555555555561</v>
      </c>
      <c r="U202" s="29">
        <v>-1161.0107919983654</v>
      </c>
      <c r="V202" s="29">
        <v>4639.7065360121869</v>
      </c>
      <c r="W202" s="29">
        <v>4283.9200060116473</v>
      </c>
      <c r="X202" s="4">
        <v>-1.2075191093997582</v>
      </c>
      <c r="Y202" s="4">
        <v>-0.69716877728123294</v>
      </c>
      <c r="Z202" s="4">
        <v>-2.1608942882246407E-2</v>
      </c>
      <c r="AA202" s="3">
        <f t="shared" si="79"/>
        <v>1.3944940480309991</v>
      </c>
      <c r="AB202" s="3">
        <f t="shared" si="82"/>
        <v>3.6659371753347436</v>
      </c>
      <c r="AC202" s="3">
        <f t="shared" si="80"/>
        <v>1.0645062264934326</v>
      </c>
      <c r="AD202" s="48"/>
      <c r="AE202" s="46">
        <f t="shared" si="75"/>
        <v>42.040573103212957</v>
      </c>
      <c r="AF202" s="46">
        <f t="shared" si="76"/>
        <v>-248.83071584234227</v>
      </c>
      <c r="AG202" s="47">
        <f t="shared" si="77"/>
        <v>52220.049729698076</v>
      </c>
      <c r="AH202" s="45" t="str">
        <f t="shared" si="81"/>
        <v>-248.83072,42.04057,52220</v>
      </c>
      <c r="AI202" s="44">
        <f t="shared" si="83"/>
        <v>996.62405073796776</v>
      </c>
    </row>
    <row r="203" spans="1:35" ht="18" customHeight="1" x14ac:dyDescent="0.25">
      <c r="A203" s="36">
        <f t="shared" si="78"/>
        <v>0.74181711805555561</v>
      </c>
      <c r="B203" s="42">
        <f t="shared" si="63"/>
        <v>42.042678564322358</v>
      </c>
      <c r="C203" s="43">
        <f t="shared" si="64"/>
        <v>111.1809334878705</v>
      </c>
      <c r="D203" s="18">
        <f t="shared" si="65"/>
        <v>51.922187322217724</v>
      </c>
      <c r="E203" s="21" t="str">
        <f t="shared" si="66"/>
        <v>Umbra</v>
      </c>
      <c r="F203" s="23">
        <f>IF($E203&lt;&gt;"Umbra",fracil2($S$2,$S$3,$S$4,$A203,$Q$2,$O$3,$Q$4,$U203,$V203,$W203),0)</f>
        <v>0</v>
      </c>
      <c r="G203" s="19">
        <f t="shared" si="67"/>
        <v>69.300582563737564</v>
      </c>
      <c r="H203" s="19">
        <f t="shared" si="68"/>
        <v>-1.8637028199409942</v>
      </c>
      <c r="I203" s="19">
        <f t="shared" si="69"/>
        <v>-0.65568487054609892</v>
      </c>
      <c r="J203" s="28">
        <f t="shared" si="70"/>
        <v>2.6702312542754753E-2</v>
      </c>
      <c r="K203" s="24">
        <f t="shared" si="71"/>
        <v>1029.5158483321477</v>
      </c>
      <c r="L203" s="32">
        <f t="shared" si="72"/>
        <v>0.54740806331606984</v>
      </c>
      <c r="M203" s="35">
        <f t="shared" si="73"/>
        <v>14.79022437671248</v>
      </c>
      <c r="O203" s="29">
        <f t="shared" si="74"/>
        <v>1022.8869894999908</v>
      </c>
      <c r="T203" s="48">
        <v>0.74181711805555561</v>
      </c>
      <c r="U203" s="29">
        <v>-1162.1999552548964</v>
      </c>
      <c r="V203" s="29">
        <v>4639.0179884848121</v>
      </c>
      <c r="W203" s="29">
        <v>4283.8956371299601</v>
      </c>
      <c r="X203" s="4">
        <v>-1.1752395146692363</v>
      </c>
      <c r="Y203" s="4">
        <v>-0.68246689192905174</v>
      </c>
      <c r="Z203" s="4">
        <v>-2.7182431313708174E-2</v>
      </c>
      <c r="AA203" s="3">
        <f t="shared" si="79"/>
        <v>1.3592968255651179</v>
      </c>
      <c r="AB203" s="3">
        <f t="shared" si="82"/>
        <v>3.5428286206457549</v>
      </c>
      <c r="AC203" s="3">
        <f t="shared" si="80"/>
        <v>1.0297999900168153</v>
      </c>
      <c r="AD203" s="48"/>
      <c r="AE203" s="46">
        <f t="shared" si="75"/>
        <v>42.042678564322358</v>
      </c>
      <c r="AF203" s="46">
        <f t="shared" si="76"/>
        <v>-248.8190665121295</v>
      </c>
      <c r="AG203" s="47">
        <f t="shared" si="77"/>
        <v>51922.187322217724</v>
      </c>
      <c r="AH203" s="45" t="str">
        <f t="shared" si="81"/>
        <v>-248.81907,42.04268,51922</v>
      </c>
      <c r="AI203" s="44">
        <f t="shared" si="83"/>
        <v>997.61412883589571</v>
      </c>
    </row>
    <row r="204" spans="1:35" ht="18" customHeight="1" x14ac:dyDescent="0.25">
      <c r="A204" s="36">
        <f t="shared" si="78"/>
        <v>0.74182871527777783</v>
      </c>
      <c r="B204" s="42">
        <f t="shared" si="63"/>
        <v>42.044715882109621</v>
      </c>
      <c r="C204" s="43">
        <f t="shared" si="64"/>
        <v>111.19222168460108</v>
      </c>
      <c r="D204" s="18">
        <f t="shared" si="65"/>
        <v>51.624470674963959</v>
      </c>
      <c r="E204" s="21" t="str">
        <f t="shared" si="66"/>
        <v>Umbra</v>
      </c>
      <c r="F204" s="23">
        <f>IF($E204&lt;&gt;"Umbra",fracil2($S$2,$S$3,$S$4,$A204,$Q$2,$O$3,$Q$4,$U204,$V204,$W204),0)</f>
        <v>0</v>
      </c>
      <c r="G204" s="19">
        <f t="shared" si="67"/>
        <v>69.300189422788151</v>
      </c>
      <c r="H204" s="19">
        <f t="shared" si="68"/>
        <v>-1.887067674409328</v>
      </c>
      <c r="I204" s="19">
        <f t="shared" si="69"/>
        <v>-0.67904972501443273</v>
      </c>
      <c r="J204" s="28">
        <f t="shared" si="70"/>
        <v>2.6346790314762038E-2</v>
      </c>
      <c r="K204" s="24">
        <f t="shared" si="71"/>
        <v>1030.4388326798085</v>
      </c>
      <c r="L204" s="32">
        <f t="shared" si="72"/>
        <v>0.54747074781846328</v>
      </c>
      <c r="M204" s="35">
        <f t="shared" si="73"/>
        <v>14.775045765697298</v>
      </c>
      <c r="O204" s="29">
        <f t="shared" si="74"/>
        <v>1023.8462792244941</v>
      </c>
      <c r="T204" s="48">
        <v>0.74182871527777783</v>
      </c>
      <c r="U204" s="29">
        <v>-1163.3618777001061</v>
      </c>
      <c r="V204" s="29">
        <v>4638.3412857643443</v>
      </c>
      <c r="W204" s="29">
        <v>4283.8656773985886</v>
      </c>
      <c r="X204" s="4">
        <v>-1.1438529143138787</v>
      </c>
      <c r="Y204" s="4">
        <v>-0.66814512654447944</v>
      </c>
      <c r="Z204" s="4">
        <v>-3.2577131143664097E-2</v>
      </c>
      <c r="AA204" s="3">
        <f t="shared" si="79"/>
        <v>1.3250957207624827</v>
      </c>
      <c r="AB204" s="3">
        <f t="shared" si="82"/>
        <v>3.4279270283621663</v>
      </c>
      <c r="AC204" s="3">
        <f t="shared" si="80"/>
        <v>0.99611850907183686</v>
      </c>
      <c r="AD204" s="48"/>
      <c r="AE204" s="46">
        <f t="shared" si="75"/>
        <v>42.044715882109621</v>
      </c>
      <c r="AF204" s="46">
        <f t="shared" si="76"/>
        <v>-248.80777831539893</v>
      </c>
      <c r="AG204" s="47">
        <f t="shared" si="77"/>
        <v>51624.470674963959</v>
      </c>
      <c r="AH204" s="45" t="str">
        <f t="shared" si="81"/>
        <v>-248.80778,42.04472,51624</v>
      </c>
      <c r="AI204" s="44">
        <f t="shared" si="83"/>
        <v>998.57340912125096</v>
      </c>
    </row>
    <row r="205" spans="1:35" ht="18" customHeight="1" x14ac:dyDescent="0.25">
      <c r="A205" s="36">
        <f t="shared" si="78"/>
        <v>0.74184027777777783</v>
      </c>
      <c r="B205" s="42">
        <f t="shared" si="63"/>
        <v>42.046673267661035</v>
      </c>
      <c r="C205" s="43">
        <f t="shared" si="64"/>
        <v>111.20307823532481</v>
      </c>
      <c r="D205" s="18">
        <f t="shared" si="65"/>
        <v>51.32895733888472</v>
      </c>
      <c r="E205" s="21" t="str">
        <f t="shared" si="66"/>
        <v>Umbra</v>
      </c>
      <c r="F205" s="23">
        <f>IF($E205&lt;&gt;"Umbra",fracil2($S$2,$S$3,$S$4,$A205,$Q$2,$O$3,$Q$4,$U205,$V205,$W205),0)</f>
        <v>0</v>
      </c>
      <c r="G205" s="19">
        <f t="shared" si="67"/>
        <v>69.299818905260224</v>
      </c>
      <c r="H205" s="19">
        <f t="shared" si="68"/>
        <v>-1.9100118611935639</v>
      </c>
      <c r="I205" s="19">
        <f t="shared" si="69"/>
        <v>-0.70199391179866866</v>
      </c>
      <c r="J205" s="28">
        <f t="shared" si="70"/>
        <v>2.6003708248968027E-2</v>
      </c>
      <c r="K205" s="24">
        <f t="shared" si="71"/>
        <v>1031.3253255972575</v>
      </c>
      <c r="L205" s="32">
        <f t="shared" si="72"/>
        <v>0.54753244184508565</v>
      </c>
      <c r="M205" s="35">
        <f t="shared" si="73"/>
        <v>14.760127327402499</v>
      </c>
      <c r="O205" s="29">
        <f t="shared" si="74"/>
        <v>1024.7688071829191</v>
      </c>
      <c r="T205" s="48">
        <v>0.74184027777777783</v>
      </c>
      <c r="U205" s="29">
        <v>-1164.4894265090443</v>
      </c>
      <c r="V205" s="29">
        <v>4637.6807300054743</v>
      </c>
      <c r="W205" s="29">
        <v>4283.830525938497</v>
      </c>
      <c r="X205" s="4">
        <v>-1.1135573626570345</v>
      </c>
      <c r="Y205" s="4">
        <v>-0.65429604690714271</v>
      </c>
      <c r="Z205" s="4">
        <v>-3.776092037224444E-2</v>
      </c>
      <c r="AA205" s="3">
        <f t="shared" si="79"/>
        <v>1.2921064987195765</v>
      </c>
      <c r="AB205" s="3">
        <f t="shared" si="82"/>
        <v>3.3118348997412079</v>
      </c>
      <c r="AC205" s="3">
        <f t="shared" si="80"/>
        <v>0.96367513189798359</v>
      </c>
      <c r="AD205" s="48"/>
      <c r="AE205" s="46">
        <f t="shared" si="75"/>
        <v>42.046673267661035</v>
      </c>
      <c r="AF205" s="46">
        <f t="shared" si="76"/>
        <v>-248.79692176467518</v>
      </c>
      <c r="AG205" s="47">
        <f t="shared" si="77"/>
        <v>51328.95733888472</v>
      </c>
      <c r="AH205" s="45" t="str">
        <f t="shared" si="81"/>
        <v>-248.79692,42.04667,51329</v>
      </c>
      <c r="AI205" s="44">
        <f t="shared" si="83"/>
        <v>999.49592716441498</v>
      </c>
    </row>
    <row r="206" spans="1:35" ht="18" customHeight="1" x14ac:dyDescent="0.25">
      <c r="A206" s="36">
        <f t="shared" si="78"/>
        <v>0.74185185185185187</v>
      </c>
      <c r="B206" s="42">
        <f t="shared" si="63"/>
        <v>42.048562443242972</v>
      </c>
      <c r="C206" s="43">
        <f t="shared" si="64"/>
        <v>111.21356979902623</v>
      </c>
      <c r="D206" s="18">
        <f t="shared" si="65"/>
        <v>51.034249496879056</v>
      </c>
      <c r="E206" s="21" t="str">
        <f t="shared" si="66"/>
        <v>Umbra</v>
      </c>
      <c r="F206" s="23">
        <f>IF($E206&lt;&gt;"Umbra",fracil2($S$2,$S$3,$S$4,$A206,$Q$2,$O$3,$Q$4,$U206,$V206,$W206),0)</f>
        <v>0</v>
      </c>
      <c r="G206" s="19">
        <f t="shared" si="67"/>
        <v>69.299471122316163</v>
      </c>
      <c r="H206" s="19">
        <f t="shared" si="68"/>
        <v>-1.9326556612165877</v>
      </c>
      <c r="I206" s="19">
        <f t="shared" si="69"/>
        <v>-0.72463771182169245</v>
      </c>
      <c r="J206" s="28">
        <f t="shared" si="70"/>
        <v>2.5671145245483182E-2</v>
      </c>
      <c r="K206" s="24">
        <f t="shared" si="71"/>
        <v>1032.1808191909738</v>
      </c>
      <c r="L206" s="32">
        <f t="shared" si="72"/>
        <v>0.54759345087972033</v>
      </c>
      <c r="M206" s="35">
        <f t="shared" si="73"/>
        <v>14.745389391018259</v>
      </c>
      <c r="O206" s="29">
        <f t="shared" si="74"/>
        <v>1025.6602333178801</v>
      </c>
      <c r="T206" s="48">
        <v>0.74185185185185187</v>
      </c>
      <c r="U206" s="29">
        <v>-1165.5889027664493</v>
      </c>
      <c r="V206" s="29">
        <v>4637.0327905330751</v>
      </c>
      <c r="W206" s="29">
        <v>4283.7902228617304</v>
      </c>
      <c r="X206" s="4">
        <v>-1.0841866816749648</v>
      </c>
      <c r="Y206" s="4">
        <v>-0.64084571928748135</v>
      </c>
      <c r="Z206" s="4">
        <v>-4.2764034702189639E-2</v>
      </c>
      <c r="AA206" s="3">
        <f t="shared" si="79"/>
        <v>1.2601479116811927</v>
      </c>
      <c r="AB206" s="3">
        <f t="shared" si="82"/>
        <v>3.2003730910204267</v>
      </c>
      <c r="AC206" s="3">
        <f t="shared" si="80"/>
        <v>0.93229227336753273</v>
      </c>
      <c r="AD206" s="48"/>
      <c r="AE206" s="46">
        <f t="shared" si="75"/>
        <v>42.048562443242972</v>
      </c>
      <c r="AF206" s="46">
        <f t="shared" si="76"/>
        <v>-248.78643020097377</v>
      </c>
      <c r="AG206" s="47">
        <f t="shared" si="77"/>
        <v>51034.249496879056</v>
      </c>
      <c r="AH206" s="45" t="str">
        <f t="shared" si="81"/>
        <v>-248.78643,42.04856,51034</v>
      </c>
      <c r="AI206" s="44">
        <f t="shared" si="83"/>
        <v>1000.3873424817589</v>
      </c>
    </row>
    <row r="207" spans="1:35" ht="18" customHeight="1" x14ac:dyDescent="0.25">
      <c r="A207" s="36">
        <f t="shared" si="78"/>
        <v>0.74186341435185188</v>
      </c>
      <c r="B207" s="42">
        <f t="shared" si="63"/>
        <v>42.050378720954463</v>
      </c>
      <c r="C207" s="43">
        <f t="shared" si="64"/>
        <v>111.22366193396218</v>
      </c>
      <c r="D207" s="18">
        <f t="shared" si="65"/>
        <v>50.741438151329021</v>
      </c>
      <c r="E207" s="21" t="str">
        <f t="shared" si="66"/>
        <v>Umbra</v>
      </c>
      <c r="F207" s="23">
        <f>IF($E207&lt;&gt;"Umbra",fracil2($S$2,$S$3,$S$4,$A207,$Q$2,$O$3,$Q$4,$U207,$V207,$W207),0)</f>
        <v>0</v>
      </c>
      <c r="G207" s="19">
        <f t="shared" si="67"/>
        <v>69.299138643373738</v>
      </c>
      <c r="H207" s="19">
        <f t="shared" si="68"/>
        <v>-1.9549205099074851</v>
      </c>
      <c r="I207" s="19">
        <f t="shared" si="69"/>
        <v>-0.74690256051258985</v>
      </c>
      <c r="J207" s="28">
        <f t="shared" si="70"/>
        <v>2.5350046470863658E-2</v>
      </c>
      <c r="K207" s="24">
        <f t="shared" si="71"/>
        <v>1033.0025618051066</v>
      </c>
      <c r="L207" s="32">
        <f t="shared" si="72"/>
        <v>0.54765359704025196</v>
      </c>
      <c r="M207" s="35">
        <f t="shared" si="73"/>
        <v>14.730889621080456</v>
      </c>
      <c r="O207" s="29">
        <f t="shared" si="74"/>
        <v>1026.5176724664038</v>
      </c>
      <c r="T207" s="48">
        <v>0.74186341435185188</v>
      </c>
      <c r="U207" s="29">
        <v>-1166.6571431192503</v>
      </c>
      <c r="V207" s="29">
        <v>4636.3994849555047</v>
      </c>
      <c r="W207" s="29">
        <v>4283.7451105101773</v>
      </c>
      <c r="X207" s="4">
        <v>-1.0558271393409675</v>
      </c>
      <c r="Y207" s="4">
        <v>-0.62783538007512962</v>
      </c>
      <c r="Z207" s="4">
        <v>-4.7573332841687251E-2</v>
      </c>
      <c r="AA207" s="3">
        <f t="shared" si="79"/>
        <v>1.2293133996832049</v>
      </c>
      <c r="AB207" s="3">
        <f t="shared" si="82"/>
        <v>3.0858833591437338</v>
      </c>
      <c r="AC207" s="3">
        <f t="shared" si="80"/>
        <v>0.90206236131997242</v>
      </c>
      <c r="AD207" s="48"/>
      <c r="AE207" s="46">
        <f t="shared" si="75"/>
        <v>42.050378720954463</v>
      </c>
      <c r="AF207" s="46">
        <f t="shared" si="76"/>
        <v>-248.77633806603782</v>
      </c>
      <c r="AG207" s="47">
        <f t="shared" si="77"/>
        <v>50741.438151329021</v>
      </c>
      <c r="AH207" s="45" t="str">
        <f t="shared" si="81"/>
        <v>-248.77634,42.05038,50741</v>
      </c>
      <c r="AI207" s="44">
        <f t="shared" si="83"/>
        <v>1001.2447712060896</v>
      </c>
    </row>
    <row r="208" spans="1:35" ht="18" customHeight="1" x14ac:dyDescent="0.25">
      <c r="A208" s="36">
        <f t="shared" si="78"/>
        <v>0.74187501157407409</v>
      </c>
      <c r="B208" s="42">
        <f t="shared" si="63"/>
        <v>42.052134797521319</v>
      </c>
      <c r="C208" s="43">
        <f t="shared" si="64"/>
        <v>111.23343173807592</v>
      </c>
      <c r="D208" s="18">
        <f t="shared" si="65"/>
        <v>50.448810184050672</v>
      </c>
      <c r="E208" s="21" t="str">
        <f t="shared" si="66"/>
        <v>Umbra</v>
      </c>
      <c r="F208" s="23">
        <f>IF($E208&lt;&gt;"Umbra",fracil2($S$2,$S$3,$S$4,$A208,$Q$2,$O$3,$Q$4,$U208,$V208,$W208),0)</f>
        <v>0</v>
      </c>
      <c r="G208" s="19">
        <f t="shared" si="67"/>
        <v>69.298826537135696</v>
      </c>
      <c r="H208" s="19">
        <f t="shared" si="68"/>
        <v>-1.9769495171704212</v>
      </c>
      <c r="I208" s="19">
        <f t="shared" si="69"/>
        <v>-0.76893156777552596</v>
      </c>
      <c r="J208" s="28">
        <f t="shared" si="70"/>
        <v>2.5038237599407608E-2</v>
      </c>
      <c r="K208" s="24">
        <f t="shared" si="71"/>
        <v>1033.7968711796545</v>
      </c>
      <c r="L208" s="32">
        <f t="shared" si="72"/>
        <v>0.54771322538452893</v>
      </c>
      <c r="M208" s="35">
        <f t="shared" si="73"/>
        <v>14.716529487796436</v>
      </c>
      <c r="O208" s="29">
        <f t="shared" si="74"/>
        <v>1027.3476477550337</v>
      </c>
      <c r="T208" s="48">
        <v>0.74187501157407409</v>
      </c>
      <c r="U208" s="29">
        <v>-1167.7012126920017</v>
      </c>
      <c r="V208" s="29">
        <v>4635.7767657440463</v>
      </c>
      <c r="W208" s="29">
        <v>4283.6950983887973</v>
      </c>
      <c r="X208" s="4">
        <v>-1.028292060344471</v>
      </c>
      <c r="Y208" s="4">
        <v>-0.61518079772951872</v>
      </c>
      <c r="Z208" s="4">
        <v>-5.2221758330120181E-2</v>
      </c>
      <c r="AA208" s="3">
        <f t="shared" si="79"/>
        <v>1.199399469445311</v>
      </c>
      <c r="AB208" s="3">
        <f t="shared" si="82"/>
        <v>2.9795293635527078</v>
      </c>
      <c r="AC208" s="3">
        <f t="shared" si="80"/>
        <v>0.87278666185111498</v>
      </c>
      <c r="AD208" s="48"/>
      <c r="AE208" s="46">
        <f t="shared" si="75"/>
        <v>42.052134797521319</v>
      </c>
      <c r="AF208" s="46">
        <f t="shared" si="76"/>
        <v>-248.76656826192408</v>
      </c>
      <c r="AG208" s="47">
        <f t="shared" si="77"/>
        <v>50448.810184050672</v>
      </c>
      <c r="AH208" s="45" t="str">
        <f t="shared" si="81"/>
        <v>-248.76657,42.05213,50449</v>
      </c>
      <c r="AI208" s="44">
        <f t="shared" si="83"/>
        <v>1002.0747352618073</v>
      </c>
    </row>
    <row r="209" spans="1:35" ht="18" customHeight="1" x14ac:dyDescent="0.25">
      <c r="A209" s="36">
        <f t="shared" si="78"/>
        <v>0.74188658564814813</v>
      </c>
      <c r="B209" s="42">
        <f t="shared" si="63"/>
        <v>42.053822847375066</v>
      </c>
      <c r="C209" s="43">
        <f t="shared" si="64"/>
        <v>111.24283203696048</v>
      </c>
      <c r="D209" s="18">
        <f t="shared" si="65"/>
        <v>50.15800291791129</v>
      </c>
      <c r="E209" s="21" t="str">
        <f t="shared" si="66"/>
        <v>Umbra</v>
      </c>
      <c r="F209" s="23">
        <f>IF($E209&lt;&gt;"Umbra",fracil2($S$2,$S$3,$S$4,$A209,$Q$2,$O$3,$Q$4,$U209,$V209,$W209),0)</f>
        <v>0</v>
      </c>
      <c r="G209" s="19">
        <f t="shared" si="67"/>
        <v>69.29853283476578</v>
      </c>
      <c r="H209" s="19">
        <f t="shared" si="68"/>
        <v>-1.9986260676304561</v>
      </c>
      <c r="I209" s="19">
        <f t="shared" si="69"/>
        <v>-0.79060811823556087</v>
      </c>
      <c r="J209" s="28">
        <f t="shared" si="70"/>
        <v>2.4737172496997792E-2</v>
      </c>
      <c r="K209" s="24">
        <f t="shared" si="71"/>
        <v>1034.559959555319</v>
      </c>
      <c r="L209" s="32">
        <f t="shared" si="72"/>
        <v>0.54777203093432847</v>
      </c>
      <c r="M209" s="35">
        <f t="shared" si="73"/>
        <v>14.702387775849509</v>
      </c>
      <c r="O209" s="29">
        <f t="shared" si="74"/>
        <v>1028.1461705456234</v>
      </c>
      <c r="T209" s="48">
        <v>0.74188658564814813</v>
      </c>
      <c r="U209" s="29">
        <v>-1168.7160591342556</v>
      </c>
      <c r="V209" s="29">
        <v>4635.1677851567274</v>
      </c>
      <c r="W209" s="29">
        <v>4283.6406338354982</v>
      </c>
      <c r="X209" s="4">
        <v>-1.0017144312386377</v>
      </c>
      <c r="Y209" s="4">
        <v>-0.6029442698685179</v>
      </c>
      <c r="Z209" s="4">
        <v>-5.6687961833882652E-2</v>
      </c>
      <c r="AA209" s="3">
        <f t="shared" si="79"/>
        <v>1.1705499217615227</v>
      </c>
      <c r="AB209" s="3">
        <f t="shared" si="82"/>
        <v>2.8737541616731272</v>
      </c>
      <c r="AC209" s="3">
        <f t="shared" si="80"/>
        <v>0.84460662854183399</v>
      </c>
      <c r="AD209" s="48"/>
      <c r="AE209" s="46">
        <f t="shared" si="75"/>
        <v>42.053822847375066</v>
      </c>
      <c r="AF209" s="46">
        <f t="shared" si="76"/>
        <v>-248.75716796303954</v>
      </c>
      <c r="AG209" s="47">
        <f t="shared" si="77"/>
        <v>50158.00291791129</v>
      </c>
      <c r="AH209" s="45" t="str">
        <f t="shared" si="81"/>
        <v>-248.75717,42.05382,50158</v>
      </c>
      <c r="AI209" s="44">
        <f t="shared" si="83"/>
        <v>1002.8732465729746</v>
      </c>
    </row>
    <row r="210" spans="1:35" ht="18" customHeight="1" x14ac:dyDescent="0.25">
      <c r="A210" s="36">
        <f t="shared" si="78"/>
        <v>0.74189813657407411</v>
      </c>
      <c r="B210" s="42">
        <f t="shared" si="63"/>
        <v>42.055445850279717</v>
      </c>
      <c r="C210" s="43">
        <f t="shared" si="64"/>
        <v>111.25187958829868</v>
      </c>
      <c r="D210" s="18">
        <f t="shared" si="65"/>
        <v>49.868916783315399</v>
      </c>
      <c r="E210" s="21" t="str">
        <f t="shared" si="66"/>
        <v>Umbra</v>
      </c>
      <c r="F210" s="23">
        <f>IF($E210&lt;&gt;"Umbra",fracil2($S$2,$S$3,$S$4,$A210,$Q$2,$O$3,$Q$4,$U210,$V210,$W210),0)</f>
        <v>0</v>
      </c>
      <c r="G210" s="19">
        <f t="shared" si="67"/>
        <v>69.298257642825902</v>
      </c>
      <c r="H210" s="19">
        <f t="shared" si="68"/>
        <v>-2.0199678724059451</v>
      </c>
      <c r="I210" s="19">
        <f t="shared" si="69"/>
        <v>-0.81194992301104985</v>
      </c>
      <c r="J210" s="28">
        <f t="shared" si="70"/>
        <v>2.4446367780350847E-2</v>
      </c>
      <c r="K210" s="24">
        <f t="shared" si="71"/>
        <v>1035.2932419445278</v>
      </c>
      <c r="L210" s="32">
        <f t="shared" si="72"/>
        <v>0.54783005188874923</v>
      </c>
      <c r="M210" s="35">
        <f t="shared" si="73"/>
        <v>14.688452736277208</v>
      </c>
      <c r="O210" s="29">
        <f t="shared" si="74"/>
        <v>1028.9146660390643</v>
      </c>
      <c r="T210" s="48">
        <v>0.74189813657407411</v>
      </c>
      <c r="U210" s="29">
        <v>-1169.7029815622561</v>
      </c>
      <c r="V210" s="29">
        <v>4634.5719314932476</v>
      </c>
      <c r="W210" s="29">
        <v>4283.5818991623619</v>
      </c>
      <c r="X210" s="4">
        <v>-0.97605727723574676</v>
      </c>
      <c r="Y210" s="4">
        <v>-0.59110988744388127</v>
      </c>
      <c r="Z210" s="4">
        <v>-6.0979228976537111E-2</v>
      </c>
      <c r="AA210" s="3">
        <f t="shared" si="79"/>
        <v>1.1427235771810043</v>
      </c>
      <c r="AB210" s="3">
        <f t="shared" si="82"/>
        <v>2.771645058303883</v>
      </c>
      <c r="AC210" s="3">
        <f t="shared" si="80"/>
        <v>0.81748223460287706</v>
      </c>
      <c r="AD210" s="48"/>
      <c r="AE210" s="46">
        <f t="shared" si="75"/>
        <v>42.055445850279717</v>
      </c>
      <c r="AF210" s="46">
        <f t="shared" si="76"/>
        <v>-248.74812041170134</v>
      </c>
      <c r="AG210" s="47">
        <f t="shared" si="77"/>
        <v>49868.916783315399</v>
      </c>
      <c r="AH210" s="45" t="str">
        <f t="shared" si="81"/>
        <v>-248.74812,42.05545,49869</v>
      </c>
      <c r="AI210" s="44">
        <f t="shared" si="83"/>
        <v>1003.6417302246673</v>
      </c>
    </row>
    <row r="211" spans="1:35" ht="18" customHeight="1" x14ac:dyDescent="0.25">
      <c r="A211" s="36">
        <f t="shared" si="78"/>
        <v>0.74190973379629632</v>
      </c>
      <c r="B211" s="42">
        <f t="shared" si="63"/>
        <v>42.057014648095759</v>
      </c>
      <c r="C211" s="43">
        <f t="shared" si="64"/>
        <v>111.26063183616803</v>
      </c>
      <c r="D211" s="18">
        <f t="shared" si="65"/>
        <v>49.57995298367041</v>
      </c>
      <c r="E211" s="21" t="str">
        <f t="shared" si="66"/>
        <v>Umbra</v>
      </c>
      <c r="F211" s="23">
        <f>IF($E211&lt;&gt;"Umbra",fracil2($S$2,$S$3,$S$4,$A211,$Q$2,$O$3,$Q$4,$U211,$V211,$W211),0)</f>
        <v>0</v>
      </c>
      <c r="G211" s="19">
        <f t="shared" si="67"/>
        <v>69.297996383614489</v>
      </c>
      <c r="H211" s="19">
        <f t="shared" si="68"/>
        <v>-2.0410993166924176</v>
      </c>
      <c r="I211" s="19">
        <f t="shared" si="69"/>
        <v>-0.83308136729752236</v>
      </c>
      <c r="J211" s="28">
        <f t="shared" si="70"/>
        <v>2.4163903559983737E-2</v>
      </c>
      <c r="K211" s="24">
        <f t="shared" si="71"/>
        <v>1036.0014198822823</v>
      </c>
      <c r="L211" s="32">
        <f t="shared" si="72"/>
        <v>0.54788763442533306</v>
      </c>
      <c r="M211" s="35">
        <f t="shared" si="73"/>
        <v>14.674645427864862</v>
      </c>
      <c r="O211" s="29">
        <f t="shared" si="74"/>
        <v>1029.6580291958571</v>
      </c>
      <c r="T211" s="48">
        <v>0.74190973379629632</v>
      </c>
      <c r="U211" s="29">
        <v>-1170.6681788635647</v>
      </c>
      <c r="V211" s="29">
        <v>4633.9855971310099</v>
      </c>
      <c r="W211" s="29">
        <v>4283.5187257317812</v>
      </c>
      <c r="X211" s="4">
        <v>-0.95115718965649987</v>
      </c>
      <c r="Y211" s="4">
        <v>-0.57960298841163049</v>
      </c>
      <c r="Z211" s="4">
        <v>-6.5123611819516508E-2</v>
      </c>
      <c r="AA211" s="3">
        <f t="shared" si="79"/>
        <v>1.1157422231086187</v>
      </c>
      <c r="AB211" s="3">
        <f t="shared" si="82"/>
        <v>2.6707615781955143</v>
      </c>
      <c r="AC211" s="3">
        <f t="shared" si="80"/>
        <v>0.79124036759103678</v>
      </c>
      <c r="AD211" s="48"/>
      <c r="AE211" s="46">
        <f t="shared" si="75"/>
        <v>42.057014648095759</v>
      </c>
      <c r="AF211" s="46">
        <f t="shared" si="76"/>
        <v>-248.73936816383195</v>
      </c>
      <c r="AG211" s="47">
        <f t="shared" si="77"/>
        <v>49579.95298367041</v>
      </c>
      <c r="AH211" s="45" t="str">
        <f t="shared" si="81"/>
        <v>-248.73937,42.05701,49580</v>
      </c>
      <c r="AI211" s="44">
        <f t="shared" si="83"/>
        <v>1004.3850815012079</v>
      </c>
    </row>
    <row r="212" spans="1:35" ht="18" customHeight="1" x14ac:dyDescent="0.25">
      <c r="A212" s="36">
        <f t="shared" si="78"/>
        <v>0.74192129629629633</v>
      </c>
      <c r="B212" s="42">
        <f t="shared" si="63"/>
        <v>42.058522077482465</v>
      </c>
      <c r="C212" s="43">
        <f t="shared" si="64"/>
        <v>111.26905310405202</v>
      </c>
      <c r="D212" s="18">
        <f t="shared" si="65"/>
        <v>49.292769275595674</v>
      </c>
      <c r="E212" s="21" t="str">
        <f t="shared" si="66"/>
        <v>Umbra</v>
      </c>
      <c r="F212" s="23">
        <f>IF($E212&lt;&gt;"Umbra",fracil2($S$2,$S$3,$S$4,$A212,$Q$2,$O$3,$Q$4,$U212,$V212,$W212),0)</f>
        <v>0</v>
      </c>
      <c r="G212" s="19">
        <f t="shared" si="67"/>
        <v>69.297755097801598</v>
      </c>
      <c r="H212" s="19">
        <f t="shared" si="68"/>
        <v>-2.0619094696893701</v>
      </c>
      <c r="I212" s="19">
        <f t="shared" si="69"/>
        <v>-0.85389152029447479</v>
      </c>
      <c r="J212" s="28">
        <f t="shared" si="70"/>
        <v>2.389106570325758E-2</v>
      </c>
      <c r="K212" s="24">
        <f t="shared" si="71"/>
        <v>1036.6816503118339</v>
      </c>
      <c r="L212" s="32">
        <f t="shared" si="72"/>
        <v>0.54794444740449322</v>
      </c>
      <c r="M212" s="35">
        <f t="shared" si="73"/>
        <v>14.661034890190827</v>
      </c>
      <c r="O212" s="29">
        <f t="shared" si="74"/>
        <v>1030.3732124205051</v>
      </c>
      <c r="T212" s="48">
        <v>0.74192129629629633</v>
      </c>
      <c r="U212" s="29">
        <v>-1171.6068454320666</v>
      </c>
      <c r="V212" s="29">
        <v>4633.4118369276011</v>
      </c>
      <c r="W212" s="29">
        <v>4283.4516296794582</v>
      </c>
      <c r="X212" s="4">
        <v>-0.92713495249110356</v>
      </c>
      <c r="Y212" s="4">
        <v>-0.56847989764948759</v>
      </c>
      <c r="Z212" s="4">
        <v>-6.910156567554758E-2</v>
      </c>
      <c r="AA212" s="3">
        <f t="shared" si="79"/>
        <v>1.0897355828553388</v>
      </c>
      <c r="AB212" s="3">
        <f t="shared" si="82"/>
        <v>2.5757638778115521</v>
      </c>
      <c r="AC212" s="3">
        <f t="shared" si="80"/>
        <v>0.76600768494578864</v>
      </c>
      <c r="AD212" s="48"/>
      <c r="AE212" s="46">
        <f t="shared" si="75"/>
        <v>42.058522077482465</v>
      </c>
      <c r="AF212" s="46">
        <f t="shared" si="76"/>
        <v>-248.73094689594797</v>
      </c>
      <c r="AG212" s="47">
        <f t="shared" si="77"/>
        <v>49292.769275595674</v>
      </c>
      <c r="AH212" s="45" t="str">
        <f t="shared" si="81"/>
        <v>-248.73095,42.05852,49293</v>
      </c>
      <c r="AI212" s="44">
        <f t="shared" si="83"/>
        <v>1005.1002521698271</v>
      </c>
    </row>
    <row r="213" spans="1:35" ht="18" customHeight="1" x14ac:dyDescent="0.25">
      <c r="A213" s="36">
        <f t="shared" si="78"/>
        <v>0.74193285879629622</v>
      </c>
      <c r="B213" s="42">
        <f t="shared" si="63"/>
        <v>42.059972260076464</v>
      </c>
      <c r="C213" s="43">
        <f t="shared" si="64"/>
        <v>111.27715832538409</v>
      </c>
      <c r="D213" s="18">
        <f t="shared" si="65"/>
        <v>49.006987091934207</v>
      </c>
      <c r="E213" s="21" t="str">
        <f t="shared" si="66"/>
        <v>Umbra</v>
      </c>
      <c r="F213" s="23">
        <f>IF($E213&lt;&gt;"Umbra",fracil2($S$2,$S$3,$S$4,$A213,$Q$2,$O$3,$Q$4,$U213,$V213,$W213),0)</f>
        <v>0</v>
      </c>
      <c r="G213" s="19">
        <f t="shared" si="67"/>
        <v>69.297525022301016</v>
      </c>
      <c r="H213" s="19">
        <f t="shared" si="68"/>
        <v>-2.0824301301538894</v>
      </c>
      <c r="I213" s="19">
        <f t="shared" si="69"/>
        <v>-0.87441218075899418</v>
      </c>
      <c r="J213" s="28">
        <f t="shared" si="70"/>
        <v>2.3627114355571948E-2</v>
      </c>
      <c r="K213" s="24">
        <f t="shared" si="71"/>
        <v>1037.3351939965798</v>
      </c>
      <c r="L213" s="32">
        <f t="shared" si="72"/>
        <v>0.54800061096228836</v>
      </c>
      <c r="M213" s="35">
        <f t="shared" si="73"/>
        <v>14.647606658776855</v>
      </c>
      <c r="O213" s="29">
        <f t="shared" si="74"/>
        <v>1031.0615224720671</v>
      </c>
      <c r="T213" s="48">
        <v>0.74193285879629622</v>
      </c>
      <c r="U213" s="29">
        <v>-1172.5210714734076</v>
      </c>
      <c r="V213" s="29">
        <v>4632.8495323840489</v>
      </c>
      <c r="W213" s="29">
        <v>4283.3807010636829</v>
      </c>
      <c r="X213" s="4">
        <v>-0.90393179429117554</v>
      </c>
      <c r="Y213" s="4">
        <v>-0.5577138546049234</v>
      </c>
      <c r="Z213" s="4">
        <v>-7.2923354871772886E-2</v>
      </c>
      <c r="AA213" s="3">
        <f t="shared" si="79"/>
        <v>1.0646385527654445</v>
      </c>
      <c r="AB213" s="3">
        <f t="shared" si="82"/>
        <v>2.4791979989002049</v>
      </c>
      <c r="AC213" s="3">
        <f t="shared" si="80"/>
        <v>0.74172098038437029</v>
      </c>
      <c r="AD213" s="48"/>
      <c r="AE213" s="46">
        <f t="shared" si="75"/>
        <v>42.059972260076464</v>
      </c>
      <c r="AF213" s="46">
        <f t="shared" si="76"/>
        <v>-248.72284167461589</v>
      </c>
      <c r="AG213" s="47">
        <f t="shared" si="77"/>
        <v>49006.987091934207</v>
      </c>
      <c r="AH213" s="45" t="str">
        <f t="shared" si="81"/>
        <v>-248.72284,42.05997,49007</v>
      </c>
      <c r="AI213" s="44">
        <f t="shared" si="83"/>
        <v>1005.7885500834444</v>
      </c>
    </row>
    <row r="214" spans="1:35" ht="18" customHeight="1" x14ac:dyDescent="0.25">
      <c r="A214" s="36">
        <f t="shared" si="78"/>
        <v>0.74194445601851855</v>
      </c>
      <c r="B214" s="42">
        <f t="shared" si="63"/>
        <v>42.061373907702418</v>
      </c>
      <c r="C214" s="43">
        <f t="shared" si="64"/>
        <v>111.28500328335912</v>
      </c>
      <c r="D214" s="18">
        <f t="shared" si="65"/>
        <v>48.721209560552779</v>
      </c>
      <c r="E214" s="21" t="str">
        <f t="shared" si="66"/>
        <v>Umbra</v>
      </c>
      <c r="F214" s="23">
        <f>IF($E214&lt;&gt;"Umbra",fracil2($S$2,$S$3,$S$4,$A214,$Q$2,$O$3,$Q$4,$U214,$V214,$W214),0)</f>
        <v>0</v>
      </c>
      <c r="G214" s="19">
        <f t="shared" si="67"/>
        <v>69.29731248487731</v>
      </c>
      <c r="H214" s="19">
        <f t="shared" si="68"/>
        <v>-2.1027725319378403</v>
      </c>
      <c r="I214" s="19">
        <f t="shared" si="69"/>
        <v>-0.89475458254294504</v>
      </c>
      <c r="J214" s="28">
        <f t="shared" si="70"/>
        <v>2.3370422383721827E-2</v>
      </c>
      <c r="K214" s="24">
        <f t="shared" si="71"/>
        <v>1037.9665909875368</v>
      </c>
      <c r="L214" s="32">
        <f t="shared" si="72"/>
        <v>0.54805638728399908</v>
      </c>
      <c r="M214" s="35">
        <f t="shared" si="73"/>
        <v>14.634282322616679</v>
      </c>
      <c r="O214" s="29">
        <f t="shared" si="74"/>
        <v>1031.7276662039278</v>
      </c>
      <c r="T214" s="48">
        <v>0.74194445601851855</v>
      </c>
      <c r="U214" s="29">
        <v>-1173.4159778383971</v>
      </c>
      <c r="V214" s="29">
        <v>4632.2956598859992</v>
      </c>
      <c r="W214" s="29">
        <v>4283.3057290392335</v>
      </c>
      <c r="X214" s="4">
        <v>-0.88141366109349339</v>
      </c>
      <c r="Y214" s="4">
        <v>-0.54724272187081424</v>
      </c>
      <c r="Z214" s="4">
        <v>-7.6611251458938309E-2</v>
      </c>
      <c r="AA214" s="3">
        <f t="shared" si="79"/>
        <v>1.0403047257668869</v>
      </c>
      <c r="AB214" s="3">
        <f t="shared" si="82"/>
        <v>2.3898730856048029</v>
      </c>
      <c r="AC214" s="3">
        <f t="shared" si="80"/>
        <v>0.71823901471576468</v>
      </c>
      <c r="AD214" s="48"/>
      <c r="AE214" s="46">
        <f t="shared" si="75"/>
        <v>42.061373907702418</v>
      </c>
      <c r="AF214" s="46">
        <f t="shared" si="76"/>
        <v>-248.71499671664088</v>
      </c>
      <c r="AG214" s="47">
        <f t="shared" si="77"/>
        <v>48721.209560552779</v>
      </c>
      <c r="AH214" s="45" t="str">
        <f t="shared" si="81"/>
        <v>-248.71500,42.06137,48721</v>
      </c>
      <c r="AI214" s="44">
        <f t="shared" si="83"/>
        <v>1006.4546809526091</v>
      </c>
    </row>
    <row r="215" spans="1:35" ht="18" customHeight="1" x14ac:dyDescent="0.25">
      <c r="A215" s="36">
        <f t="shared" si="78"/>
        <v>0.74195600694444452</v>
      </c>
      <c r="B215" s="42">
        <f t="shared" si="63"/>
        <v>42.062716163129629</v>
      </c>
      <c r="C215" s="43">
        <f t="shared" si="64"/>
        <v>111.29251754250691</v>
      </c>
      <c r="D215" s="18">
        <f t="shared" si="65"/>
        <v>48.43803351130282</v>
      </c>
      <c r="E215" s="21" t="str">
        <f t="shared" si="66"/>
        <v>Umbra</v>
      </c>
      <c r="F215" s="23">
        <f>IF($E215&lt;&gt;"Umbra",fracil2($S$2,$S$3,$S$4,$A215,$Q$2,$O$3,$Q$4,$U215,$V215,$W215),0)</f>
        <v>0</v>
      </c>
      <c r="G215" s="19">
        <f t="shared" si="67"/>
        <v>69.297109344718223</v>
      </c>
      <c r="H215" s="19">
        <f t="shared" si="68"/>
        <v>-2.1227542299795572</v>
      </c>
      <c r="I215" s="19">
        <f t="shared" si="69"/>
        <v>-0.91473628058466194</v>
      </c>
      <c r="J215" s="28">
        <f t="shared" si="70"/>
        <v>2.3122956068789949E-2</v>
      </c>
      <c r="K215" s="24">
        <f t="shared" si="71"/>
        <v>1038.5702209981519</v>
      </c>
      <c r="L215" s="32">
        <f t="shared" si="72"/>
        <v>0.54811131851694161</v>
      </c>
      <c r="M215" s="35">
        <f t="shared" si="73"/>
        <v>14.621188943660156</v>
      </c>
      <c r="O215" s="29">
        <f t="shared" si="74"/>
        <v>1032.3657079156437</v>
      </c>
      <c r="T215" s="48">
        <v>0.74195600694444452</v>
      </c>
      <c r="U215" s="29">
        <v>-1174.2841894930868</v>
      </c>
      <c r="V215" s="29">
        <v>4631.7549312492765</v>
      </c>
      <c r="W215" s="29">
        <v>4283.2275520057592</v>
      </c>
      <c r="X215" s="4">
        <v>-0.85976027246516329</v>
      </c>
      <c r="Y215" s="4">
        <v>-0.53715010269530694</v>
      </c>
      <c r="Z215" s="4">
        <v>-8.0136004758854962E-2</v>
      </c>
      <c r="AA215" s="3">
        <f t="shared" si="79"/>
        <v>1.0169266139666429</v>
      </c>
      <c r="AB215" s="3">
        <f t="shared" si="82"/>
        <v>2.2982500872512528</v>
      </c>
      <c r="AC215" s="3">
        <f t="shared" si="80"/>
        <v>0.69574744764079677</v>
      </c>
      <c r="AD215" s="48"/>
      <c r="AE215" s="46">
        <f t="shared" si="75"/>
        <v>42.062716163129629</v>
      </c>
      <c r="AF215" s="46">
        <f t="shared" si="76"/>
        <v>-248.70748245749309</v>
      </c>
      <c r="AG215" s="47">
        <f t="shared" si="77"/>
        <v>48438.03351130282</v>
      </c>
      <c r="AH215" s="45" t="str">
        <f t="shared" si="81"/>
        <v>-248.70748,42.06272,48438</v>
      </c>
      <c r="AI215" s="44">
        <f t="shared" si="83"/>
        <v>1007.0927105299584</v>
      </c>
    </row>
    <row r="216" spans="1:35" ht="18" customHeight="1" x14ac:dyDescent="0.25">
      <c r="A216" s="36">
        <f t="shared" si="78"/>
        <v>0.74196760416666674</v>
      </c>
      <c r="B216" s="42">
        <f t="shared" si="63"/>
        <v>42.064014843329517</v>
      </c>
      <c r="C216" s="43">
        <f t="shared" si="64"/>
        <v>111.29979916751057</v>
      </c>
      <c r="D216" s="18">
        <f t="shared" si="65"/>
        <v>48.154490605895262</v>
      </c>
      <c r="E216" s="21" t="str">
        <f t="shared" si="66"/>
        <v>Umbra</v>
      </c>
      <c r="F216" s="23">
        <f>IF($E216&lt;&gt;"Umbra",fracil2($S$2,$S$3,$S$4,$A216,$Q$2,$O$3,$Q$4,$U216,$V216,$W216),0)</f>
        <v>0</v>
      </c>
      <c r="G216" s="19">
        <f t="shared" si="67"/>
        <v>69.296923388818286</v>
      </c>
      <c r="H216" s="19">
        <f t="shared" si="68"/>
        <v>-2.1425973035875834</v>
      </c>
      <c r="I216" s="19">
        <f t="shared" si="69"/>
        <v>-0.93457935419268812</v>
      </c>
      <c r="J216" s="28">
        <f t="shared" si="70"/>
        <v>2.2881736836520134E-2</v>
      </c>
      <c r="K216" s="24">
        <f t="shared" si="71"/>
        <v>1039.1540120709963</v>
      </c>
      <c r="L216" s="32">
        <f t="shared" si="72"/>
        <v>0.54816596037350163</v>
      </c>
      <c r="M216" s="35">
        <f t="shared" si="73"/>
        <v>14.608173533560691</v>
      </c>
      <c r="O216" s="29">
        <f t="shared" si="74"/>
        <v>1032.9839329877125</v>
      </c>
      <c r="T216" s="48">
        <v>0.74196760416666674</v>
      </c>
      <c r="U216" s="29">
        <v>-1175.1355145724219</v>
      </c>
      <c r="V216" s="29">
        <v>4631.2213786698239</v>
      </c>
      <c r="W216" s="29">
        <v>4283.1454965516868</v>
      </c>
      <c r="X216" s="4">
        <v>-0.83872105870238134</v>
      </c>
      <c r="Y216" s="4">
        <v>-0.52731902005456244</v>
      </c>
      <c r="Z216" s="4">
        <v>-8.3538403715342949E-2</v>
      </c>
      <c r="AA216" s="3">
        <f t="shared" si="79"/>
        <v>0.99423187844559424</v>
      </c>
      <c r="AB216" s="3">
        <f t="shared" si="82"/>
        <v>2.2149561279309822</v>
      </c>
      <c r="AC216" s="3">
        <f t="shared" si="80"/>
        <v>0.67398414813073826</v>
      </c>
      <c r="AD216" s="48"/>
      <c r="AE216" s="46">
        <f t="shared" si="75"/>
        <v>42.064014843329517</v>
      </c>
      <c r="AF216" s="46">
        <f t="shared" si="76"/>
        <v>-248.70020083248943</v>
      </c>
      <c r="AG216" s="47">
        <f t="shared" si="77"/>
        <v>48154.490605895262</v>
      </c>
      <c r="AH216" s="45" t="str">
        <f t="shared" si="81"/>
        <v>-248.70020,42.06401,48154</v>
      </c>
      <c r="AI216" s="44">
        <f t="shared" si="83"/>
        <v>1007.7109226666354</v>
      </c>
    </row>
    <row r="217" spans="1:35" ht="18" customHeight="1" x14ac:dyDescent="0.25">
      <c r="A217" s="36">
        <f t="shared" si="78"/>
        <v>0.74197916666666675</v>
      </c>
      <c r="B217" s="42">
        <f t="shared" si="63"/>
        <v>42.065260352465721</v>
      </c>
      <c r="C217" s="43">
        <f t="shared" si="64"/>
        <v>111.30678696518038</v>
      </c>
      <c r="D217" s="18">
        <f t="shared" si="65"/>
        <v>47.873018366997712</v>
      </c>
      <c r="E217" s="21" t="str">
        <f t="shared" si="66"/>
        <v>Umbra</v>
      </c>
      <c r="F217" s="23">
        <f>IF($E217&lt;&gt;"Umbra",fracil2($S$2,$S$3,$S$4,$A217,$Q$2,$O$3,$Q$4,$U217,$V217,$W217),0)</f>
        <v>0</v>
      </c>
      <c r="G217" s="19">
        <f t="shared" si="67"/>
        <v>69.296748536232329</v>
      </c>
      <c r="H217" s="19">
        <f t="shared" si="68"/>
        <v>-2.1621335805845576</v>
      </c>
      <c r="I217" s="19">
        <f t="shared" si="69"/>
        <v>-0.95411563118966236</v>
      </c>
      <c r="J217" s="28">
        <f t="shared" si="70"/>
        <v>2.2648491700790432E-2</v>
      </c>
      <c r="K217" s="24">
        <f t="shared" si="71"/>
        <v>1039.7130994695303</v>
      </c>
      <c r="L217" s="32">
        <f t="shared" si="72"/>
        <v>0.5482198818178351</v>
      </c>
      <c r="M217" s="35">
        <f t="shared" si="73"/>
        <v>14.595352162526986</v>
      </c>
      <c r="O217" s="29">
        <f t="shared" si="74"/>
        <v>1033.5771805899699</v>
      </c>
      <c r="T217" s="48">
        <v>0.74197916666666675</v>
      </c>
      <c r="U217" s="29">
        <v>-1175.9632738575381</v>
      </c>
      <c r="V217" s="29">
        <v>4630.699318676162</v>
      </c>
      <c r="W217" s="29">
        <v>4283.0603992198885</v>
      </c>
      <c r="X217" s="4">
        <v>-0.81845535097947131</v>
      </c>
      <c r="Y217" s="4">
        <v>-0.51782351540370497</v>
      </c>
      <c r="Z217" s="4">
        <v>-8.6792494060955794E-2</v>
      </c>
      <c r="AA217" s="3">
        <f t="shared" si="79"/>
        <v>0.97239050369555835</v>
      </c>
      <c r="AB217" s="3">
        <f t="shared" si="82"/>
        <v>2.1306329374588722</v>
      </c>
      <c r="AC217" s="3">
        <f t="shared" si="80"/>
        <v>0.6531120545325898</v>
      </c>
      <c r="AD217" s="48"/>
      <c r="AE217" s="46">
        <f t="shared" si="75"/>
        <v>42.065260352465721</v>
      </c>
      <c r="AF217" s="46">
        <f t="shared" si="76"/>
        <v>-248.69321303481962</v>
      </c>
      <c r="AG217" s="47">
        <f t="shared" si="77"/>
        <v>47873.018366997712</v>
      </c>
      <c r="AH217" s="45" t="str">
        <f t="shared" si="81"/>
        <v>-248.69321,42.06526,47873</v>
      </c>
      <c r="AI217" s="44">
        <f t="shared" si="83"/>
        <v>1008.3041576274251</v>
      </c>
    </row>
    <row r="218" spans="1:35" ht="18" customHeight="1" x14ac:dyDescent="0.25">
      <c r="A218" s="36">
        <f t="shared" si="78"/>
        <v>0.74199078703703714</v>
      </c>
      <c r="B218" s="42">
        <f t="shared" si="63"/>
        <v>42.06646423193601</v>
      </c>
      <c r="C218" s="43">
        <f t="shared" si="64"/>
        <v>111.31354504080025</v>
      </c>
      <c r="D218" s="18">
        <f t="shared" si="65"/>
        <v>47.591365174304883</v>
      </c>
      <c r="E218" s="21" t="str">
        <f t="shared" si="66"/>
        <v>Umbra</v>
      </c>
      <c r="F218" s="23">
        <f>IF($E218&lt;&gt;"Umbra",fracil2($S$2,$S$3,$S$4,$A218,$Q$2,$O$3,$Q$4,$U218,$V218,$W218),0)</f>
        <v>0</v>
      </c>
      <c r="G218" s="19">
        <f t="shared" si="67"/>
        <v>69.296582722140656</v>
      </c>
      <c r="H218" s="19">
        <f t="shared" si="68"/>
        <v>-2.1815255323530209</v>
      </c>
      <c r="I218" s="19">
        <f t="shared" si="69"/>
        <v>-0.97350758295812567</v>
      </c>
      <c r="J218" s="28">
        <f t="shared" si="70"/>
        <v>2.2420984761037634E-2</v>
      </c>
      <c r="K218" s="24">
        <f t="shared" si="71"/>
        <v>1040.2526578299116</v>
      </c>
      <c r="L218" s="32">
        <f t="shared" si="72"/>
        <v>0.54827352904206705</v>
      </c>
      <c r="M218" s="35">
        <f t="shared" si="73"/>
        <v>14.582618697519031</v>
      </c>
      <c r="O218" s="29">
        <f t="shared" si="74"/>
        <v>1034.150897308409</v>
      </c>
      <c r="T218" s="48">
        <v>0.74199078703703714</v>
      </c>
      <c r="U218" s="29">
        <v>-1176.7747354535118</v>
      </c>
      <c r="V218" s="29">
        <v>4630.1843016688917</v>
      </c>
      <c r="W218" s="29">
        <v>4282.9717111816717</v>
      </c>
      <c r="X218" s="4">
        <v>-0.79877890790989425</v>
      </c>
      <c r="Y218" s="4">
        <v>-0.50857669877066725</v>
      </c>
      <c r="Z218" s="4">
        <v>-8.9927550381463647E-2</v>
      </c>
      <c r="AA218" s="3">
        <f t="shared" si="79"/>
        <v>0.95120185374703936</v>
      </c>
      <c r="AB218" s="3">
        <f t="shared" si="82"/>
        <v>2.0490060571709039</v>
      </c>
      <c r="AC218" s="3">
        <f t="shared" si="80"/>
        <v>0.63293913092234966</v>
      </c>
      <c r="AD218" s="48"/>
      <c r="AE218" s="46">
        <f t="shared" si="75"/>
        <v>42.06646423193601</v>
      </c>
      <c r="AF218" s="46">
        <f t="shared" si="76"/>
        <v>-248.68645495919975</v>
      </c>
      <c r="AG218" s="47">
        <f t="shared" si="77"/>
        <v>47591.365174304883</v>
      </c>
      <c r="AH218" s="45" t="str">
        <f t="shared" si="81"/>
        <v>-248.68645,42.06646,47591</v>
      </c>
      <c r="AI218" s="44">
        <f t="shared" si="83"/>
        <v>1008.8778619310142</v>
      </c>
    </row>
    <row r="219" spans="1:35" ht="18" customHeight="1" x14ac:dyDescent="0.25">
      <c r="A219" s="36">
        <f t="shared" si="78"/>
        <v>0.74200236111111106</v>
      </c>
      <c r="B219" s="42">
        <f t="shared" si="63"/>
        <v>42.067618439397329</v>
      </c>
      <c r="C219" s="43">
        <f t="shared" si="64"/>
        <v>111.32003196529236</v>
      </c>
      <c r="D219" s="18">
        <f t="shared" si="65"/>
        <v>47.311769710929184</v>
      </c>
      <c r="E219" s="21" t="str">
        <f t="shared" si="66"/>
        <v>Umbra</v>
      </c>
      <c r="F219" s="23">
        <f>IF($E219&lt;&gt;"Umbra",fracil2($S$2,$S$3,$S$4,$A219,$Q$2,$O$3,$Q$4,$U219,$V219,$W219),0)</f>
        <v>0</v>
      </c>
      <c r="G219" s="19">
        <f t="shared" si="67"/>
        <v>69.296431116673631</v>
      </c>
      <c r="H219" s="19">
        <f t="shared" si="68"/>
        <v>-2.2006273945361294</v>
      </c>
      <c r="I219" s="19">
        <f t="shared" si="69"/>
        <v>-0.99260944514123417</v>
      </c>
      <c r="J219" s="28">
        <f t="shared" si="70"/>
        <v>2.2200652814621025E-2</v>
      </c>
      <c r="K219" s="24">
        <f t="shared" si="71"/>
        <v>1040.7694281767629</v>
      </c>
      <c r="L219" s="32">
        <f t="shared" si="72"/>
        <v>0.54832647462683326</v>
      </c>
      <c r="M219" s="35">
        <f t="shared" si="73"/>
        <v>14.570065956132259</v>
      </c>
      <c r="O219" s="29">
        <f t="shared" si="74"/>
        <v>1034.7015505957083</v>
      </c>
      <c r="T219" s="48">
        <v>0.74200236111111106</v>
      </c>
      <c r="U219" s="29">
        <v>-1177.5640788688945</v>
      </c>
      <c r="V219" s="29">
        <v>4629.6801552285087</v>
      </c>
      <c r="W219" s="29">
        <v>4282.8802649380323</v>
      </c>
      <c r="X219" s="4">
        <v>-0.77982651607005571</v>
      </c>
      <c r="Y219" s="4">
        <v>-0.49964126349205917</v>
      </c>
      <c r="Z219" s="4">
        <v>-9.2921716260967832E-2</v>
      </c>
      <c r="AA219" s="3">
        <f t="shared" si="79"/>
        <v>0.93080891309805691</v>
      </c>
      <c r="AB219" s="3">
        <f t="shared" si="82"/>
        <v>1.9720664869438647</v>
      </c>
      <c r="AC219" s="3">
        <f t="shared" si="80"/>
        <v>0.61360104695162243</v>
      </c>
      <c r="AD219" s="48"/>
      <c r="AE219" s="46">
        <f t="shared" si="75"/>
        <v>42.067618439397329</v>
      </c>
      <c r="AF219" s="46">
        <f t="shared" si="76"/>
        <v>-248.67996803470766</v>
      </c>
      <c r="AG219" s="47">
        <f t="shared" si="77"/>
        <v>47311.769710929184</v>
      </c>
      <c r="AH219" s="45" t="str">
        <f t="shared" si="81"/>
        <v>-248.67997,42.06762,47312</v>
      </c>
      <c r="AI219" s="44">
        <f t="shared" si="83"/>
        <v>1009.4285025853731</v>
      </c>
    </row>
    <row r="220" spans="1:35" ht="18" customHeight="1" x14ac:dyDescent="0.25">
      <c r="A220" s="36">
        <f t="shared" si="78"/>
        <v>0.74201391203703704</v>
      </c>
      <c r="B220" s="42">
        <f t="shared" si="63"/>
        <v>42.068726836216186</v>
      </c>
      <c r="C220" s="43">
        <f t="shared" si="64"/>
        <v>111.32626763596056</v>
      </c>
      <c r="D220" s="18">
        <f t="shared" si="65"/>
        <v>47.033747479192243</v>
      </c>
      <c r="E220" s="21" t="str">
        <f t="shared" si="66"/>
        <v>Umbra</v>
      </c>
      <c r="F220" s="23">
        <f>IF($E220&lt;&gt;"Umbra",fracil2($S$2,$S$3,$S$4,$A220,$Q$2,$O$3,$Q$4,$U220,$V220,$W220),0)</f>
        <v>0</v>
      </c>
      <c r="G220" s="19">
        <f t="shared" si="67"/>
        <v>69.296291524361976</v>
      </c>
      <c r="H220" s="19">
        <f t="shared" si="68"/>
        <v>-2.2194787646084566</v>
      </c>
      <c r="I220" s="19">
        <f t="shared" si="69"/>
        <v>-1.0114608152135613</v>
      </c>
      <c r="J220" s="28">
        <f t="shared" si="70"/>
        <v>2.1986695058718111E-2</v>
      </c>
      <c r="K220" s="24">
        <f t="shared" si="71"/>
        <v>1041.2650508147522</v>
      </c>
      <c r="L220" s="32">
        <f t="shared" si="72"/>
        <v>0.54837883126079767</v>
      </c>
      <c r="M220" s="35">
        <f t="shared" si="73"/>
        <v>14.557669367424598</v>
      </c>
      <c r="O220" s="29">
        <f t="shared" si="74"/>
        <v>1035.2308387606611</v>
      </c>
      <c r="T220" s="48">
        <v>0.74201391203703704</v>
      </c>
      <c r="U220" s="29">
        <v>-1178.3334370383</v>
      </c>
      <c r="V220" s="29">
        <v>4629.1856801051472</v>
      </c>
      <c r="W220" s="29">
        <v>4282.786057463195</v>
      </c>
      <c r="X220" s="4">
        <v>-0.76153864159781248</v>
      </c>
      <c r="Y220" s="4">
        <v>-0.49098862158021767</v>
      </c>
      <c r="Z220" s="4">
        <v>-9.5784140065217557E-2</v>
      </c>
      <c r="AA220" s="3">
        <f t="shared" si="79"/>
        <v>0.91114517540066953</v>
      </c>
      <c r="AB220" s="3">
        <f t="shared" si="82"/>
        <v>1.8972992186587374</v>
      </c>
      <c r="AC220" s="3">
        <f t="shared" si="80"/>
        <v>0.59503334064565416</v>
      </c>
      <c r="AD220" s="48"/>
      <c r="AE220" s="46">
        <f t="shared" si="75"/>
        <v>42.068726836216186</v>
      </c>
      <c r="AF220" s="46">
        <f t="shared" si="76"/>
        <v>-248.67373236403944</v>
      </c>
      <c r="AG220" s="47">
        <f t="shared" si="77"/>
        <v>47033.747479192243</v>
      </c>
      <c r="AH220" s="45" t="str">
        <f t="shared" si="81"/>
        <v>-248.67373,42.06873,47034</v>
      </c>
      <c r="AI220" s="44">
        <f t="shared" si="83"/>
        <v>1009.9577780679714</v>
      </c>
    </row>
    <row r="221" spans="1:35" ht="18" customHeight="1" x14ac:dyDescent="0.25">
      <c r="A221" s="36">
        <f t="shared" si="78"/>
        <v>0.74202547453703704</v>
      </c>
      <c r="B221" s="42">
        <f t="shared" si="63"/>
        <v>42.069793561673769</v>
      </c>
      <c r="C221" s="43">
        <f t="shared" si="64"/>
        <v>111.33227200088534</v>
      </c>
      <c r="D221" s="18">
        <f t="shared" si="65"/>
        <v>46.756652556146946</v>
      </c>
      <c r="E221" s="21" t="str">
        <f t="shared" si="66"/>
        <v>Umbra</v>
      </c>
      <c r="F221" s="23">
        <f>IF($E221&lt;&gt;"Umbra",fracil2($S$2,$S$3,$S$4,$A221,$Q$2,$O$3,$Q$4,$U221,$V221,$W221),0)</f>
        <v>0</v>
      </c>
      <c r="G221" s="19">
        <f t="shared" si="67"/>
        <v>69.296160130159095</v>
      </c>
      <c r="H221" s="19">
        <f t="shared" si="68"/>
        <v>-2.2381279427761136</v>
      </c>
      <c r="I221" s="19">
        <f t="shared" si="69"/>
        <v>-1.0301099933812183</v>
      </c>
      <c r="J221" s="28">
        <f t="shared" si="70"/>
        <v>2.1778230575311881E-2</v>
      </c>
      <c r="K221" s="24">
        <f t="shared" si="71"/>
        <v>1041.7411572477452</v>
      </c>
      <c r="L221" s="32">
        <f t="shared" si="72"/>
        <v>0.54843074497702571</v>
      </c>
      <c r="M221" s="35">
        <f t="shared" si="73"/>
        <v>14.545399789958516</v>
      </c>
      <c r="O221" s="29">
        <f t="shared" si="74"/>
        <v>1035.7404710176584</v>
      </c>
      <c r="T221" s="48">
        <v>0.74202547453703704</v>
      </c>
      <c r="U221" s="29">
        <v>-1179.0852481772572</v>
      </c>
      <c r="V221" s="29">
        <v>4628.6994520759572</v>
      </c>
      <c r="W221" s="29">
        <v>4282.6890005336008</v>
      </c>
      <c r="X221" s="4">
        <v>-0.74385008855194412</v>
      </c>
      <c r="Y221" s="4">
        <v>-0.48258710559486839</v>
      </c>
      <c r="Z221" s="4">
        <v>-9.8524510294597023E-2</v>
      </c>
      <c r="AA221" s="3">
        <f t="shared" si="79"/>
        <v>0.89213807667533063</v>
      </c>
      <c r="AB221" s="3">
        <f t="shared" si="82"/>
        <v>1.8238676541687555</v>
      </c>
      <c r="AC221" s="3">
        <f t="shared" si="80"/>
        <v>0.5771663792750823</v>
      </c>
      <c r="AD221" s="48"/>
      <c r="AE221" s="46">
        <f t="shared" si="75"/>
        <v>42.069793561673769</v>
      </c>
      <c r="AF221" s="46">
        <f t="shared" si="76"/>
        <v>-248.66772799911467</v>
      </c>
      <c r="AG221" s="47">
        <f t="shared" si="77"/>
        <v>46756.652556146946</v>
      </c>
      <c r="AH221" s="45" t="str">
        <f t="shared" si="81"/>
        <v>-248.66773,42.06979,46757</v>
      </c>
      <c r="AI221" s="44">
        <f t="shared" si="83"/>
        <v>1010.4673979631854</v>
      </c>
    </row>
    <row r="222" spans="1:35" ht="18" customHeight="1" x14ac:dyDescent="0.25">
      <c r="A222" s="36">
        <f t="shared" si="78"/>
        <v>0.74203702546296302</v>
      </c>
      <c r="B222" s="42">
        <f t="shared" si="63"/>
        <v>42.070818143069928</v>
      </c>
      <c r="C222" s="43">
        <f t="shared" si="64"/>
        <v>111.33804268330009</v>
      </c>
      <c r="D222" s="18">
        <f t="shared" si="65"/>
        <v>46.480993773512637</v>
      </c>
      <c r="E222" s="21" t="str">
        <f t="shared" si="66"/>
        <v>Umbra</v>
      </c>
      <c r="F222" s="23">
        <f>IF($E222&lt;&gt;"Umbra",fracil2($S$2,$S$3,$S$4,$A222,$Q$2,$O$3,$Q$4,$U222,$V222,$W222),0)</f>
        <v>0</v>
      </c>
      <c r="G222" s="19">
        <f t="shared" si="67"/>
        <v>69.296037440488092</v>
      </c>
      <c r="H222" s="19">
        <f t="shared" si="68"/>
        <v>-2.2565468640519963</v>
      </c>
      <c r="I222" s="19">
        <f t="shared" si="69"/>
        <v>-1.0485289146571011</v>
      </c>
      <c r="J222" s="28">
        <f t="shared" si="70"/>
        <v>2.1575261008350142E-2</v>
      </c>
      <c r="K222" s="24">
        <f t="shared" si="71"/>
        <v>1042.1976081552129</v>
      </c>
      <c r="L222" s="32">
        <f t="shared" si="72"/>
        <v>0.54848213145770308</v>
      </c>
      <c r="M222" s="35">
        <f t="shared" si="73"/>
        <v>14.533275491667359</v>
      </c>
      <c r="O222" s="29">
        <f t="shared" si="74"/>
        <v>1036.2302453426894</v>
      </c>
      <c r="T222" s="48">
        <v>0.74203702546296302</v>
      </c>
      <c r="U222" s="29">
        <v>-1179.8187550362377</v>
      </c>
      <c r="V222" s="29">
        <v>4628.2221007339658</v>
      </c>
      <c r="W222" s="29">
        <v>4282.5893964912275</v>
      </c>
      <c r="X222" s="4">
        <v>-0.72677161767936327</v>
      </c>
      <c r="Y222" s="4">
        <v>-0.47444090130972838</v>
      </c>
      <c r="Z222" s="4">
        <v>-0.10114055538994872</v>
      </c>
      <c r="AA222" s="3">
        <f t="shared" si="79"/>
        <v>0.87379663826570841</v>
      </c>
      <c r="AB222" s="3">
        <f t="shared" si="82"/>
        <v>1.7533527747116924</v>
      </c>
      <c r="AC222" s="3">
        <f t="shared" si="80"/>
        <v>0.56000738872080591</v>
      </c>
      <c r="AD222" s="48"/>
      <c r="AE222" s="46">
        <f t="shared" si="75"/>
        <v>42.070818143069928</v>
      </c>
      <c r="AF222" s="46">
        <f t="shared" si="76"/>
        <v>-248.6619573166999</v>
      </c>
      <c r="AG222" s="47">
        <f t="shared" si="77"/>
        <v>46480.993773512637</v>
      </c>
      <c r="AH222" s="45" t="str">
        <f t="shared" si="81"/>
        <v>-248.66196,42.07082,46481</v>
      </c>
      <c r="AI222" s="44">
        <f t="shared" si="83"/>
        <v>1010.9571601945137</v>
      </c>
    </row>
    <row r="223" spans="1:35" ht="18" customHeight="1" x14ac:dyDescent="0.25">
      <c r="A223" s="36">
        <f t="shared" si="78"/>
        <v>0.74204859953703706</v>
      </c>
      <c r="B223" s="42">
        <f t="shared" si="63"/>
        <v>42.071805650333239</v>
      </c>
      <c r="C223" s="43">
        <f t="shared" si="64"/>
        <v>111.34361057548412</v>
      </c>
      <c r="D223" s="18">
        <f t="shared" si="65"/>
        <v>46.205769229161888</v>
      </c>
      <c r="E223" s="21" t="str">
        <f t="shared" si="66"/>
        <v>Umbra</v>
      </c>
      <c r="F223" s="23">
        <f>IF($E223&lt;&gt;"Umbra",fracil2($S$2,$S$3,$S$4,$A223,$Q$2,$O$3,$Q$4,$U223,$V223,$W223),0)</f>
        <v>0</v>
      </c>
      <c r="G223" s="19">
        <f t="shared" si="67"/>
        <v>69.29592540252149</v>
      </c>
      <c r="H223" s="19">
        <f t="shared" si="68"/>
        <v>-2.2748092216254516</v>
      </c>
      <c r="I223" s="19">
        <f t="shared" si="69"/>
        <v>-1.0667912722305564</v>
      </c>
      <c r="J223" s="28">
        <f t="shared" si="70"/>
        <v>2.1376676647951096E-2</v>
      </c>
      <c r="K223" s="24">
        <f t="shared" si="71"/>
        <v>1042.6368963149844</v>
      </c>
      <c r="L223" s="32">
        <f t="shared" si="72"/>
        <v>0.54853318027404463</v>
      </c>
      <c r="M223" s="35">
        <f t="shared" si="73"/>
        <v>14.521246172550978</v>
      </c>
      <c r="O223" s="29">
        <f t="shared" si="74"/>
        <v>1036.7027740980823</v>
      </c>
      <c r="T223" s="48">
        <v>0.74204859953703706</v>
      </c>
      <c r="U223" s="29">
        <v>-1180.5371953640763</v>
      </c>
      <c r="V223" s="29">
        <v>4627.7516507474083</v>
      </c>
      <c r="W223" s="29">
        <v>4282.486995734087</v>
      </c>
      <c r="X223" s="4">
        <v>-0.71022128947837648</v>
      </c>
      <c r="Y223" s="4">
        <v>-0.46650979982495655</v>
      </c>
      <c r="Z223" s="4">
        <v>-0.10364405388334846</v>
      </c>
      <c r="AA223" s="3">
        <f t="shared" si="79"/>
        <v>0.85603023501884756</v>
      </c>
      <c r="AB223" s="3">
        <f t="shared" si="82"/>
        <v>1.6864214099277182</v>
      </c>
      <c r="AC223" s="3">
        <f t="shared" si="80"/>
        <v>0.543470340375105</v>
      </c>
      <c r="AD223" s="48"/>
      <c r="AE223" s="46">
        <f t="shared" si="75"/>
        <v>42.071805650333239</v>
      </c>
      <c r="AF223" s="46">
        <f t="shared" si="76"/>
        <v>-248.65638942451588</v>
      </c>
      <c r="AG223" s="47">
        <f t="shared" si="77"/>
        <v>46205.769229161888</v>
      </c>
      <c r="AH223" s="45" t="str">
        <f t="shared" si="81"/>
        <v>-248.65639,42.07181,46206</v>
      </c>
      <c r="AI223" s="44">
        <f t="shared" si="83"/>
        <v>1011.4296767389312</v>
      </c>
    </row>
    <row r="224" spans="1:35" ht="18" customHeight="1" x14ac:dyDescent="0.25">
      <c r="A224" s="36">
        <f t="shared" si="78"/>
        <v>0.7420602083333333</v>
      </c>
      <c r="B224" s="42">
        <f t="shared" si="63"/>
        <v>42.07275800370013</v>
      </c>
      <c r="C224" s="43">
        <f t="shared" si="64"/>
        <v>111.34898583895955</v>
      </c>
      <c r="D224" s="18">
        <f t="shared" si="65"/>
        <v>45.930742550193827</v>
      </c>
      <c r="E224" s="21" t="str">
        <f t="shared" si="66"/>
        <v>Umbra</v>
      </c>
      <c r="F224" s="23">
        <f>IF($E224&lt;&gt;"Umbra",fracil2($S$2,$S$3,$S$4,$A224,$Q$2,$O$3,$Q$4,$U224,$V224,$W224),0)</f>
        <v>0</v>
      </c>
      <c r="G224" s="19">
        <f t="shared" si="67"/>
        <v>69.295823228919787</v>
      </c>
      <c r="H224" s="19">
        <f t="shared" si="68"/>
        <v>-2.2929347455395082</v>
      </c>
      <c r="I224" s="19">
        <f t="shared" si="69"/>
        <v>-1.0849167961446129</v>
      </c>
      <c r="J224" s="28">
        <f t="shared" si="70"/>
        <v>2.1181965505017723E-2</v>
      </c>
      <c r="K224" s="24">
        <f t="shared" si="71"/>
        <v>1043.0598604171216</v>
      </c>
      <c r="L224" s="32">
        <f t="shared" si="72"/>
        <v>0.54858394701851965</v>
      </c>
      <c r="M224" s="35">
        <f t="shared" si="73"/>
        <v>14.509299357985892</v>
      </c>
      <c r="O224" s="29">
        <f t="shared" si="74"/>
        <v>1037.1589234094702</v>
      </c>
      <c r="T224" s="48">
        <v>0.7420602083333333</v>
      </c>
      <c r="U224" s="29">
        <v>-1181.2416544990283</v>
      </c>
      <c r="V224" s="29">
        <v>4627.2875037445583</v>
      </c>
      <c r="W224" s="29">
        <v>4282.381799896787</v>
      </c>
      <c r="X224" s="4">
        <v>-0.69416882836412475</v>
      </c>
      <c r="Y224" s="4">
        <v>-0.45877781824669178</v>
      </c>
      <c r="Z224" s="4">
        <v>-0.10603851556936231</v>
      </c>
      <c r="AA224" s="3">
        <f t="shared" si="79"/>
        <v>0.83880368118634896</v>
      </c>
      <c r="AB224" s="3">
        <f t="shared" si="82"/>
        <v>1.6215622858607375</v>
      </c>
      <c r="AC224" s="3">
        <f t="shared" si="80"/>
        <v>0.52752159748069627</v>
      </c>
      <c r="AD224" s="48"/>
      <c r="AE224" s="46">
        <f t="shared" si="75"/>
        <v>42.07275800370013</v>
      </c>
      <c r="AF224" s="46">
        <f t="shared" si="76"/>
        <v>-248.65101416104045</v>
      </c>
      <c r="AG224" s="47">
        <f t="shared" si="77"/>
        <v>45930.742550193827</v>
      </c>
      <c r="AH224" s="45" t="str">
        <f t="shared" si="81"/>
        <v>-248.65101,42.07276,45931</v>
      </c>
      <c r="AI224" s="44">
        <f t="shared" si="83"/>
        <v>1011.8858137770313</v>
      </c>
    </row>
    <row r="225" spans="1:35" ht="18" customHeight="1" x14ac:dyDescent="0.25">
      <c r="A225" s="36">
        <f t="shared" si="78"/>
        <v>0.74207179398148149</v>
      </c>
      <c r="B225" s="42">
        <f t="shared" si="63"/>
        <v>42.07367073397517</v>
      </c>
      <c r="C225" s="43">
        <f t="shared" si="64"/>
        <v>111.35413856142706</v>
      </c>
      <c r="D225" s="18">
        <f t="shared" si="65"/>
        <v>45.657580991088253</v>
      </c>
      <c r="E225" s="21" t="str">
        <f t="shared" si="66"/>
        <v>Umbra</v>
      </c>
      <c r="F225" s="23">
        <f>IF($E225&lt;&gt;"Umbra",fracil2($S$2,$S$3,$S$4,$A225,$Q$2,$O$3,$Q$4,$U225,$V225,$W225),0)</f>
        <v>0</v>
      </c>
      <c r="G225" s="19">
        <f t="shared" si="67"/>
        <v>69.295726664665821</v>
      </c>
      <c r="H225" s="19">
        <f t="shared" si="68"/>
        <v>-2.3108162279773508</v>
      </c>
      <c r="I225" s="19">
        <f t="shared" si="69"/>
        <v>-1.1027982785824555</v>
      </c>
      <c r="J225" s="28">
        <f t="shared" si="70"/>
        <v>2.0991944100677971E-2</v>
      </c>
      <c r="K225" s="24">
        <f t="shared" si="71"/>
        <v>1043.4641850065495</v>
      </c>
      <c r="L225" s="32">
        <f t="shared" si="72"/>
        <v>0.54863415162292772</v>
      </c>
      <c r="M225" s="35">
        <f t="shared" si="73"/>
        <v>14.497509370354193</v>
      </c>
      <c r="O225" s="29">
        <f t="shared" si="74"/>
        <v>1037.5961765633044</v>
      </c>
      <c r="T225" s="48">
        <v>0.74207179398148149</v>
      </c>
      <c r="U225" s="29">
        <v>-1181.9284248395109</v>
      </c>
      <c r="V225" s="29">
        <v>4626.8322375193984</v>
      </c>
      <c r="W225" s="29">
        <v>4282.2745555718438</v>
      </c>
      <c r="X225" s="4">
        <v>-0.67869220971843869</v>
      </c>
      <c r="Y225" s="4">
        <v>-0.45128128231570241</v>
      </c>
      <c r="Z225" s="4">
        <v>-0.10831144728575434</v>
      </c>
      <c r="AA225" s="3">
        <f t="shared" si="79"/>
        <v>0.82219783562968385</v>
      </c>
      <c r="AB225" s="3">
        <f t="shared" si="82"/>
        <v>1.5574230972644927</v>
      </c>
      <c r="AC225" s="3">
        <f t="shared" si="80"/>
        <v>0.51223423449798366</v>
      </c>
      <c r="AD225" s="48"/>
      <c r="AE225" s="46">
        <f t="shared" si="75"/>
        <v>42.07367073397517</v>
      </c>
      <c r="AF225" s="46">
        <f t="shared" si="76"/>
        <v>-248.64586143857292</v>
      </c>
      <c r="AG225" s="47">
        <f t="shared" si="77"/>
        <v>45657.580991088253</v>
      </c>
      <c r="AH225" s="45" t="str">
        <f t="shared" si="81"/>
        <v>-248.64586,42.07367,45658</v>
      </c>
      <c r="AI225" s="44">
        <f t="shared" si="83"/>
        <v>1012.3230552023414</v>
      </c>
    </row>
    <row r="226" spans="1:35" ht="18" customHeight="1" x14ac:dyDescent="0.25">
      <c r="A226" s="36">
        <f t="shared" si="78"/>
        <v>0.74208336805555553</v>
      </c>
      <c r="B226" s="42">
        <f t="shared" si="63"/>
        <v>42.074547311812708</v>
      </c>
      <c r="C226" s="43">
        <f t="shared" si="64"/>
        <v>111.35909318273021</v>
      </c>
      <c r="D226" s="18">
        <f t="shared" si="65"/>
        <v>45.385680544743082</v>
      </c>
      <c r="E226" s="21" t="str">
        <f t="shared" si="66"/>
        <v>Umbra</v>
      </c>
      <c r="F226" s="23">
        <f>IF($E226&lt;&gt;"Umbra",fracil2($S$2,$S$3,$S$4,$A226,$Q$2,$O$3,$Q$4,$U226,$V226,$W226),0)</f>
        <v>0</v>
      </c>
      <c r="G226" s="19">
        <f t="shared" si="67"/>
        <v>69.295640445219746</v>
      </c>
      <c r="H226" s="19">
        <f t="shared" si="68"/>
        <v>-2.3285016119388962</v>
      </c>
      <c r="I226" s="19">
        <f t="shared" si="69"/>
        <v>-1.1204836625440009</v>
      </c>
      <c r="J226" s="28">
        <f t="shared" si="70"/>
        <v>2.0805799493824873E-2</v>
      </c>
      <c r="K226" s="24">
        <f t="shared" si="71"/>
        <v>1043.851851972353</v>
      </c>
      <c r="L226" s="32">
        <f t="shared" si="72"/>
        <v>0.54868389980081467</v>
      </c>
      <c r="M226" s="35">
        <f t="shared" si="73"/>
        <v>14.485840900504872</v>
      </c>
      <c r="O226" s="29">
        <f t="shared" si="74"/>
        <v>1038.0165866624664</v>
      </c>
      <c r="T226" s="48">
        <v>0.74208336805555553</v>
      </c>
      <c r="U226" s="29">
        <v>-1182.5996491765507</v>
      </c>
      <c r="V226" s="29">
        <v>4626.3845824881319</v>
      </c>
      <c r="W226" s="29">
        <v>4282.1651468318432</v>
      </c>
      <c r="X226" s="4">
        <v>-0.6637357566457347</v>
      </c>
      <c r="Y226" s="4">
        <v>-0.44399216091602689</v>
      </c>
      <c r="Z226" s="4">
        <v>-0.11047030950780194</v>
      </c>
      <c r="AA226" s="3">
        <f t="shared" si="79"/>
        <v>0.80615003745439262</v>
      </c>
      <c r="AB226" s="3">
        <f t="shared" si="82"/>
        <v>1.4976766227829346</v>
      </c>
      <c r="AC226" s="3">
        <f t="shared" si="80"/>
        <v>0.49754801753501887</v>
      </c>
      <c r="AD226" s="48"/>
      <c r="AE226" s="46">
        <f t="shared" si="75"/>
        <v>42.074547311812708</v>
      </c>
      <c r="AF226" s="46">
        <f t="shared" si="76"/>
        <v>-248.64090681726981</v>
      </c>
      <c r="AG226" s="47">
        <f t="shared" si="77"/>
        <v>45385.680544743082</v>
      </c>
      <c r="AH226" s="45" t="str">
        <f t="shared" si="81"/>
        <v>-248.64091,42.07455,45386</v>
      </c>
      <c r="AI226" s="44">
        <f t="shared" si="83"/>
        <v>1012.7434534854532</v>
      </c>
    </row>
    <row r="227" spans="1:35" ht="18" customHeight="1" x14ac:dyDescent="0.25">
      <c r="A227" s="36">
        <f t="shared" si="78"/>
        <v>0.74209495370370371</v>
      </c>
      <c r="B227" s="42">
        <f t="shared" si="63"/>
        <v>42.075390605103351</v>
      </c>
      <c r="C227" s="43">
        <f t="shared" si="64"/>
        <v>111.36386544332566</v>
      </c>
      <c r="D227" s="18">
        <f t="shared" si="65"/>
        <v>45.11452637954153</v>
      </c>
      <c r="E227" s="21" t="str">
        <f t="shared" si="66"/>
        <v>Umbra</v>
      </c>
      <c r="F227" s="23">
        <f>IF($E227&lt;&gt;"Umbra",fracil2($S$2,$S$3,$S$4,$A227,$Q$2,$O$3,$Q$4,$U227,$V227,$W227),0)</f>
        <v>0</v>
      </c>
      <c r="G227" s="19">
        <f t="shared" si="67"/>
        <v>69.295563884781245</v>
      </c>
      <c r="H227" s="19">
        <f t="shared" si="68"/>
        <v>-2.3460289431609547</v>
      </c>
      <c r="I227" s="19">
        <f t="shared" si="69"/>
        <v>-1.1380109937660594</v>
      </c>
      <c r="J227" s="28">
        <f t="shared" si="70"/>
        <v>2.0622818451121731E-2</v>
      </c>
      <c r="K227" s="24">
        <f t="shared" si="71"/>
        <v>1044.2241384314984</v>
      </c>
      <c r="L227" s="32">
        <f t="shared" si="72"/>
        <v>0.54873329789243297</v>
      </c>
      <c r="M227" s="35">
        <f t="shared" si="73"/>
        <v>14.474269247275853</v>
      </c>
      <c r="O227" s="29">
        <f t="shared" si="74"/>
        <v>1038.4214920745856</v>
      </c>
      <c r="T227" s="48">
        <v>0.74209495370370371</v>
      </c>
      <c r="U227" s="29">
        <v>-1183.2571314082575</v>
      </c>
      <c r="V227" s="29">
        <v>4625.9434689868049</v>
      </c>
      <c r="W227" s="29">
        <v>4282.0534673565935</v>
      </c>
      <c r="X227" s="4">
        <v>-0.64925320075161685</v>
      </c>
      <c r="Y227" s="4">
        <v>-0.4368865391279807</v>
      </c>
      <c r="Z227" s="4">
        <v>-0.11252080540464539</v>
      </c>
      <c r="AA227" s="3">
        <f t="shared" si="79"/>
        <v>0.79060767666798804</v>
      </c>
      <c r="AB227" s="3">
        <f t="shared" si="82"/>
        <v>1.440070921258805</v>
      </c>
      <c r="AC227" s="3">
        <f t="shared" si="80"/>
        <v>0.48341256074565936</v>
      </c>
      <c r="AD227" s="48"/>
      <c r="AE227" s="46">
        <f t="shared" si="75"/>
        <v>42.075390605103351</v>
      </c>
      <c r="AF227" s="46">
        <f t="shared" si="76"/>
        <v>-248.63613455667434</v>
      </c>
      <c r="AG227" s="47">
        <f t="shared" si="77"/>
        <v>45114.52637954153</v>
      </c>
      <c r="AH227" s="45" t="str">
        <f t="shared" si="81"/>
        <v>-248.63613,42.07539,45115</v>
      </c>
      <c r="AI227" s="44">
        <f t="shared" si="83"/>
        <v>1013.1483470221679</v>
      </c>
    </row>
    <row r="228" spans="1:35" ht="18" customHeight="1" x14ac:dyDescent="0.25">
      <c r="A228" s="36">
        <f t="shared" si="78"/>
        <v>0.74210650462962968</v>
      </c>
      <c r="B228" s="42">
        <f t="shared" si="63"/>
        <v>42.076197146653456</v>
      </c>
      <c r="C228" s="43">
        <f t="shared" si="64"/>
        <v>111.36842853294878</v>
      </c>
      <c r="D228" s="18">
        <f t="shared" si="65"/>
        <v>44.845662975710184</v>
      </c>
      <c r="E228" s="21" t="str">
        <f t="shared" si="66"/>
        <v>Umbra</v>
      </c>
      <c r="F228" s="23">
        <f>IF($E228&lt;&gt;"Umbra",fracil2($S$2,$S$3,$S$4,$A228,$Q$2,$O$3,$Q$4,$U228,$V228,$W228),0)</f>
        <v>0</v>
      </c>
      <c r="G228" s="19">
        <f t="shared" si="67"/>
        <v>69.295489955741203</v>
      </c>
      <c r="H228" s="19">
        <f t="shared" si="68"/>
        <v>-2.3632997365824506</v>
      </c>
      <c r="I228" s="19">
        <f t="shared" si="69"/>
        <v>-1.1552817871875554</v>
      </c>
      <c r="J228" s="28">
        <f t="shared" si="70"/>
        <v>2.0443681416531953E-2</v>
      </c>
      <c r="K228" s="24">
        <f t="shared" si="71"/>
        <v>1044.578987306603</v>
      </c>
      <c r="L228" s="32">
        <f t="shared" si="72"/>
        <v>0.54878210152011464</v>
      </c>
      <c r="M228" s="35">
        <f t="shared" si="73"/>
        <v>14.46286503247531</v>
      </c>
      <c r="O228" s="29">
        <f t="shared" si="74"/>
        <v>1038.8086506452755</v>
      </c>
      <c r="T228" s="48">
        <v>0.74210650462962968</v>
      </c>
      <c r="U228" s="29">
        <v>-1183.8977120769789</v>
      </c>
      <c r="V228" s="29">
        <v>4625.5111642865259</v>
      </c>
      <c r="W228" s="29">
        <v>4281.9402647454344</v>
      </c>
      <c r="X228" s="4">
        <v>-0.63530735679414108</v>
      </c>
      <c r="Y228" s="4">
        <v>-0.42999411378801095</v>
      </c>
      <c r="Z228" s="4">
        <v>-0.1144532688255121</v>
      </c>
      <c r="AA228" s="3">
        <f t="shared" si="79"/>
        <v>0.77563517599058129</v>
      </c>
      <c r="AB228" s="3">
        <f t="shared" si="82"/>
        <v>1.3824404404491304</v>
      </c>
      <c r="AC228" s="3">
        <f t="shared" si="80"/>
        <v>0.46988346220847715</v>
      </c>
      <c r="AD228" s="48"/>
      <c r="AE228" s="46">
        <f t="shared" si="75"/>
        <v>42.076197146653456</v>
      </c>
      <c r="AF228" s="46">
        <f t="shared" si="76"/>
        <v>-248.63157146705123</v>
      </c>
      <c r="AG228" s="47">
        <f t="shared" si="77"/>
        <v>44845.662975710184</v>
      </c>
      <c r="AH228" s="45" t="str">
        <f t="shared" si="81"/>
        <v>-248.63157,42.07620,44846</v>
      </c>
      <c r="AI228" s="44">
        <f t="shared" si="83"/>
        <v>1013.535494494282</v>
      </c>
    </row>
    <row r="229" spans="1:35" ht="18" customHeight="1" x14ac:dyDescent="0.25">
      <c r="A229" s="36">
        <f t="shared" si="78"/>
        <v>0.74211806712962958</v>
      </c>
      <c r="B229" s="42">
        <f t="shared" si="63"/>
        <v>42.076972678253647</v>
      </c>
      <c r="C229" s="43">
        <f t="shared" si="64"/>
        <v>111.37282117835169</v>
      </c>
      <c r="D229" s="18">
        <f t="shared" si="65"/>
        <v>44.577609643527467</v>
      </c>
      <c r="E229" s="21" t="str">
        <f t="shared" si="66"/>
        <v>Umbra</v>
      </c>
      <c r="F229" s="23">
        <f>IF($E229&lt;&gt;"Umbra",fracil2($S$2,$S$3,$S$4,$A229,$Q$2,$O$3,$Q$4,$U229,$V229,$W229),0)</f>
        <v>0</v>
      </c>
      <c r="G229" s="19">
        <f t="shared" si="67"/>
        <v>69.295424631124064</v>
      </c>
      <c r="H229" s="19">
        <f t="shared" si="68"/>
        <v>-2.3804176005747681</v>
      </c>
      <c r="I229" s="19">
        <f t="shared" si="69"/>
        <v>-1.1723996511798729</v>
      </c>
      <c r="J229" s="28">
        <f t="shared" si="70"/>
        <v>2.0267033754071496E-2</v>
      </c>
      <c r="K229" s="24">
        <f t="shared" si="71"/>
        <v>1044.9194809840687</v>
      </c>
      <c r="L229" s="32">
        <f t="shared" si="72"/>
        <v>0.54883056832563459</v>
      </c>
      <c r="M229" s="35">
        <f t="shared" si="73"/>
        <v>14.451555077897021</v>
      </c>
      <c r="O229" s="29">
        <f t="shared" si="74"/>
        <v>1039.1813210499095</v>
      </c>
      <c r="T229" s="48">
        <v>0.74211806712962958</v>
      </c>
      <c r="U229" s="29">
        <v>-1184.5254938511332</v>
      </c>
      <c r="V229" s="29">
        <v>4625.0850473328965</v>
      </c>
      <c r="W229" s="29">
        <v>4281.8250240133002</v>
      </c>
      <c r="X229" s="4">
        <v>-0.62180239960922434</v>
      </c>
      <c r="Y229" s="4">
        <v>-0.42326644321599649</v>
      </c>
      <c r="Z229" s="4">
        <v>-0.11628023453333118</v>
      </c>
      <c r="AA229" s="3">
        <f t="shared" si="79"/>
        <v>0.76112666426530895</v>
      </c>
      <c r="AB229" s="3">
        <f t="shared" si="82"/>
        <v>1.3292582591216968</v>
      </c>
      <c r="AC229" s="3">
        <f t="shared" si="80"/>
        <v>0.45686179042613662</v>
      </c>
      <c r="AD229" s="48"/>
      <c r="AE229" s="46">
        <f t="shared" si="75"/>
        <v>42.076972678253647</v>
      </c>
      <c r="AF229" s="46">
        <f t="shared" si="76"/>
        <v>-248.62717882164833</v>
      </c>
      <c r="AG229" s="47">
        <f t="shared" si="77"/>
        <v>44577.609643527467</v>
      </c>
      <c r="AH229" s="45" t="str">
        <f t="shared" si="81"/>
        <v>-248.62718,42.07697,44578</v>
      </c>
      <c r="AI229" s="44">
        <f t="shared" si="83"/>
        <v>1013.9081537649772</v>
      </c>
    </row>
    <row r="230" spans="1:35" ht="18" customHeight="1" x14ac:dyDescent="0.25">
      <c r="A230" s="36">
        <f t="shared" si="78"/>
        <v>0.74212967592592582</v>
      </c>
      <c r="B230" s="42">
        <f t="shared" si="63"/>
        <v>42.077720440071076</v>
      </c>
      <c r="C230" s="43">
        <f t="shared" si="64"/>
        <v>111.37706216390343</v>
      </c>
      <c r="D230" s="18">
        <f t="shared" si="65"/>
        <v>44.309555630987234</v>
      </c>
      <c r="E230" s="21" t="str">
        <f t="shared" si="66"/>
        <v>Umbra</v>
      </c>
      <c r="F230" s="23">
        <f>IF($E230&lt;&gt;"Umbra",fracil2($S$2,$S$3,$S$4,$A230,$Q$2,$O$3,$Q$4,$U230,$V230,$W230),0)</f>
        <v>0</v>
      </c>
      <c r="G230" s="19">
        <f t="shared" si="67"/>
        <v>69.295368139019075</v>
      </c>
      <c r="H230" s="19">
        <f t="shared" si="68"/>
        <v>-2.3974381363584558</v>
      </c>
      <c r="I230" s="19">
        <f t="shared" si="69"/>
        <v>-1.1894201869635606</v>
      </c>
      <c r="J230" s="28">
        <f t="shared" si="70"/>
        <v>2.009201635660177E-2</v>
      </c>
      <c r="K230" s="24">
        <f t="shared" si="71"/>
        <v>1045.2471153638737</v>
      </c>
      <c r="L230" s="32">
        <f t="shared" si="72"/>
        <v>0.54887885214083953</v>
      </c>
      <c r="M230" s="35">
        <f t="shared" si="73"/>
        <v>14.440302336927685</v>
      </c>
      <c r="O230" s="29">
        <f t="shared" si="74"/>
        <v>1039.5410955325824</v>
      </c>
      <c r="T230" s="48">
        <v>0.74212967592592582</v>
      </c>
      <c r="U230" s="29">
        <v>-1185.1427998759214</v>
      </c>
      <c r="V230" s="29">
        <v>4624.6636570777828</v>
      </c>
      <c r="W230" s="29">
        <v>4281.7074712767271</v>
      </c>
      <c r="X230" s="4">
        <v>-0.60868433284134482</v>
      </c>
      <c r="Y230" s="4">
        <v>-0.4166749013699193</v>
      </c>
      <c r="Z230" s="4">
        <v>-0.11800771950145619</v>
      </c>
      <c r="AA230" s="3">
        <f t="shared" si="79"/>
        <v>0.74702102536680948</v>
      </c>
      <c r="AB230" s="3">
        <f t="shared" si="82"/>
        <v>1.2781814595353582</v>
      </c>
      <c r="AC230" s="3">
        <f t="shared" si="80"/>
        <v>0.44429034149180918</v>
      </c>
      <c r="AD230" s="48"/>
      <c r="AE230" s="46">
        <f t="shared" si="75"/>
        <v>42.077720440071076</v>
      </c>
      <c r="AF230" s="46">
        <f t="shared" si="76"/>
        <v>-248.62293783609658</v>
      </c>
      <c r="AG230" s="47">
        <f t="shared" si="77"/>
        <v>44309.555630987234</v>
      </c>
      <c r="AH230" s="45" t="str">
        <f t="shared" si="81"/>
        <v>-248.62294,42.07772,44310</v>
      </c>
      <c r="AI230" s="44">
        <f t="shared" si="83"/>
        <v>1014.2679170233831</v>
      </c>
    </row>
    <row r="231" spans="1:35" ht="18" customHeight="1" x14ac:dyDescent="0.25">
      <c r="A231" s="36">
        <f t="shared" si="78"/>
        <v>0.74214124999999997</v>
      </c>
      <c r="B231" s="42">
        <f t="shared" si="63"/>
        <v>42.078435413755464</v>
      </c>
      <c r="C231" s="43">
        <f t="shared" si="64"/>
        <v>111.38111838137488</v>
      </c>
      <c r="D231" s="18">
        <f t="shared" si="65"/>
        <v>44.043684227887752</v>
      </c>
      <c r="E231" s="21" t="str">
        <f t="shared" si="66"/>
        <v>Umbra</v>
      </c>
      <c r="F231" s="23">
        <f>IF($E231&lt;&gt;"Umbra",fracil2($S$2,$S$3,$S$4,$A231,$Q$2,$O$3,$Q$4,$U231,$V231,$W231),0)</f>
        <v>0</v>
      </c>
      <c r="G231" s="19">
        <f t="shared" si="67"/>
        <v>69.295316119478969</v>
      </c>
      <c r="H231" s="19">
        <f t="shared" si="68"/>
        <v>-2.4142244186697939</v>
      </c>
      <c r="I231" s="19">
        <f t="shared" si="69"/>
        <v>-1.2062064692748986</v>
      </c>
      <c r="J231" s="28">
        <f t="shared" si="70"/>
        <v>1.9919736440059257E-2</v>
      </c>
      <c r="K231" s="24">
        <f t="shared" si="71"/>
        <v>1045.5593643884808</v>
      </c>
      <c r="L231" s="32">
        <f t="shared" si="72"/>
        <v>0.54892658621299839</v>
      </c>
      <c r="M231" s="35">
        <f t="shared" si="73"/>
        <v>14.429200953899709</v>
      </c>
      <c r="O231" s="29">
        <f t="shared" si="74"/>
        <v>1039.8851865057384</v>
      </c>
      <c r="T231" s="48">
        <v>0.74214124999999997</v>
      </c>
      <c r="U231" s="29">
        <v>-1185.7450973483828</v>
      </c>
      <c r="V231" s="29">
        <v>4624.250222014909</v>
      </c>
      <c r="W231" s="29">
        <v>4281.5886534414294</v>
      </c>
      <c r="X231" s="4">
        <v>-0.59604463490419834</v>
      </c>
      <c r="Y231" s="4">
        <v>-0.41026424510309756</v>
      </c>
      <c r="Z231" s="4">
        <v>-0.11962281467170913</v>
      </c>
      <c r="AA231" s="3">
        <f t="shared" si="79"/>
        <v>0.73341364549487065</v>
      </c>
      <c r="AB231" s="3">
        <f t="shared" si="82"/>
        <v>1.2277664732440603</v>
      </c>
      <c r="AC231" s="3">
        <f t="shared" si="80"/>
        <v>0.43225086345509905</v>
      </c>
      <c r="AD231" s="48"/>
      <c r="AE231" s="46">
        <f t="shared" si="75"/>
        <v>42.078435413755464</v>
      </c>
      <c r="AF231" s="46">
        <f t="shared" si="76"/>
        <v>-248.61888161862512</v>
      </c>
      <c r="AG231" s="47">
        <f t="shared" si="77"/>
        <v>44043.684227887752</v>
      </c>
      <c r="AH231" s="45" t="str">
        <f t="shared" si="81"/>
        <v>-248.61888,42.07844,44044</v>
      </c>
      <c r="AI231" s="44">
        <f t="shared" si="83"/>
        <v>1014.6119972253722</v>
      </c>
    </row>
    <row r="232" spans="1:35" ht="18" customHeight="1" x14ac:dyDescent="0.25">
      <c r="A232" s="36">
        <f t="shared" si="78"/>
        <v>0.7421527893518518</v>
      </c>
      <c r="B232" s="42">
        <f t="shared" si="63"/>
        <v>42.079119510612252</v>
      </c>
      <c r="C232" s="43">
        <f t="shared" si="64"/>
        <v>111.38500416896187</v>
      </c>
      <c r="D232" s="18">
        <f t="shared" si="65"/>
        <v>43.779776598151329</v>
      </c>
      <c r="E232" s="21" t="str">
        <f t="shared" si="66"/>
        <v>Umbra</v>
      </c>
      <c r="F232" s="23">
        <f>IF($E232&lt;&gt;"Umbra",fracil2($S$2,$S$3,$S$4,$A232,$Q$2,$O$3,$Q$4,$U232,$V232,$W232),0)</f>
        <v>0</v>
      </c>
      <c r="G232" s="19">
        <f t="shared" si="67"/>
        <v>69.295272059571644</v>
      </c>
      <c r="H232" s="19">
        <f t="shared" si="68"/>
        <v>-2.4307972484177651</v>
      </c>
      <c r="I232" s="19">
        <f t="shared" si="69"/>
        <v>-1.2227792990228699</v>
      </c>
      <c r="J232" s="28">
        <f t="shared" si="70"/>
        <v>1.9749727477413305E-2</v>
      </c>
      <c r="K232" s="24">
        <f t="shared" si="71"/>
        <v>1045.857403944271</v>
      </c>
      <c r="L232" s="32">
        <f t="shared" si="72"/>
        <v>0.54897380869816892</v>
      </c>
      <c r="M232" s="35">
        <f t="shared" si="73"/>
        <v>14.418234550854173</v>
      </c>
      <c r="O232" s="29">
        <f t="shared" si="74"/>
        <v>1040.2147953159522</v>
      </c>
      <c r="T232" s="48">
        <v>0.7421527893518518</v>
      </c>
      <c r="U232" s="29">
        <v>-1186.333473315078</v>
      </c>
      <c r="V232" s="29">
        <v>4623.8441547341599</v>
      </c>
      <c r="W232" s="29">
        <v>4281.4685829992513</v>
      </c>
      <c r="X232" s="4">
        <v>-0.58385430439009833</v>
      </c>
      <c r="Y232" s="4">
        <v>-0.40401934648031573</v>
      </c>
      <c r="Z232" s="4">
        <v>-0.12112901159580582</v>
      </c>
      <c r="AA232" s="3">
        <f t="shared" si="79"/>
        <v>0.72027058702643409</v>
      </c>
      <c r="AB232" s="3">
        <f t="shared" si="82"/>
        <v>1.1805759074798641</v>
      </c>
      <c r="AC232" s="3">
        <f t="shared" si="80"/>
        <v>0.4207088662884193</v>
      </c>
      <c r="AD232" s="48"/>
      <c r="AE232" s="46">
        <f t="shared" si="75"/>
        <v>42.079119510612252</v>
      </c>
      <c r="AF232" s="46">
        <f t="shared" si="76"/>
        <v>-248.61499583103813</v>
      </c>
      <c r="AG232" s="47">
        <f t="shared" si="77"/>
        <v>43779.776598151329</v>
      </c>
      <c r="AH232" s="45" t="str">
        <f t="shared" si="81"/>
        <v>-248.61500,42.07912,43780</v>
      </c>
      <c r="AI232" s="44">
        <f t="shared" si="83"/>
        <v>1014.9415953259885</v>
      </c>
    </row>
    <row r="233" spans="1:35" ht="18" customHeight="1" x14ac:dyDescent="0.25">
      <c r="A233" s="36">
        <f t="shared" si="78"/>
        <v>0.74216439814814816</v>
      </c>
      <c r="B233" s="42">
        <f t="shared" si="63"/>
        <v>42.079778777560392</v>
      </c>
      <c r="C233" s="43">
        <f t="shared" si="64"/>
        <v>111.38874764027953</v>
      </c>
      <c r="D233" s="18">
        <f t="shared" si="65"/>
        <v>43.515871021711973</v>
      </c>
      <c r="E233" s="21" t="str">
        <f t="shared" si="66"/>
        <v>Umbra</v>
      </c>
      <c r="F233" s="23">
        <f>IF($E233&lt;&gt;"Umbra",fracil2($S$2,$S$3,$S$4,$A233,$Q$2,$O$3,$Q$4,$U233,$V233,$W233),0)</f>
        <v>0</v>
      </c>
      <c r="G233" s="19">
        <f t="shared" si="67"/>
        <v>69.295229190403518</v>
      </c>
      <c r="H233" s="19">
        <f t="shared" si="68"/>
        <v>-2.4472802401361795</v>
      </c>
      <c r="I233" s="19">
        <f t="shared" si="69"/>
        <v>-1.2392622907412842</v>
      </c>
      <c r="J233" s="28">
        <f t="shared" si="70"/>
        <v>1.9580441365409471E-2</v>
      </c>
      <c r="K233" s="24">
        <f t="shared" si="71"/>
        <v>1046.1434114820083</v>
      </c>
      <c r="L233" s="32">
        <f t="shared" si="72"/>
        <v>0.54902090232278911</v>
      </c>
      <c r="M233" s="35">
        <f t="shared" si="73"/>
        <v>14.407326161042828</v>
      </c>
      <c r="O233" s="29">
        <f t="shared" si="74"/>
        <v>1040.5323346555961</v>
      </c>
      <c r="T233" s="48">
        <v>0.74216439814814816</v>
      </c>
      <c r="U233" s="29">
        <v>-1186.9127613382775</v>
      </c>
      <c r="V233" s="29">
        <v>4623.442249665517</v>
      </c>
      <c r="W233" s="29">
        <v>4281.3464476490262</v>
      </c>
      <c r="X233" s="4">
        <v>-0.57200939621931968</v>
      </c>
      <c r="Y233" s="4">
        <v>-0.39788587836358702</v>
      </c>
      <c r="Z233" s="4">
        <v>-0.12253838579741161</v>
      </c>
      <c r="AA233" s="3">
        <f t="shared" si="79"/>
        <v>0.70747690955831843</v>
      </c>
      <c r="AB233" s="3">
        <f t="shared" si="82"/>
        <v>1.133560121442647</v>
      </c>
      <c r="AC233" s="3">
        <f t="shared" si="80"/>
        <v>0.4095598286658404</v>
      </c>
      <c r="AD233" s="48"/>
      <c r="AE233" s="46">
        <f t="shared" si="75"/>
        <v>42.079778777560392</v>
      </c>
      <c r="AF233" s="46">
        <f t="shared" si="76"/>
        <v>-248.61125235972048</v>
      </c>
      <c r="AG233" s="47">
        <f t="shared" si="77"/>
        <v>43515.871021711973</v>
      </c>
      <c r="AH233" s="45" t="str">
        <f t="shared" si="81"/>
        <v>-248.61125,42.07978,43516</v>
      </c>
      <c r="AI233" s="44">
        <f t="shared" si="83"/>
        <v>1015.2591245359522</v>
      </c>
    </row>
    <row r="234" spans="1:35" ht="18" customHeight="1" x14ac:dyDescent="0.25">
      <c r="A234" s="36">
        <f t="shared" si="78"/>
        <v>0.74217596064814817</v>
      </c>
      <c r="B234" s="42">
        <f t="shared" si="63"/>
        <v>42.080408988359501</v>
      </c>
      <c r="C234" s="43">
        <f t="shared" si="64"/>
        <v>111.39233420999585</v>
      </c>
      <c r="D234" s="18">
        <f t="shared" si="65"/>
        <v>43.254035011274027</v>
      </c>
      <c r="E234" s="21" t="str">
        <f t="shared" si="66"/>
        <v>Umbra</v>
      </c>
      <c r="F234" s="23">
        <f>IF($E234&lt;&gt;"Umbra",fracil2($S$2,$S$3,$S$4,$A234,$Q$2,$O$3,$Q$4,$U234,$V234,$W234),0)</f>
        <v>0</v>
      </c>
      <c r="G234" s="19">
        <f t="shared" si="67"/>
        <v>69.295197487135781</v>
      </c>
      <c r="H234" s="19">
        <f t="shared" si="68"/>
        <v>-2.4635529834613856</v>
      </c>
      <c r="I234" s="19">
        <f t="shared" si="69"/>
        <v>-1.2555350340664904</v>
      </c>
      <c r="J234" s="28">
        <f t="shared" si="70"/>
        <v>1.9412916137013774E-2</v>
      </c>
      <c r="K234" s="24">
        <f t="shared" si="71"/>
        <v>1046.4163577210008</v>
      </c>
      <c r="L234" s="32">
        <f t="shared" si="72"/>
        <v>0.54906747375035547</v>
      </c>
      <c r="M234" s="35">
        <f t="shared" si="73"/>
        <v>14.396548277091869</v>
      </c>
      <c r="O234" s="29">
        <f t="shared" si="74"/>
        <v>1040.8365261032968</v>
      </c>
      <c r="T234" s="48">
        <v>0.74217596064814817</v>
      </c>
      <c r="U234" s="29">
        <v>-1187.478877121968</v>
      </c>
      <c r="V234" s="29">
        <v>4623.0474712977366</v>
      </c>
      <c r="W234" s="29">
        <v>4281.2232825196706</v>
      </c>
      <c r="X234" s="4">
        <v>-0.56058990946686904</v>
      </c>
      <c r="Y234" s="4">
        <v>-0.39190432085830468</v>
      </c>
      <c r="Z234" s="4">
        <v>-0.12384075485790955</v>
      </c>
      <c r="AA234" s="3">
        <f t="shared" si="79"/>
        <v>0.69511623191179928</v>
      </c>
      <c r="AB234" s="3">
        <f t="shared" si="82"/>
        <v>1.0909396346115061</v>
      </c>
      <c r="AC234" s="3">
        <f t="shared" si="80"/>
        <v>0.39887277236289109</v>
      </c>
      <c r="AD234" s="48"/>
      <c r="AE234" s="46">
        <f t="shared" si="75"/>
        <v>42.080408988359501</v>
      </c>
      <c r="AF234" s="46">
        <f t="shared" si="76"/>
        <v>-248.60766579000415</v>
      </c>
      <c r="AG234" s="47">
        <f t="shared" si="77"/>
        <v>43254.035011274027</v>
      </c>
      <c r="AH234" s="45" t="str">
        <f t="shared" si="81"/>
        <v>-248.60767,42.08041,43254</v>
      </c>
      <c r="AI234" s="44">
        <f t="shared" si="83"/>
        <v>1015.5633055862769</v>
      </c>
    </row>
    <row r="235" spans="1:35" ht="18" customHeight="1" x14ac:dyDescent="0.25">
      <c r="A235" s="36">
        <f t="shared" si="78"/>
        <v>0.74218752314814818</v>
      </c>
      <c r="B235" s="42">
        <f t="shared" si="63"/>
        <v>42.081012381081415</v>
      </c>
      <c r="C235" s="43">
        <f t="shared" si="64"/>
        <v>111.39576760243153</v>
      </c>
      <c r="D235" s="18">
        <f t="shared" si="65"/>
        <v>42.993803901009414</v>
      </c>
      <c r="E235" s="21" t="str">
        <f t="shared" si="66"/>
        <v>Umbra</v>
      </c>
      <c r="F235" s="23">
        <f>IF($E235&lt;&gt;"Umbra",fracil2($S$2,$S$3,$S$4,$A235,$Q$2,$O$3,$Q$4,$U235,$V235,$W235),0)</f>
        <v>0</v>
      </c>
      <c r="G235" s="19">
        <f t="shared" si="67"/>
        <v>69.295167581775388</v>
      </c>
      <c r="H235" s="19">
        <f t="shared" si="68"/>
        <v>-2.4796438186250098</v>
      </c>
      <c r="I235" s="19">
        <f t="shared" si="69"/>
        <v>-1.2716258692301146</v>
      </c>
      <c r="J235" s="28">
        <f t="shared" si="70"/>
        <v>1.9246597972371868E-2</v>
      </c>
      <c r="K235" s="24">
        <f t="shared" si="71"/>
        <v>1046.6765417000538</v>
      </c>
      <c r="L235" s="32">
        <f t="shared" si="72"/>
        <v>0.54911364816554942</v>
      </c>
      <c r="M235" s="35">
        <f t="shared" si="73"/>
        <v>14.385889108419317</v>
      </c>
      <c r="O235" s="29">
        <f t="shared" si="74"/>
        <v>1041.1277256713938</v>
      </c>
      <c r="T235" s="48">
        <v>0.74218752314814818</v>
      </c>
      <c r="U235" s="29">
        <v>-1188.0333468975612</v>
      </c>
      <c r="V235" s="29">
        <v>4622.6589039689015</v>
      </c>
      <c r="W235" s="29">
        <v>4281.0989623706018</v>
      </c>
      <c r="X235" s="4">
        <v>-0.54956047690674081</v>
      </c>
      <c r="Y235" s="4">
        <v>-0.38605596105314383</v>
      </c>
      <c r="Z235" s="4">
        <v>-0.12504010641667204</v>
      </c>
      <c r="AA235" s="3">
        <f t="shared" si="79"/>
        <v>0.68314782518524031</v>
      </c>
      <c r="AB235" s="3">
        <f t="shared" si="82"/>
        <v>1.0478694456538278</v>
      </c>
      <c r="AC235" s="3">
        <f t="shared" si="80"/>
        <v>0.38860763998658809</v>
      </c>
      <c r="AD235" s="48"/>
      <c r="AE235" s="46">
        <f t="shared" si="75"/>
        <v>42.081012381081415</v>
      </c>
      <c r="AF235" s="46">
        <f t="shared" si="76"/>
        <v>-248.60423239756847</v>
      </c>
      <c r="AG235" s="47">
        <f t="shared" si="77"/>
        <v>42993.803901009414</v>
      </c>
      <c r="AH235" s="45" t="str">
        <f t="shared" si="81"/>
        <v>-248.60423,42.08101,42994</v>
      </c>
      <c r="AI235" s="44">
        <f t="shared" si="83"/>
        <v>1015.8544953131599</v>
      </c>
    </row>
    <row r="236" spans="1:35" ht="18" customHeight="1" x14ac:dyDescent="0.25">
      <c r="A236" s="36">
        <f t="shared" si="78"/>
        <v>0.74219912037037039</v>
      </c>
      <c r="B236" s="42">
        <f t="shared" si="63"/>
        <v>42.08159190665787</v>
      </c>
      <c r="C236" s="43">
        <f t="shared" si="64"/>
        <v>111.39906680515993</v>
      </c>
      <c r="D236" s="18">
        <f t="shared" si="65"/>
        <v>42.734293667690508</v>
      </c>
      <c r="E236" s="21" t="str">
        <f t="shared" si="66"/>
        <v>Umbra</v>
      </c>
      <c r="F236" s="23">
        <f>IF($E236&lt;&gt;"Umbra",fracil2($S$2,$S$3,$S$4,$A236,$Q$2,$O$3,$Q$4,$U236,$V236,$W236),0)</f>
        <v>0</v>
      </c>
      <c r="G236" s="19">
        <f t="shared" si="67"/>
        <v>69.295141597067868</v>
      </c>
      <c r="H236" s="19">
        <f t="shared" si="68"/>
        <v>-2.4956120835709932</v>
      </c>
      <c r="I236" s="19">
        <f t="shared" si="69"/>
        <v>-1.2875941341760979</v>
      </c>
      <c r="J236" s="28">
        <f t="shared" si="70"/>
        <v>1.9080670912166607E-2</v>
      </c>
      <c r="K236" s="24">
        <f t="shared" si="71"/>
        <v>1046.9254598156244</v>
      </c>
      <c r="L236" s="32">
        <f t="shared" si="72"/>
        <v>0.54915958375341944</v>
      </c>
      <c r="M236" s="35">
        <f t="shared" si="73"/>
        <v>14.375307699788165</v>
      </c>
      <c r="O236" s="29">
        <f t="shared" si="74"/>
        <v>1041.4075344219702</v>
      </c>
      <c r="T236" s="48">
        <v>0.74219912037037039</v>
      </c>
      <c r="U236" s="29">
        <v>-1188.578499473125</v>
      </c>
      <c r="V236" s="29">
        <v>4622.2750480952191</v>
      </c>
      <c r="W236" s="29">
        <v>4280.97314001631</v>
      </c>
      <c r="X236" s="4">
        <v>-0.53887178039819739</v>
      </c>
      <c r="Y236" s="4">
        <v>-0.38031403429257676</v>
      </c>
      <c r="Z236" s="4">
        <v>-0.12614139968980334</v>
      </c>
      <c r="AA236" s="3">
        <f t="shared" si="79"/>
        <v>0.67151560898099827</v>
      </c>
      <c r="AB236" s="3">
        <f t="shared" si="82"/>
        <v>1.0071318920950763</v>
      </c>
      <c r="AC236" s="3">
        <f t="shared" si="80"/>
        <v>0.37871195278204223</v>
      </c>
      <c r="AD236" s="48"/>
      <c r="AE236" s="46">
        <f t="shared" si="75"/>
        <v>42.08159190665787</v>
      </c>
      <c r="AF236" s="46">
        <f t="shared" si="76"/>
        <v>-248.60093319484008</v>
      </c>
      <c r="AG236" s="47">
        <f t="shared" si="77"/>
        <v>42734.293667690508</v>
      </c>
      <c r="AH236" s="45" t="str">
        <f t="shared" si="81"/>
        <v>-248.60093,42.08159,42734</v>
      </c>
      <c r="AI236" s="44">
        <f t="shared" si="83"/>
        <v>1016.1342945206643</v>
      </c>
    </row>
    <row r="237" spans="1:35" ht="18" customHeight="1" x14ac:dyDescent="0.25">
      <c r="A237" s="36">
        <f t="shared" si="78"/>
        <v>0.74221069444444454</v>
      </c>
      <c r="B237" s="42">
        <f t="shared" si="63"/>
        <v>42.082145464764032</v>
      </c>
      <c r="C237" s="43">
        <f t="shared" si="64"/>
        <v>111.40221944193259</v>
      </c>
      <c r="D237" s="18">
        <f t="shared" si="65"/>
        <v>42.476858802100651</v>
      </c>
      <c r="E237" s="21" t="str">
        <f t="shared" si="66"/>
        <v>Umbra</v>
      </c>
      <c r="F237" s="23">
        <f>IF($E237&lt;&gt;"Umbra",fracil2($S$2,$S$3,$S$4,$A237,$Q$2,$O$3,$Q$4,$U237,$V237,$W237),0)</f>
        <v>0</v>
      </c>
      <c r="G237" s="19">
        <f t="shared" si="67"/>
        <v>69.29511919927144</v>
      </c>
      <c r="H237" s="19">
        <f t="shared" si="68"/>
        <v>-2.5113777687580345</v>
      </c>
      <c r="I237" s="19">
        <f t="shared" si="69"/>
        <v>-1.3033598193631393</v>
      </c>
      <c r="J237" s="28">
        <f t="shared" si="70"/>
        <v>1.8915769958143869E-2</v>
      </c>
      <c r="K237" s="24">
        <f t="shared" si="71"/>
        <v>1047.162225908472</v>
      </c>
      <c r="L237" s="32">
        <f t="shared" si="72"/>
        <v>0.54920505157473609</v>
      </c>
      <c r="M237" s="35">
        <f t="shared" si="73"/>
        <v>14.364857436954869</v>
      </c>
      <c r="O237" s="29">
        <f t="shared" si="74"/>
        <v>1041.6749048784613</v>
      </c>
      <c r="T237" s="48">
        <v>0.74221069444444454</v>
      </c>
      <c r="U237" s="29">
        <v>-1189.1119442955421</v>
      </c>
      <c r="V237" s="29">
        <v>4621.8977231926765</v>
      </c>
      <c r="W237" s="29">
        <v>4280.8465492386131</v>
      </c>
      <c r="X237" s="4">
        <v>-0.52856763593532285</v>
      </c>
      <c r="Y237" s="4">
        <v>-0.3747018113166623</v>
      </c>
      <c r="Z237" s="4">
        <v>-0.12713999449823293</v>
      </c>
      <c r="AA237" s="3">
        <f t="shared" si="79"/>
        <v>0.6602649251347934</v>
      </c>
      <c r="AB237" s="3">
        <f t="shared" si="82"/>
        <v>0.96802446704086309</v>
      </c>
      <c r="AC237" s="3">
        <f t="shared" si="80"/>
        <v>0.36921950485817734</v>
      </c>
      <c r="AD237" s="48"/>
      <c r="AE237" s="46">
        <f t="shared" si="75"/>
        <v>42.082145464764032</v>
      </c>
      <c r="AF237" s="46">
        <f t="shared" si="76"/>
        <v>-248.59778055806743</v>
      </c>
      <c r="AG237" s="47">
        <f t="shared" si="77"/>
        <v>42476.858802100651</v>
      </c>
      <c r="AH237" s="45" t="str">
        <f t="shared" si="81"/>
        <v>-248.59778,42.08215,42477</v>
      </c>
      <c r="AI237" s="44">
        <f t="shared" si="83"/>
        <v>1016.4016557828487</v>
      </c>
    </row>
    <row r="238" spans="1:35" ht="18" customHeight="1" x14ac:dyDescent="0.25">
      <c r="A238" s="36">
        <f t="shared" si="78"/>
        <v>0.74222224537037029</v>
      </c>
      <c r="B238" s="42">
        <f t="shared" si="63"/>
        <v>42.082674532765672</v>
      </c>
      <c r="C238" s="43">
        <f t="shared" si="64"/>
        <v>111.40523773835548</v>
      </c>
      <c r="D238" s="18">
        <f t="shared" si="65"/>
        <v>42.221290300369219</v>
      </c>
      <c r="E238" s="21" t="str">
        <f t="shared" si="66"/>
        <v>Umbra</v>
      </c>
      <c r="F238" s="23">
        <f>IF($E238&lt;&gt;"Umbra",fracil2($S$2,$S$3,$S$4,$A238,$Q$2,$O$3,$Q$4,$U238,$V238,$W238),0)</f>
        <v>0</v>
      </c>
      <c r="G238" s="19">
        <f t="shared" si="67"/>
        <v>69.295104227298751</v>
      </c>
      <c r="H238" s="19">
        <f t="shared" si="68"/>
        <v>-2.5269596015016611</v>
      </c>
      <c r="I238" s="19">
        <f t="shared" si="69"/>
        <v>-1.3189416521067658</v>
      </c>
      <c r="J238" s="28">
        <f t="shared" si="70"/>
        <v>1.8751543259973077E-2</v>
      </c>
      <c r="K238" s="24">
        <f t="shared" si="71"/>
        <v>1047.3878359904993</v>
      </c>
      <c r="L238" s="32">
        <f t="shared" si="72"/>
        <v>0.54925008461473801</v>
      </c>
      <c r="M238" s="35">
        <f t="shared" si="73"/>
        <v>14.354523045390836</v>
      </c>
      <c r="O238" s="29">
        <f t="shared" si="74"/>
        <v>1041.9308573940139</v>
      </c>
      <c r="T238" s="48">
        <v>0.74222224537037029</v>
      </c>
      <c r="U238" s="29">
        <v>-1189.6346055241006</v>
      </c>
      <c r="V238" s="29">
        <v>4621.5264217879185</v>
      </c>
      <c r="W238" s="29">
        <v>4280.7191729210472</v>
      </c>
      <c r="X238" s="4">
        <v>-0.51862640918537084</v>
      </c>
      <c r="Y238" s="4">
        <v>-0.36920789680939464</v>
      </c>
      <c r="Z238" s="4">
        <v>-0.12803839291968441</v>
      </c>
      <c r="AA238" s="3">
        <f t="shared" si="79"/>
        <v>0.64937019752401925</v>
      </c>
      <c r="AB238" s="3">
        <f t="shared" si="82"/>
        <v>0.93152503080328419</v>
      </c>
      <c r="AC238" s="3">
        <f t="shared" si="80"/>
        <v>0.36010323947516187</v>
      </c>
      <c r="AD238" s="48"/>
      <c r="AE238" s="46">
        <f t="shared" si="75"/>
        <v>42.082674532765672</v>
      </c>
      <c r="AF238" s="46">
        <f t="shared" si="76"/>
        <v>-248.59476226164452</v>
      </c>
      <c r="AG238" s="47">
        <f t="shared" si="77"/>
        <v>42221.290300369219</v>
      </c>
      <c r="AH238" s="45" t="str">
        <f t="shared" si="81"/>
        <v>-248.59476,42.08267,42221</v>
      </c>
      <c r="AI238" s="44">
        <f t="shared" si="83"/>
        <v>1016.6575990925148</v>
      </c>
    </row>
    <row r="239" spans="1:35" ht="18" customHeight="1" x14ac:dyDescent="0.25">
      <c r="A239" s="36">
        <f t="shared" si="78"/>
        <v>0.74223381944444444</v>
      </c>
      <c r="B239" s="42">
        <f t="shared" si="63"/>
        <v>42.083181599404917</v>
      </c>
      <c r="C239" s="43">
        <f t="shared" si="64"/>
        <v>111.40813255933247</v>
      </c>
      <c r="D239" s="18">
        <f t="shared" si="65"/>
        <v>41.966806244732652</v>
      </c>
      <c r="E239" s="21" t="str">
        <f t="shared" si="66"/>
        <v>Umbra</v>
      </c>
      <c r="F239" s="23">
        <f>IF($E239&lt;&gt;"Umbra",fracil2($S$2,$S$3,$S$4,$A239,$Q$2,$O$3,$Q$4,$U239,$V239,$W239),0)</f>
        <v>0</v>
      </c>
      <c r="G239" s="19">
        <f t="shared" si="67"/>
        <v>69.295093179391515</v>
      </c>
      <c r="H239" s="19">
        <f t="shared" si="68"/>
        <v>-2.5424068047278201</v>
      </c>
      <c r="I239" s="19">
        <f t="shared" si="69"/>
        <v>-1.3343888553329248</v>
      </c>
      <c r="J239" s="28">
        <f t="shared" si="70"/>
        <v>1.8587293302743196E-2</v>
      </c>
      <c r="K239" s="24">
        <f t="shared" si="71"/>
        <v>1047.6031329616992</v>
      </c>
      <c r="L239" s="32">
        <f t="shared" si="72"/>
        <v>0.54929484163714337</v>
      </c>
      <c r="M239" s="35">
        <f t="shared" si="73"/>
        <v>14.344274477731716</v>
      </c>
      <c r="O239" s="29">
        <f t="shared" si="74"/>
        <v>1042.1763282430641</v>
      </c>
      <c r="T239" s="48">
        <v>0.74223381944444444</v>
      </c>
      <c r="U239" s="29">
        <v>-1190.1485200309116</v>
      </c>
      <c r="V239" s="29">
        <v>4621.1598318935721</v>
      </c>
      <c r="W239" s="29">
        <v>4280.5906938640419</v>
      </c>
      <c r="X239" s="4">
        <v>-0.50900680528920872</v>
      </c>
      <c r="Y239" s="4">
        <v>-0.36380955821247546</v>
      </c>
      <c r="Z239" s="4">
        <v>-0.12884047993310643</v>
      </c>
      <c r="AA239" s="3">
        <f t="shared" si="79"/>
        <v>0.63878415113939402</v>
      </c>
      <c r="AB239" s="3">
        <f t="shared" si="82"/>
        <v>0.89586028280273544</v>
      </c>
      <c r="AC239" s="3">
        <f t="shared" si="80"/>
        <v>0.3513184335419407</v>
      </c>
      <c r="AD239" s="48"/>
      <c r="AE239" s="46">
        <f t="shared" si="75"/>
        <v>42.083181599404917</v>
      </c>
      <c r="AF239" s="46">
        <f t="shared" si="76"/>
        <v>-248.59186744066753</v>
      </c>
      <c r="AG239" s="47">
        <f t="shared" si="77"/>
        <v>41966.806244732652</v>
      </c>
      <c r="AH239" s="45" t="str">
        <f t="shared" si="81"/>
        <v>-248.59187,42.08318,41967</v>
      </c>
      <c r="AI239" s="44">
        <f t="shared" si="83"/>
        <v>1016.9030609834795</v>
      </c>
    </row>
    <row r="240" spans="1:35" ht="18" customHeight="1" x14ac:dyDescent="0.25">
      <c r="A240" s="36">
        <f t="shared" si="78"/>
        <v>0.74224535879629627</v>
      </c>
      <c r="B240" s="42">
        <f t="shared" si="63"/>
        <v>42.083664514755775</v>
      </c>
      <c r="C240" s="43">
        <f t="shared" si="64"/>
        <v>111.41088776711901</v>
      </c>
      <c r="D240" s="18">
        <f t="shared" si="65"/>
        <v>41.714947332655356</v>
      </c>
      <c r="E240" s="21" t="str">
        <f t="shared" si="66"/>
        <v>Umbra</v>
      </c>
      <c r="F240" s="23">
        <f>IF($E240&lt;&gt;"Umbra",fracil2($S$2,$S$3,$S$4,$A240,$Q$2,$O$3,$Q$4,$U240,$V240,$W240),0)</f>
        <v>0</v>
      </c>
      <c r="G240" s="19">
        <f t="shared" si="67"/>
        <v>69.295082121997069</v>
      </c>
      <c r="H240" s="19">
        <f t="shared" si="68"/>
        <v>-2.5576272981994559</v>
      </c>
      <c r="I240" s="19">
        <f t="shared" si="69"/>
        <v>-1.3496093488045606</v>
      </c>
      <c r="J240" s="28">
        <f t="shared" si="70"/>
        <v>1.8423840158287394E-2</v>
      </c>
      <c r="K240" s="24">
        <f t="shared" si="71"/>
        <v>1047.8069474696395</v>
      </c>
      <c r="L240" s="32">
        <f t="shared" si="72"/>
        <v>0.54933907471862131</v>
      </c>
      <c r="M240" s="35">
        <f t="shared" si="73"/>
        <v>14.33417583270853</v>
      </c>
      <c r="O240" s="29">
        <f t="shared" si="74"/>
        <v>1042.4099662330445</v>
      </c>
      <c r="T240" s="48">
        <v>0.74224535879629627</v>
      </c>
      <c r="U240" s="29">
        <v>-1190.6510301239839</v>
      </c>
      <c r="V240" s="29">
        <v>4620.7999889941611</v>
      </c>
      <c r="W240" s="29">
        <v>4280.4619665553319</v>
      </c>
      <c r="X240" s="4">
        <v>-0.49975560606888797</v>
      </c>
      <c r="Y240" s="4">
        <v>-0.35853366616428733</v>
      </c>
      <c r="Z240" s="4">
        <v>-0.12954293434578107</v>
      </c>
      <c r="AA240" s="3">
        <f t="shared" si="79"/>
        <v>0.6285566222778991</v>
      </c>
      <c r="AB240" s="3">
        <f t="shared" si="82"/>
        <v>0.8609963348560814</v>
      </c>
      <c r="AC240" s="3">
        <f t="shared" si="80"/>
        <v>0.34290083227253648</v>
      </c>
      <c r="AD240" s="48"/>
      <c r="AE240" s="46">
        <f t="shared" si="75"/>
        <v>42.083664514755775</v>
      </c>
      <c r="AF240" s="46">
        <f t="shared" si="76"/>
        <v>-248.58911223288101</v>
      </c>
      <c r="AG240" s="47">
        <f t="shared" si="77"/>
        <v>41714.947332655356</v>
      </c>
      <c r="AH240" s="45" t="str">
        <f t="shared" si="81"/>
        <v>-248.58911,42.08366,41715</v>
      </c>
      <c r="AI240" s="44">
        <f t="shared" si="83"/>
        <v>1017.1366906181368</v>
      </c>
    </row>
    <row r="241" spans="1:35" ht="18" customHeight="1" x14ac:dyDescent="0.25">
      <c r="A241" s="36">
        <f t="shared" si="78"/>
        <v>0.74225699074074081</v>
      </c>
      <c r="B241" s="42">
        <f t="shared" si="63"/>
        <v>42.084130142964732</v>
      </c>
      <c r="C241" s="43">
        <f t="shared" si="64"/>
        <v>111.41355060394899</v>
      </c>
      <c r="D241" s="18">
        <f t="shared" si="65"/>
        <v>41.462500235432344</v>
      </c>
      <c r="E241" s="21" t="str">
        <f t="shared" si="66"/>
        <v>Umbra</v>
      </c>
      <c r="F241" s="23">
        <f>IF($E241&lt;&gt;"Umbra",fracil2($S$2,$S$3,$S$4,$A241,$Q$2,$O$3,$Q$4,$U241,$V241,$W241),0)</f>
        <v>0</v>
      </c>
      <c r="G241" s="19">
        <f t="shared" si="67"/>
        <v>69.295079167795564</v>
      </c>
      <c r="H241" s="19">
        <f t="shared" si="68"/>
        <v>-2.5728222470371582</v>
      </c>
      <c r="I241" s="19">
        <f t="shared" si="69"/>
        <v>-1.364804297642263</v>
      </c>
      <c r="J241" s="28">
        <f t="shared" si="70"/>
        <v>1.8258917180729594E-2</v>
      </c>
      <c r="K241" s="24">
        <f t="shared" si="71"/>
        <v>1048.0028713451986</v>
      </c>
      <c r="L241" s="32">
        <f t="shared" si="72"/>
        <v>0.54938332756857544</v>
      </c>
      <c r="M241" s="35">
        <f t="shared" si="73"/>
        <v>14.324087490148717</v>
      </c>
      <c r="O241" s="29">
        <f t="shared" si="74"/>
        <v>1042.6357421521236</v>
      </c>
      <c r="T241" s="48">
        <v>0.74225699074074081</v>
      </c>
      <c r="U241" s="29">
        <v>-1191.1489321173347</v>
      </c>
      <c r="V241" s="29">
        <v>4620.4421516194825</v>
      </c>
      <c r="W241" s="29">
        <v>4280.3314072214062</v>
      </c>
      <c r="X241" s="4">
        <v>-0.49074655217546087</v>
      </c>
      <c r="Y241" s="4">
        <v>-0.35330812635964071</v>
      </c>
      <c r="Z241" s="4">
        <v>-0.13015533923251399</v>
      </c>
      <c r="AA241" s="3">
        <f t="shared" si="79"/>
        <v>0.61854605564548948</v>
      </c>
      <c r="AB241" s="3">
        <f t="shared" si="82"/>
        <v>0.82921807252280688</v>
      </c>
      <c r="AC241" s="3">
        <f t="shared" si="80"/>
        <v>0.33472886329121876</v>
      </c>
      <c r="AD241" s="48"/>
      <c r="AE241" s="46">
        <f t="shared" si="75"/>
        <v>42.084130142964732</v>
      </c>
      <c r="AF241" s="46">
        <f t="shared" si="76"/>
        <v>-248.58644939605102</v>
      </c>
      <c r="AG241" s="47">
        <f t="shared" si="77"/>
        <v>41462.500235432344</v>
      </c>
      <c r="AH241" s="45" t="str">
        <f t="shared" si="81"/>
        <v>-248.58645,42.08413,41463</v>
      </c>
      <c r="AI241" s="44">
        <f t="shared" si="83"/>
        <v>1017.3624580145278</v>
      </c>
    </row>
    <row r="242" spans="1:35" ht="18" customHeight="1" x14ac:dyDescent="0.25">
      <c r="A242" s="36">
        <f t="shared" si="78"/>
        <v>0.74226850694444446</v>
      </c>
      <c r="B242" s="42">
        <f t="shared" si="63"/>
        <v>42.084570189040505</v>
      </c>
      <c r="C242" s="43">
        <f t="shared" si="64"/>
        <v>111.41606691213974</v>
      </c>
      <c r="D242" s="18">
        <f t="shared" si="65"/>
        <v>41.214427117364721</v>
      </c>
      <c r="E242" s="21" t="str">
        <f t="shared" si="66"/>
        <v>Umbra</v>
      </c>
      <c r="F242" s="23">
        <f>IF($E242&lt;&gt;"Umbra",fracil2($S$2,$S$3,$S$4,$A242,$Q$2,$O$3,$Q$4,$U242,$V242,$W242),0)</f>
        <v>0</v>
      </c>
      <c r="G242" s="19">
        <f t="shared" si="67"/>
        <v>69.295077452119983</v>
      </c>
      <c r="H242" s="19">
        <f t="shared" si="68"/>
        <v>-2.5876926512315328</v>
      </c>
      <c r="I242" s="19">
        <f t="shared" si="69"/>
        <v>-1.3796747018366375</v>
      </c>
      <c r="J242" s="28">
        <f t="shared" si="70"/>
        <v>1.8095630030810043E-2</v>
      </c>
      <c r="K242" s="24">
        <f t="shared" si="71"/>
        <v>1048.1869277242927</v>
      </c>
      <c r="L242" s="32">
        <f t="shared" si="72"/>
        <v>0.54942676328570639</v>
      </c>
      <c r="M242" s="35">
        <f t="shared" si="73"/>
        <v>14.314213152424133</v>
      </c>
      <c r="O242" s="29">
        <f t="shared" si="74"/>
        <v>1042.8490937756176</v>
      </c>
      <c r="T242" s="48">
        <v>0.74226850694444446</v>
      </c>
      <c r="U242" s="29">
        <v>-1191.6328710807891</v>
      </c>
      <c r="V242" s="29">
        <v>4620.093179450706</v>
      </c>
      <c r="W242" s="29">
        <v>4280.2016536030824</v>
      </c>
      <c r="X242" s="4">
        <v>-0.48214638689941097</v>
      </c>
      <c r="Y242" s="4">
        <v>-0.34823066373304573</v>
      </c>
      <c r="Z242" s="4">
        <v>-0.13066724617531281</v>
      </c>
      <c r="AA242" s="3">
        <f t="shared" si="79"/>
        <v>0.60893650144095801</v>
      </c>
      <c r="AB242" s="3">
        <f t="shared" si="82"/>
        <v>0.79757559489842</v>
      </c>
      <c r="AC242" s="3">
        <f t="shared" si="80"/>
        <v>0.32694694213909614</v>
      </c>
      <c r="AD242" s="48"/>
      <c r="AE242" s="46">
        <f t="shared" si="75"/>
        <v>42.084570189040505</v>
      </c>
      <c r="AF242" s="46">
        <f t="shared" si="76"/>
        <v>-248.58393308786026</v>
      </c>
      <c r="AG242" s="47">
        <f t="shared" si="77"/>
        <v>41214.427117364721</v>
      </c>
      <c r="AH242" s="45" t="str">
        <f t="shared" si="81"/>
        <v>-248.58393,42.08457,41214</v>
      </c>
      <c r="AI242" s="44">
        <f t="shared" si="83"/>
        <v>1017.5758016256028</v>
      </c>
    </row>
    <row r="243" spans="1:35" ht="18" customHeight="1" x14ac:dyDescent="0.25">
      <c r="A243" s="36">
        <f t="shared" si="78"/>
        <v>0.74228009259259264</v>
      </c>
      <c r="B243" s="42">
        <f t="shared" si="63"/>
        <v>42.084992717620587</v>
      </c>
      <c r="C243" s="43">
        <f t="shared" si="64"/>
        <v>111.41848389150604</v>
      </c>
      <c r="D243" s="18">
        <f t="shared" si="65"/>
        <v>40.966703023064838</v>
      </c>
      <c r="E243" s="21" t="str">
        <f t="shared" si="66"/>
        <v>Umbra</v>
      </c>
      <c r="F243" s="23">
        <f>IF($E243&lt;&gt;"Umbra",fracil2($S$2,$S$3,$S$4,$A243,$Q$2,$O$3,$Q$4,$U243,$V243,$W243),0)</f>
        <v>0</v>
      </c>
      <c r="G243" s="19">
        <f t="shared" si="67"/>
        <v>69.295078013912487</v>
      </c>
      <c r="H243" s="19">
        <f t="shared" si="68"/>
        <v>-2.6024838019658674</v>
      </c>
      <c r="I243" s="19">
        <f t="shared" si="69"/>
        <v>-1.3944658525709721</v>
      </c>
      <c r="J243" s="28">
        <f t="shared" si="70"/>
        <v>1.7931208205198796E-2</v>
      </c>
      <c r="K243" s="24">
        <f t="shared" si="71"/>
        <v>1048.3626383565095</v>
      </c>
      <c r="L243" s="32">
        <f t="shared" si="72"/>
        <v>0.54947009164831251</v>
      </c>
      <c r="M243" s="35">
        <f t="shared" si="73"/>
        <v>14.304389166902528</v>
      </c>
      <c r="O243" s="29">
        <f t="shared" si="74"/>
        <v>1043.0540185191467</v>
      </c>
      <c r="T243" s="48">
        <v>0.74228009259259264</v>
      </c>
      <c r="U243" s="29">
        <v>-1192.1111505487149</v>
      </c>
      <c r="V243" s="29">
        <v>4619.7472262012088</v>
      </c>
      <c r="W243" s="29">
        <v>4280.0706774939281</v>
      </c>
      <c r="X243" s="4">
        <v>-0.473804346615534</v>
      </c>
      <c r="Y243" s="4">
        <v>-0.34321396968989237</v>
      </c>
      <c r="Z243" s="4">
        <v>-0.13108907464856884</v>
      </c>
      <c r="AA243" s="3">
        <f t="shared" si="79"/>
        <v>0.59955878223430725</v>
      </c>
      <c r="AB243" s="3">
        <f t="shared" si="82"/>
        <v>0.76765513136831165</v>
      </c>
      <c r="AC243" s="3">
        <f t="shared" si="80"/>
        <v>0.31941178829465799</v>
      </c>
      <c r="AD243" s="48"/>
      <c r="AE243" s="46">
        <f t="shared" si="75"/>
        <v>42.084992717620587</v>
      </c>
      <c r="AF243" s="46">
        <f t="shared" si="76"/>
        <v>-248.58151610849396</v>
      </c>
      <c r="AG243" s="47">
        <f t="shared" si="77"/>
        <v>40966.703023064838</v>
      </c>
      <c r="AH243" s="45" t="str">
        <f t="shared" si="81"/>
        <v>-248.58152,42.08499,40967</v>
      </c>
      <c r="AI243" s="44">
        <f t="shared" si="83"/>
        <v>1017.7807186251124</v>
      </c>
    </row>
    <row r="244" spans="1:35" ht="18" customHeight="1" x14ac:dyDescent="0.25">
      <c r="A244" s="36">
        <f t="shared" si="78"/>
        <v>0.74229165509259254</v>
      </c>
      <c r="B244" s="42">
        <f t="shared" si="63"/>
        <v>42.085395165375907</v>
      </c>
      <c r="C244" s="43">
        <f t="shared" si="64"/>
        <v>111.42078922178516</v>
      </c>
      <c r="D244" s="18">
        <f t="shared" si="65"/>
        <v>40.721223559281498</v>
      </c>
      <c r="E244" s="21" t="str">
        <f t="shared" si="66"/>
        <v>Umbra</v>
      </c>
      <c r="F244" s="23">
        <f>IF($E244&lt;&gt;"Umbra",fracil2($S$2,$S$3,$S$4,$A244,$Q$2,$O$3,$Q$4,$U244,$V244,$W244),0)</f>
        <v>0</v>
      </c>
      <c r="G244" s="19">
        <f t="shared" si="67"/>
        <v>69.295083220975727</v>
      </c>
      <c r="H244" s="19">
        <f t="shared" si="68"/>
        <v>-2.6170862843573013</v>
      </c>
      <c r="I244" s="19">
        <f t="shared" si="69"/>
        <v>-1.409068334962406</v>
      </c>
      <c r="J244" s="28">
        <f t="shared" si="70"/>
        <v>1.7766788672001599E-2</v>
      </c>
      <c r="K244" s="24">
        <f t="shared" si="71"/>
        <v>1048.5291724460426</v>
      </c>
      <c r="L244" s="32">
        <f t="shared" si="72"/>
        <v>0.54951298079757638</v>
      </c>
      <c r="M244" s="35">
        <f t="shared" si="73"/>
        <v>14.294686450141047</v>
      </c>
      <c r="O244" s="29">
        <f t="shared" si="74"/>
        <v>1043.2494617124523</v>
      </c>
      <c r="T244" s="48">
        <v>0.74229165509259254</v>
      </c>
      <c r="U244" s="29">
        <v>-1192.5804839030147</v>
      </c>
      <c r="V244" s="29">
        <v>4619.4067937508244</v>
      </c>
      <c r="W244" s="29">
        <v>4279.9395369465847</v>
      </c>
      <c r="X244" s="4">
        <v>-0.46577680128553622</v>
      </c>
      <c r="Y244" s="4">
        <v>-0.33829263507641766</v>
      </c>
      <c r="Z244" s="4">
        <v>-0.13141859007746565</v>
      </c>
      <c r="AA244" s="3">
        <f t="shared" si="79"/>
        <v>0.59047504721256527</v>
      </c>
      <c r="AB244" s="3">
        <f t="shared" si="82"/>
        <v>0.73946611217229541</v>
      </c>
      <c r="AC244" s="3">
        <f t="shared" si="80"/>
        <v>0.312167834803458</v>
      </c>
      <c r="AD244" s="48"/>
      <c r="AE244" s="46">
        <f t="shared" si="75"/>
        <v>42.085395165375907</v>
      </c>
      <c r="AF244" s="46">
        <f t="shared" si="76"/>
        <v>-248.57921077821484</v>
      </c>
      <c r="AG244" s="47">
        <f t="shared" si="77"/>
        <v>40721.223559281498</v>
      </c>
      <c r="AH244" s="45" t="str">
        <f t="shared" si="81"/>
        <v>-248.57921,42.08540,40721</v>
      </c>
      <c r="AI244" s="44">
        <f t="shared" si="83"/>
        <v>1017.9761542289672</v>
      </c>
    </row>
    <row r="245" spans="1:35" ht="18" customHeight="1" x14ac:dyDescent="0.25">
      <c r="A245" s="36">
        <f t="shared" si="78"/>
        <v>0.74230327546296293</v>
      </c>
      <c r="B245" s="42">
        <f t="shared" si="63"/>
        <v>42.085780741852183</v>
      </c>
      <c r="C245" s="43">
        <f t="shared" si="64"/>
        <v>111.4229991605894</v>
      </c>
      <c r="D245" s="18">
        <f t="shared" si="65"/>
        <v>40.476446706852585</v>
      </c>
      <c r="E245" s="21" t="str">
        <f t="shared" si="66"/>
        <v>Umbra</v>
      </c>
      <c r="F245" s="23">
        <f>IF($E245&lt;&gt;"Umbra",fracil2($S$2,$S$3,$S$4,$A245,$Q$2,$O$3,$Q$4,$U245,$V245,$W245),0)</f>
        <v>0</v>
      </c>
      <c r="G245" s="19">
        <f t="shared" si="67"/>
        <v>69.295090902603249</v>
      </c>
      <c r="H245" s="19">
        <f t="shared" si="68"/>
        <v>-2.6315932744731669</v>
      </c>
      <c r="I245" s="19">
        <f t="shared" si="69"/>
        <v>-1.4235753250782717</v>
      </c>
      <c r="J245" s="28">
        <f t="shared" si="70"/>
        <v>1.7601241897419729E-2</v>
      </c>
      <c r="K245" s="24">
        <f t="shared" si="71"/>
        <v>1048.6877356380558</v>
      </c>
      <c r="L245" s="32">
        <f t="shared" si="72"/>
        <v>0.54955571593748953</v>
      </c>
      <c r="M245" s="35">
        <f t="shared" si="73"/>
        <v>14.285044751669915</v>
      </c>
      <c r="O245" s="29">
        <f t="shared" si="74"/>
        <v>1043.4368111305732</v>
      </c>
      <c r="T245" s="48">
        <v>0.74230327546296293</v>
      </c>
      <c r="U245" s="29">
        <v>-1193.0441964054387</v>
      </c>
      <c r="V245" s="29">
        <v>4619.0695962593036</v>
      </c>
      <c r="W245" s="29">
        <v>4279.8074649488526</v>
      </c>
      <c r="X245" s="4">
        <v>-0.45800578786150231</v>
      </c>
      <c r="Y245" s="4">
        <v>-0.33343221046786387</v>
      </c>
      <c r="Z245" s="4">
        <v>-0.1316591031221043</v>
      </c>
      <c r="AA245" s="3">
        <f t="shared" si="79"/>
        <v>0.58161882717724867</v>
      </c>
      <c r="AB245" s="3">
        <f t="shared" si="82"/>
        <v>0.71216890690591994</v>
      </c>
      <c r="AC245" s="3">
        <f t="shared" si="80"/>
        <v>0.30515637238912163</v>
      </c>
      <c r="AD245" s="48"/>
      <c r="AE245" s="46">
        <f t="shared" si="75"/>
        <v>42.085780741852183</v>
      </c>
      <c r="AF245" s="46">
        <f t="shared" si="76"/>
        <v>-248.5770008394106</v>
      </c>
      <c r="AG245" s="47">
        <f t="shared" si="77"/>
        <v>40476.446706852585</v>
      </c>
      <c r="AH245" s="45" t="str">
        <f t="shared" si="81"/>
        <v>-248.57700,42.08578,40476</v>
      </c>
      <c r="AI245" s="44">
        <f t="shared" si="83"/>
        <v>1018.1634963092804</v>
      </c>
    </row>
    <row r="246" spans="1:35" ht="18" customHeight="1" x14ac:dyDescent="0.25">
      <c r="A246" s="36">
        <f t="shared" si="78"/>
        <v>0.74231483796296294</v>
      </c>
      <c r="B246" s="42">
        <f t="shared" si="63"/>
        <v>42.086146519916916</v>
      </c>
      <c r="C246" s="43">
        <f t="shared" si="64"/>
        <v>111.42509973370797</v>
      </c>
      <c r="D246" s="18">
        <f t="shared" si="65"/>
        <v>40.234691670897519</v>
      </c>
      <c r="E246" s="21" t="str">
        <f t="shared" si="66"/>
        <v>Umbra</v>
      </c>
      <c r="F246" s="23">
        <f>IF($E246&lt;&gt;"Umbra",fracil2($S$2,$S$3,$S$4,$A246,$Q$2,$O$3,$Q$4,$U246,$V246,$W246),0)</f>
        <v>0</v>
      </c>
      <c r="G246" s="19">
        <f t="shared" si="67"/>
        <v>69.29510382408607</v>
      </c>
      <c r="H246" s="19">
        <f t="shared" si="68"/>
        <v>-2.6458714902075369</v>
      </c>
      <c r="I246" s="19">
        <f t="shared" si="69"/>
        <v>-1.4378535408126416</v>
      </c>
      <c r="J246" s="28">
        <f t="shared" si="70"/>
        <v>1.7436058392898805E-2</v>
      </c>
      <c r="K246" s="24">
        <f t="shared" si="71"/>
        <v>1048.8374039617083</v>
      </c>
      <c r="L246" s="32">
        <f t="shared" si="72"/>
        <v>0.54959789013199845</v>
      </c>
      <c r="M246" s="35">
        <f t="shared" si="73"/>
        <v>14.275550556331668</v>
      </c>
      <c r="O246" s="29">
        <f t="shared" si="74"/>
        <v>1043.6148699988626</v>
      </c>
      <c r="T246" s="48">
        <v>0.74231483796296294</v>
      </c>
      <c r="U246" s="29">
        <v>-1193.4982808655288</v>
      </c>
      <c r="V246" s="29">
        <v>4618.738675431855</v>
      </c>
      <c r="W246" s="29">
        <v>4279.6757733203012</v>
      </c>
      <c r="X246" s="4">
        <v>-0.45055674887812486</v>
      </c>
      <c r="Y246" s="4">
        <v>-0.32867535158248895</v>
      </c>
      <c r="Z246" s="4">
        <v>-0.13181003488244</v>
      </c>
      <c r="AA246" s="3">
        <f t="shared" si="79"/>
        <v>0.57306435589138538</v>
      </c>
      <c r="AB246" s="3">
        <f t="shared" si="82"/>
        <v>0.68660787068920148</v>
      </c>
      <c r="AC246" s="3">
        <f t="shared" si="80"/>
        <v>0.2984302284859196</v>
      </c>
      <c r="AD246" s="48"/>
      <c r="AE246" s="46">
        <f t="shared" si="75"/>
        <v>42.086146519916916</v>
      </c>
      <c r="AF246" s="46">
        <f t="shared" si="76"/>
        <v>-248.57490026629205</v>
      </c>
      <c r="AG246" s="47">
        <f t="shared" si="77"/>
        <v>40234.691670897519</v>
      </c>
      <c r="AH246" s="45" t="str">
        <f t="shared" si="81"/>
        <v>-248.57490,42.08615,40235</v>
      </c>
      <c r="AI246" s="44">
        <f t="shared" si="83"/>
        <v>1018.3415479604795</v>
      </c>
    </row>
    <row r="247" spans="1:35" ht="18" customHeight="1" x14ac:dyDescent="0.25">
      <c r="A247" s="36">
        <f t="shared" si="78"/>
        <v>0.74232637731481477</v>
      </c>
      <c r="B247" s="42">
        <f t="shared" si="63"/>
        <v>42.086493720510255</v>
      </c>
      <c r="C247" s="43">
        <f t="shared" si="64"/>
        <v>111.42708953197737</v>
      </c>
      <c r="D247" s="18">
        <f t="shared" si="65"/>
        <v>39.99573866125138</v>
      </c>
      <c r="E247" s="21" t="str">
        <f t="shared" si="66"/>
        <v>Umbra</v>
      </c>
      <c r="F247" s="23">
        <f>IF($E247&lt;&gt;"Umbra",fracil2($S$2,$S$3,$S$4,$A247,$Q$2,$O$3,$Q$4,$U247,$V247,$W247),0)</f>
        <v>0</v>
      </c>
      <c r="G247" s="19">
        <f t="shared" si="67"/>
        <v>69.295113349036313</v>
      </c>
      <c r="H247" s="19">
        <f t="shared" si="68"/>
        <v>-2.659932768483352</v>
      </c>
      <c r="I247" s="19">
        <f t="shared" si="69"/>
        <v>-1.4519148190884568</v>
      </c>
      <c r="J247" s="28">
        <f t="shared" si="70"/>
        <v>1.7271060437690895E-2</v>
      </c>
      <c r="K247" s="24">
        <f t="shared" si="71"/>
        <v>1048.9780667330647</v>
      </c>
      <c r="L247" s="32">
        <f t="shared" si="72"/>
        <v>0.54963958012730785</v>
      </c>
      <c r="M247" s="35">
        <f t="shared" si="73"/>
        <v>14.266202470066526</v>
      </c>
      <c r="O247" s="29">
        <f t="shared" si="74"/>
        <v>1043.7835557665371</v>
      </c>
      <c r="T247" s="48">
        <v>0.74232637731481477</v>
      </c>
      <c r="U247" s="29">
        <v>-1193.9435737112328</v>
      </c>
      <c r="V247" s="29">
        <v>4618.4135555931398</v>
      </c>
      <c r="W247" s="29">
        <v>4279.5444162808726</v>
      </c>
      <c r="X247" s="4">
        <v>-0.443412266898982</v>
      </c>
      <c r="Y247" s="4">
        <v>-0.32401416172606418</v>
      </c>
      <c r="Z247" s="4">
        <v>-0.13187440122744584</v>
      </c>
      <c r="AA247" s="3">
        <f t="shared" si="79"/>
        <v>0.56479241596770358</v>
      </c>
      <c r="AB247" s="3">
        <f t="shared" si="82"/>
        <v>0.66100986989255406</v>
      </c>
      <c r="AC247" s="3">
        <f t="shared" si="80"/>
        <v>0.29196781129011778</v>
      </c>
      <c r="AD247" s="48"/>
      <c r="AE247" s="46">
        <f t="shared" si="75"/>
        <v>42.086493720510255</v>
      </c>
      <c r="AF247" s="46">
        <f t="shared" si="76"/>
        <v>-248.57291046802263</v>
      </c>
      <c r="AG247" s="47">
        <f t="shared" si="77"/>
        <v>39995.73866125138</v>
      </c>
      <c r="AH247" s="45" t="str">
        <f t="shared" si="81"/>
        <v>-248.57291,42.08649,39996</v>
      </c>
      <c r="AI247" s="44">
        <f t="shared" si="83"/>
        <v>1018.510227174852</v>
      </c>
    </row>
    <row r="248" spans="1:35" ht="18" customHeight="1" x14ac:dyDescent="0.25">
      <c r="A248" s="36">
        <f t="shared" si="78"/>
        <v>0.74233798611111113</v>
      </c>
      <c r="B248" s="42">
        <f t="shared" si="63"/>
        <v>42.086826470350012</v>
      </c>
      <c r="C248" s="43">
        <f t="shared" si="64"/>
        <v>111.42900178574989</v>
      </c>
      <c r="D248" s="18">
        <f t="shared" si="65"/>
        <v>39.757174620505793</v>
      </c>
      <c r="E248" s="21" t="str">
        <f t="shared" si="66"/>
        <v>Umbra</v>
      </c>
      <c r="F248" s="23">
        <f>IF($E248&lt;&gt;"Umbra",fracil2($S$2,$S$3,$S$4,$A248,$Q$2,$O$3,$Q$4,$U248,$V248,$W248),0)</f>
        <v>0</v>
      </c>
      <c r="G248" s="19">
        <f t="shared" si="67"/>
        <v>69.295129345627259</v>
      </c>
      <c r="H248" s="19">
        <f t="shared" si="68"/>
        <v>-2.6739264127592097</v>
      </c>
      <c r="I248" s="19">
        <f t="shared" si="69"/>
        <v>-1.4659084633643145</v>
      </c>
      <c r="J248" s="28">
        <f t="shared" si="70"/>
        <v>1.7104526403804197E-2</v>
      </c>
      <c r="K248" s="24">
        <f t="shared" si="71"/>
        <v>1049.1122175615208</v>
      </c>
      <c r="L248" s="32">
        <f t="shared" si="72"/>
        <v>0.54968118006685762</v>
      </c>
      <c r="M248" s="35">
        <f t="shared" si="73"/>
        <v>14.256893962406465</v>
      </c>
      <c r="O248" s="29">
        <f t="shared" si="74"/>
        <v>1043.9456437890551</v>
      </c>
      <c r="T248" s="48">
        <v>0.74233798611111113</v>
      </c>
      <c r="U248" s="29">
        <v>-1194.3849246487337</v>
      </c>
      <c r="V248" s="29">
        <v>4618.0908165544861</v>
      </c>
      <c r="W248" s="29">
        <v>4279.4121189986663</v>
      </c>
      <c r="X248" s="4">
        <v>-0.43649360548499239</v>
      </c>
      <c r="Y248" s="4">
        <v>-0.31939906335563006</v>
      </c>
      <c r="Z248" s="4">
        <v>-0.13185440177113086</v>
      </c>
      <c r="AA248" s="3">
        <f t="shared" si="79"/>
        <v>0.55671178590736226</v>
      </c>
      <c r="AB248" s="3">
        <f t="shared" si="82"/>
        <v>0.6380665330091464</v>
      </c>
      <c r="AC248" s="3">
        <f t="shared" si="80"/>
        <v>0.28569216022612842</v>
      </c>
      <c r="AD248" s="48"/>
      <c r="AE248" s="46">
        <f t="shared" si="75"/>
        <v>42.086826470350012</v>
      </c>
      <c r="AF248" s="46">
        <f t="shared" si="76"/>
        <v>-248.5709982142501</v>
      </c>
      <c r="AG248" s="47">
        <f t="shared" si="77"/>
        <v>39757.174620505793</v>
      </c>
      <c r="AH248" s="45" t="str">
        <f t="shared" si="81"/>
        <v>-248.57100,42.08683,39757</v>
      </c>
      <c r="AI248" s="44">
        <f t="shared" si="83"/>
        <v>1018.67230856064</v>
      </c>
    </row>
    <row r="249" spans="1:35" ht="18" customHeight="1" x14ac:dyDescent="0.25">
      <c r="A249" s="36">
        <f t="shared" si="78"/>
        <v>0.74234959490740737</v>
      </c>
      <c r="B249" s="42">
        <f t="shared" si="63"/>
        <v>42.087142809165606</v>
      </c>
      <c r="C249" s="43">
        <f t="shared" si="64"/>
        <v>111.43081987822329</v>
      </c>
      <c r="D249" s="18">
        <f t="shared" si="65"/>
        <v>39.520794199435841</v>
      </c>
      <c r="E249" s="21" t="str">
        <f t="shared" si="66"/>
        <v>Umbra</v>
      </c>
      <c r="F249" s="23">
        <f>IF($E249&lt;&gt;"Umbra",fracil2($S$2,$S$3,$S$4,$A249,$Q$2,$O$3,$Q$4,$U249,$V249,$W249),0)</f>
        <v>0</v>
      </c>
      <c r="G249" s="19">
        <f t="shared" si="67"/>
        <v>69.295146205447452</v>
      </c>
      <c r="H249" s="19">
        <f t="shared" si="68"/>
        <v>-2.6877463964983406</v>
      </c>
      <c r="I249" s="19">
        <f t="shared" si="69"/>
        <v>-1.4797284471034453</v>
      </c>
      <c r="J249" s="28">
        <f t="shared" si="70"/>
        <v>1.6937676253253788E-2</v>
      </c>
      <c r="K249" s="24">
        <f t="shared" si="71"/>
        <v>1049.238680499526</v>
      </c>
      <c r="L249" s="32">
        <f t="shared" si="72"/>
        <v>0.54972240382957793</v>
      </c>
      <c r="M249" s="35">
        <f t="shared" si="73"/>
        <v>14.247699668615553</v>
      </c>
      <c r="O249" s="29">
        <f t="shared" si="74"/>
        <v>1044.0997490228651</v>
      </c>
      <c r="T249" s="48">
        <v>0.74234959490740737</v>
      </c>
      <c r="U249" s="29">
        <v>-1194.8193457313077</v>
      </c>
      <c r="V249" s="29">
        <v>4617.7727601714414</v>
      </c>
      <c r="W249" s="29">
        <v>4279.2799219224571</v>
      </c>
      <c r="X249" s="4">
        <v>-0.4298473952956256</v>
      </c>
      <c r="Y249" s="4">
        <v>-0.31486272913522295</v>
      </c>
      <c r="Z249" s="4">
        <v>-0.13175147487633393</v>
      </c>
      <c r="AA249" s="3">
        <f t="shared" si="79"/>
        <v>0.54887682823471773</v>
      </c>
      <c r="AB249" s="3">
        <f t="shared" si="82"/>
        <v>0.61534429620921516</v>
      </c>
      <c r="AC249" s="3">
        <f t="shared" si="80"/>
        <v>0.27963999185902044</v>
      </c>
      <c r="AD249" s="48"/>
      <c r="AE249" s="46">
        <f t="shared" si="75"/>
        <v>42.087142809165606</v>
      </c>
      <c r="AF249" s="46">
        <f t="shared" si="76"/>
        <v>-248.5691801217767</v>
      </c>
      <c r="AG249" s="47">
        <f t="shared" si="77"/>
        <v>39520.794199435841</v>
      </c>
      <c r="AH249" s="45" t="str">
        <f t="shared" si="81"/>
        <v>-248.56918,42.08714,39521</v>
      </c>
      <c r="AI249" s="44">
        <f t="shared" si="83"/>
        <v>1018.8264074707963</v>
      </c>
    </row>
    <row r="250" spans="1:35" ht="18" customHeight="1" x14ac:dyDescent="0.25">
      <c r="A250" s="36">
        <f t="shared" si="78"/>
        <v>0.74236112268518528</v>
      </c>
      <c r="B250" s="42">
        <f t="shared" si="63"/>
        <v>42.087441367900226</v>
      </c>
      <c r="C250" s="43">
        <f t="shared" si="64"/>
        <v>111.4325366697819</v>
      </c>
      <c r="D250" s="18">
        <f t="shared" si="65"/>
        <v>39.288221882601647</v>
      </c>
      <c r="E250" s="21" t="str">
        <f t="shared" si="66"/>
        <v>Umbra</v>
      </c>
      <c r="F250" s="23">
        <f>IF($E250&lt;&gt;"Umbra",fracil2($S$2,$S$3,$S$4,$A250,$Q$2,$O$3,$Q$4,$U250,$V250,$W250),0)</f>
        <v>0</v>
      </c>
      <c r="G250" s="19">
        <f t="shared" si="67"/>
        <v>69.295164524401869</v>
      </c>
      <c r="H250" s="19">
        <f t="shared" si="68"/>
        <v>-2.7013010372792294</v>
      </c>
      <c r="I250" s="19">
        <f t="shared" si="69"/>
        <v>-1.4932830878843342</v>
      </c>
      <c r="J250" s="28">
        <f t="shared" si="70"/>
        <v>1.6771675897680794E-2</v>
      </c>
      <c r="K250" s="24">
        <f t="shared" si="71"/>
        <v>1049.3570363421493</v>
      </c>
      <c r="L250" s="32">
        <f t="shared" si="72"/>
        <v>0.54976297268766083</v>
      </c>
      <c r="M250" s="35">
        <f t="shared" si="73"/>
        <v>14.238680079518824</v>
      </c>
      <c r="O250" s="29">
        <f t="shared" si="74"/>
        <v>1044.2452632425254</v>
      </c>
      <c r="T250" s="48">
        <v>0.74236112268518528</v>
      </c>
      <c r="U250" s="29">
        <v>-1195.2442348099328</v>
      </c>
      <c r="V250" s="29">
        <v>4617.4614136684741</v>
      </c>
      <c r="W250" s="29">
        <v>4279.1488005337369</v>
      </c>
      <c r="X250" s="4">
        <v>-0.42350973958653171</v>
      </c>
      <c r="Y250" s="4">
        <v>-0.31043386701047032</v>
      </c>
      <c r="Z250" s="4">
        <v>-0.13156950874260315</v>
      </c>
      <c r="AA250" s="3">
        <f t="shared" si="79"/>
        <v>0.54133189536780124</v>
      </c>
      <c r="AB250" s="3">
        <f t="shared" si="82"/>
        <v>0.59390138204316789</v>
      </c>
      <c r="AC250" s="3">
        <f t="shared" si="80"/>
        <v>0.27383949009444847</v>
      </c>
      <c r="AD250" s="48"/>
      <c r="AE250" s="46">
        <f t="shared" si="75"/>
        <v>42.087441367900226</v>
      </c>
      <c r="AF250" s="46">
        <f t="shared" si="76"/>
        <v>-248.56746333021812</v>
      </c>
      <c r="AG250" s="47">
        <f t="shared" si="77"/>
        <v>39288.221882601647</v>
      </c>
      <c r="AH250" s="45" t="str">
        <f t="shared" si="81"/>
        <v>-248.56746,42.08744,39288</v>
      </c>
      <c r="AI250" s="44">
        <f t="shared" si="83"/>
        <v>1018.9719156911367</v>
      </c>
    </row>
    <row r="251" spans="1:35" ht="18" customHeight="1" x14ac:dyDescent="0.25">
      <c r="A251" s="36">
        <f t="shared" si="78"/>
        <v>0.74237270833333335</v>
      </c>
      <c r="B251" s="42">
        <f t="shared" si="63"/>
        <v>42.087726579441494</v>
      </c>
      <c r="C251" s="43">
        <f t="shared" si="64"/>
        <v>111.43418058871789</v>
      </c>
      <c r="D251" s="18">
        <f t="shared" si="65"/>
        <v>39.056525344888541</v>
      </c>
      <c r="E251" s="21" t="str">
        <f t="shared" si="66"/>
        <v>Umbra</v>
      </c>
      <c r="F251" s="23">
        <f>IF($E251&lt;&gt;"Umbra",fracil2($S$2,$S$3,$S$4,$A251,$Q$2,$O$3,$Q$4,$U251,$V251,$W251),0)</f>
        <v>0</v>
      </c>
      <c r="G251" s="19">
        <f t="shared" si="67"/>
        <v>69.295187510011502</v>
      </c>
      <c r="H251" s="19">
        <f t="shared" si="68"/>
        <v>-2.7147651870297311</v>
      </c>
      <c r="I251" s="19">
        <f t="shared" si="69"/>
        <v>-1.5067472376348359</v>
      </c>
      <c r="J251" s="28">
        <f t="shared" si="70"/>
        <v>1.6604449254710402E-2</v>
      </c>
      <c r="K251" s="24">
        <f t="shared" si="71"/>
        <v>1049.4693392455306</v>
      </c>
      <c r="L251" s="32">
        <f t="shared" si="72"/>
        <v>0.54980339456570004</v>
      </c>
      <c r="M251" s="35">
        <f t="shared" si="73"/>
        <v>14.22971664669536</v>
      </c>
      <c r="O251" s="29">
        <f t="shared" si="74"/>
        <v>1044.3845833176836</v>
      </c>
      <c r="T251" s="48">
        <v>0.74237270833333335</v>
      </c>
      <c r="U251" s="29">
        <v>-1195.6652975672198</v>
      </c>
      <c r="V251" s="29">
        <v>4617.1527118667609</v>
      </c>
      <c r="W251" s="29">
        <v>4279.0171572647623</v>
      </c>
      <c r="X251" s="4">
        <v>-0.41739320803845542</v>
      </c>
      <c r="Y251" s="4">
        <v>-0.30605477578032542</v>
      </c>
      <c r="Z251" s="4">
        <v>-0.13130877345839892</v>
      </c>
      <c r="AA251" s="3">
        <f t="shared" si="79"/>
        <v>0.5339743532059642</v>
      </c>
      <c r="AB251" s="3">
        <f t="shared" si="82"/>
        <v>0.57391144904360147</v>
      </c>
      <c r="AC251" s="3">
        <f t="shared" si="80"/>
        <v>0.26820608664949491</v>
      </c>
      <c r="AD251" s="48"/>
      <c r="AE251" s="46">
        <f t="shared" si="75"/>
        <v>42.087726579441494</v>
      </c>
      <c r="AF251" s="46">
        <f t="shared" si="76"/>
        <v>-248.56581941128212</v>
      </c>
      <c r="AG251" s="47">
        <f t="shared" si="77"/>
        <v>39056.525344888541</v>
      </c>
      <c r="AH251" s="45" t="str">
        <f t="shared" si="81"/>
        <v>-248.56582,42.08773,39057</v>
      </c>
      <c r="AI251" s="44">
        <f t="shared" si="83"/>
        <v>1019.1112298687998</v>
      </c>
    </row>
    <row r="252" spans="1:35" ht="18" customHeight="1" x14ac:dyDescent="0.25">
      <c r="A252" s="36">
        <f t="shared" si="78"/>
        <v>0.74238427083333336</v>
      </c>
      <c r="B252" s="42">
        <f t="shared" si="63"/>
        <v>42.087996694149375</v>
      </c>
      <c r="C252" s="43">
        <f t="shared" si="64"/>
        <v>111.43573782534412</v>
      </c>
      <c r="D252" s="18">
        <f t="shared" si="65"/>
        <v>38.827579482491274</v>
      </c>
      <c r="E252" s="21" t="str">
        <f t="shared" si="66"/>
        <v>Umbra</v>
      </c>
      <c r="F252" s="23">
        <f>IF($E252&lt;&gt;"Umbra",fracil2($S$2,$S$3,$S$4,$A252,$Q$2,$O$3,$Q$4,$U252,$V252,$W252),0)</f>
        <v>0</v>
      </c>
      <c r="G252" s="19">
        <f t="shared" si="67"/>
        <v>69.295211156621789</v>
      </c>
      <c r="H252" s="19">
        <f t="shared" si="68"/>
        <v>-2.7280300109102393</v>
      </c>
      <c r="I252" s="19">
        <f t="shared" si="69"/>
        <v>-1.5200120615153441</v>
      </c>
      <c r="J252" s="28">
        <f t="shared" si="70"/>
        <v>1.6437376219497913E-2</v>
      </c>
      <c r="K252" s="24">
        <f t="shared" si="71"/>
        <v>1049.5746526378243</v>
      </c>
      <c r="L252" s="32">
        <f t="shared" si="72"/>
        <v>0.5498433627324536</v>
      </c>
      <c r="M252" s="35">
        <f t="shared" si="73"/>
        <v>14.220884688694595</v>
      </c>
      <c r="O252" s="29">
        <f t="shared" si="74"/>
        <v>1044.5165551714133</v>
      </c>
      <c r="T252" s="48">
        <v>0.74238427083333336</v>
      </c>
      <c r="U252" s="29">
        <v>-1196.0794476809201</v>
      </c>
      <c r="V252" s="29">
        <v>4616.8490283100718</v>
      </c>
      <c r="W252" s="29">
        <v>4278.8861038454133</v>
      </c>
      <c r="X252" s="4">
        <v>-0.41154143305584862</v>
      </c>
      <c r="Y252" s="4">
        <v>-0.30175957711736723</v>
      </c>
      <c r="Z252" s="4">
        <v>-0.13097348745433726</v>
      </c>
      <c r="AA252" s="3">
        <f t="shared" si="79"/>
        <v>0.52685790106979058</v>
      </c>
      <c r="AB252" s="3">
        <f t="shared" si="82"/>
        <v>0.55434695831129333</v>
      </c>
      <c r="AC252" s="3">
        <f t="shared" si="80"/>
        <v>0.26277559630256458</v>
      </c>
      <c r="AD252" s="48"/>
      <c r="AE252" s="46">
        <f t="shared" si="75"/>
        <v>42.087996694149375</v>
      </c>
      <c r="AF252" s="46">
        <f t="shared" si="76"/>
        <v>-248.56426217465588</v>
      </c>
      <c r="AG252" s="47">
        <f t="shared" si="77"/>
        <v>38827.579482491274</v>
      </c>
      <c r="AH252" s="45" t="str">
        <f t="shared" si="81"/>
        <v>-248.56426,42.08800,38828</v>
      </c>
      <c r="AI252" s="44">
        <f t="shared" si="83"/>
        <v>1019.2431960797205</v>
      </c>
    </row>
    <row r="253" spans="1:35" ht="18" customHeight="1" x14ac:dyDescent="0.25">
      <c r="A253" s="36">
        <f t="shared" si="78"/>
        <v>0.74239585648148143</v>
      </c>
      <c r="B253" s="42">
        <f t="shared" si="63"/>
        <v>42.088253214406237</v>
      </c>
      <c r="C253" s="43">
        <f t="shared" si="64"/>
        <v>111.43721448100497</v>
      </c>
      <c r="D253" s="18">
        <f t="shared" si="65"/>
        <v>38.60063924998849</v>
      </c>
      <c r="E253" s="21" t="str">
        <f t="shared" si="66"/>
        <v>Umbra</v>
      </c>
      <c r="F253" s="23">
        <f>IF($E253&lt;&gt;"Umbra",fracil2($S$2,$S$3,$S$4,$A253,$Q$2,$O$3,$Q$4,$U253,$V253,$W253),0)</f>
        <v>0</v>
      </c>
      <c r="G253" s="19">
        <f t="shared" si="67"/>
        <v>69.295232910016068</v>
      </c>
      <c r="H253" s="19">
        <f t="shared" si="68"/>
        <v>-2.7411396149823894</v>
      </c>
      <c r="I253" s="19">
        <f t="shared" si="69"/>
        <v>-1.5331216655874942</v>
      </c>
      <c r="J253" s="28">
        <f t="shared" si="70"/>
        <v>1.6269966935184864E-2</v>
      </c>
      <c r="K253" s="24">
        <f t="shared" si="71"/>
        <v>1049.6734168255982</v>
      </c>
      <c r="L253" s="32">
        <f t="shared" si="72"/>
        <v>0.54988302305639136</v>
      </c>
      <c r="M253" s="35">
        <f t="shared" si="73"/>
        <v>14.212156820618439</v>
      </c>
      <c r="O253" s="29">
        <f t="shared" si="74"/>
        <v>1044.6417070846273</v>
      </c>
      <c r="T253" s="48">
        <v>0.74239585648148143</v>
      </c>
      <c r="U253" s="29">
        <v>-1196.4883587866148</v>
      </c>
      <c r="V253" s="29">
        <v>4616.5492441352981</v>
      </c>
      <c r="W253" s="29">
        <v>4278.7552656625985</v>
      </c>
      <c r="X253" s="4">
        <v>-0.40592833332187606</v>
      </c>
      <c r="Y253" s="4">
        <v>-0.29753302595603665</v>
      </c>
      <c r="Z253" s="4">
        <v>-0.13056533532446002</v>
      </c>
      <c r="AA253" s="3">
        <f t="shared" si="79"/>
        <v>0.51995290182517528</v>
      </c>
      <c r="AB253" s="3">
        <f t="shared" si="82"/>
        <v>0.53540824204859405</v>
      </c>
      <c r="AC253" s="3">
        <f t="shared" si="80"/>
        <v>0.25752013286784936</v>
      </c>
      <c r="AD253" s="48"/>
      <c r="AE253" s="46">
        <f t="shared" si="75"/>
        <v>42.088253214406237</v>
      </c>
      <c r="AF253" s="46">
        <f t="shared" si="76"/>
        <v>-248.56278551899504</v>
      </c>
      <c r="AG253" s="47">
        <f t="shared" si="77"/>
        <v>38600.63924998849</v>
      </c>
      <c r="AH253" s="45" t="str">
        <f t="shared" si="81"/>
        <v>-248.56279,42.08825,38601</v>
      </c>
      <c r="AI253" s="44">
        <f t="shared" si="83"/>
        <v>1019.3683427696074</v>
      </c>
    </row>
    <row r="254" spans="1:35" ht="18" customHeight="1" x14ac:dyDescent="0.25">
      <c r="A254" s="36">
        <f t="shared" si="78"/>
        <v>0.74240745370370365</v>
      </c>
      <c r="B254" s="42">
        <f t="shared" si="63"/>
        <v>42.088496642928526</v>
      </c>
      <c r="C254" s="43">
        <f t="shared" si="64"/>
        <v>111.43861765600778</v>
      </c>
      <c r="D254" s="18">
        <f t="shared" si="65"/>
        <v>38.375744574388591</v>
      </c>
      <c r="E254" s="21" t="str">
        <f t="shared" si="66"/>
        <v>Umbra</v>
      </c>
      <c r="F254" s="23">
        <f>IF($E254&lt;&gt;"Umbra",fracil2($S$2,$S$3,$S$4,$A254,$Q$2,$O$3,$Q$4,$U254,$V254,$W254),0)</f>
        <v>0</v>
      </c>
      <c r="G254" s="19">
        <f t="shared" si="67"/>
        <v>69.295257043263533</v>
      </c>
      <c r="H254" s="19">
        <f t="shared" si="68"/>
        <v>-2.7540958469702139</v>
      </c>
      <c r="I254" s="19">
        <f t="shared" si="69"/>
        <v>-1.5460778975753187</v>
      </c>
      <c r="J254" s="28">
        <f t="shared" si="70"/>
        <v>1.6102303511554988E-2</v>
      </c>
      <c r="K254" s="24">
        <f t="shared" si="71"/>
        <v>1049.7662200091847</v>
      </c>
      <c r="L254" s="32">
        <f t="shared" si="72"/>
        <v>0.54992235983643023</v>
      </c>
      <c r="M254" s="35">
        <f t="shared" si="73"/>
        <v>14.203528642703713</v>
      </c>
      <c r="O254" s="29">
        <f t="shared" si="74"/>
        <v>1044.760622610142</v>
      </c>
      <c r="T254" s="48">
        <v>0.74240745370370365</v>
      </c>
      <c r="U254" s="29">
        <v>-1196.8922661333002</v>
      </c>
      <c r="V254" s="29">
        <v>4616.2532917904673</v>
      </c>
      <c r="W254" s="29">
        <v>4278.6247113206427</v>
      </c>
      <c r="X254" s="4">
        <v>-0.40054896455528655</v>
      </c>
      <c r="Y254" s="4">
        <v>-0.29337500058774729</v>
      </c>
      <c r="Z254" s="4">
        <v>-0.13008689092591588</v>
      </c>
      <c r="AA254" s="3">
        <f t="shared" si="79"/>
        <v>0.51325526121701281</v>
      </c>
      <c r="AB254" s="3">
        <f t="shared" si="82"/>
        <v>0.5178854209371847</v>
      </c>
      <c r="AC254" s="3">
        <f t="shared" si="80"/>
        <v>0.25243159166126711</v>
      </c>
      <c r="AD254" s="48"/>
      <c r="AE254" s="46">
        <f t="shared" si="75"/>
        <v>42.088496642928526</v>
      </c>
      <c r="AF254" s="46">
        <f t="shared" si="76"/>
        <v>-248.56138234399222</v>
      </c>
      <c r="AG254" s="47">
        <f t="shared" si="77"/>
        <v>38375.744574388591</v>
      </c>
      <c r="AH254" s="45" t="str">
        <f t="shared" si="81"/>
        <v>-248.56138,42.08850,38376</v>
      </c>
      <c r="AI254" s="44">
        <f t="shared" si="83"/>
        <v>1019.4872532758881</v>
      </c>
    </row>
    <row r="255" spans="1:35" ht="18" customHeight="1" x14ac:dyDescent="0.25">
      <c r="A255" s="36">
        <f t="shared" si="78"/>
        <v>0.74241899305555548</v>
      </c>
      <c r="B255" s="42">
        <f t="shared" si="63"/>
        <v>42.088726302126453</v>
      </c>
      <c r="C255" s="43">
        <f t="shared" si="64"/>
        <v>111.43994669726084</v>
      </c>
      <c r="D255" s="18">
        <f t="shared" si="65"/>
        <v>38.15408782693612</v>
      </c>
      <c r="E255" s="21" t="str">
        <f t="shared" si="66"/>
        <v>Umbra</v>
      </c>
      <c r="F255" s="23">
        <f>IF($E255&lt;&gt;"Umbra",fracil2($S$2,$S$3,$S$4,$A255,$Q$2,$O$3,$Q$4,$U255,$V255,$W255),0)</f>
        <v>0</v>
      </c>
      <c r="G255" s="19">
        <f t="shared" si="67"/>
        <v>69.295286727418102</v>
      </c>
      <c r="H255" s="19">
        <f t="shared" si="68"/>
        <v>-2.7668338696476553</v>
      </c>
      <c r="I255" s="19">
        <f t="shared" si="69"/>
        <v>-1.5588159202527601</v>
      </c>
      <c r="J255" s="28">
        <f t="shared" si="70"/>
        <v>1.5935356125203786E-2</v>
      </c>
      <c r="K255" s="24">
        <f t="shared" si="71"/>
        <v>1049.8531307486235</v>
      </c>
      <c r="L255" s="32">
        <f t="shared" si="72"/>
        <v>0.54996115860645889</v>
      </c>
      <c r="M255" s="35">
        <f t="shared" si="73"/>
        <v>14.195040896796502</v>
      </c>
      <c r="O255" s="29">
        <f t="shared" si="74"/>
        <v>1044.8732323417175</v>
      </c>
      <c r="T255" s="48">
        <v>0.74241899305555548</v>
      </c>
      <c r="U255" s="29">
        <v>-1197.2893341579204</v>
      </c>
      <c r="V255" s="29">
        <v>4615.9626156030881</v>
      </c>
      <c r="W255" s="29">
        <v>4278.4951840007088</v>
      </c>
      <c r="X255" s="4">
        <v>-0.39542462902791992</v>
      </c>
      <c r="Y255" s="4">
        <v>-0.28930667915033043</v>
      </c>
      <c r="Z255" s="4">
        <v>-0.12954388080755161</v>
      </c>
      <c r="AA255" s="3">
        <f t="shared" si="79"/>
        <v>0.50679444442253063</v>
      </c>
      <c r="AB255" s="3">
        <f t="shared" si="82"/>
        <v>0.50161081620724079</v>
      </c>
      <c r="AC255" s="3">
        <f t="shared" si="80"/>
        <v>0.24752755238453925</v>
      </c>
      <c r="AD255" s="48"/>
      <c r="AE255" s="46">
        <f t="shared" si="75"/>
        <v>42.088726302126453</v>
      </c>
      <c r="AF255" s="46">
        <f t="shared" si="76"/>
        <v>-248.56005330273916</v>
      </c>
      <c r="AG255" s="47">
        <f t="shared" si="77"/>
        <v>38154.08782693612</v>
      </c>
      <c r="AH255" s="45" t="str">
        <f t="shared" si="81"/>
        <v>-248.56005,42.08873,38154</v>
      </c>
      <c r="AI255" s="44">
        <f t="shared" si="83"/>
        <v>1019.5998580253822</v>
      </c>
    </row>
    <row r="256" spans="1:35" ht="18" customHeight="1" x14ac:dyDescent="0.25">
      <c r="A256" s="36">
        <f t="shared" si="78"/>
        <v>0.74243056712962963</v>
      </c>
      <c r="B256" s="42">
        <f t="shared" si="63"/>
        <v>42.08894410817345</v>
      </c>
      <c r="C256" s="43">
        <f t="shared" si="64"/>
        <v>111.44120381050732</v>
      </c>
      <c r="D256" s="18">
        <f t="shared" si="65"/>
        <v>37.934382728921264</v>
      </c>
      <c r="E256" s="21" t="str">
        <f t="shared" si="66"/>
        <v>Umbra</v>
      </c>
      <c r="F256" s="23">
        <f>IF($E256&lt;&gt;"Umbra",fracil2($S$2,$S$3,$S$4,$A256,$Q$2,$O$3,$Q$4,$U256,$V256,$W256),0)</f>
        <v>0</v>
      </c>
      <c r="G256" s="19">
        <f t="shared" si="67"/>
        <v>69.295313057681255</v>
      </c>
      <c r="H256" s="19">
        <f t="shared" si="68"/>
        <v>-2.7794251265107639</v>
      </c>
      <c r="I256" s="19">
        <f t="shared" si="69"/>
        <v>-1.5714071771158686</v>
      </c>
      <c r="J256" s="28">
        <f t="shared" si="70"/>
        <v>1.5768258543141896E-2</v>
      </c>
      <c r="K256" s="24">
        <f t="shared" si="71"/>
        <v>1049.9342229460954</v>
      </c>
      <c r="L256" s="32">
        <f t="shared" si="72"/>
        <v>0.54999968227640661</v>
      </c>
      <c r="M256" s="35">
        <f t="shared" si="73"/>
        <v>14.18665276106295</v>
      </c>
      <c r="O256" s="29">
        <f t="shared" si="74"/>
        <v>1044.979761673955</v>
      </c>
      <c r="T256" s="48">
        <v>0.74243056712962963</v>
      </c>
      <c r="U256" s="29">
        <v>-1197.682159771658</v>
      </c>
      <c r="V256" s="29">
        <v>4615.6754095252036</v>
      </c>
      <c r="W256" s="29">
        <v>4278.3659805816178</v>
      </c>
      <c r="X256" s="4">
        <v>-0.39051867965911552</v>
      </c>
      <c r="Y256" s="4">
        <v>-0.28530382395309245</v>
      </c>
      <c r="Z256" s="4">
        <v>-0.1289363675461761</v>
      </c>
      <c r="AA256" s="3">
        <f t="shared" si="79"/>
        <v>0.50052741982928228</v>
      </c>
      <c r="AB256" s="3">
        <f t="shared" si="82"/>
        <v>0.48508313129334402</v>
      </c>
      <c r="AC256" s="3">
        <f t="shared" si="80"/>
        <v>0.24277082719904555</v>
      </c>
      <c r="AD256" s="48"/>
      <c r="AE256" s="46">
        <f t="shared" si="75"/>
        <v>42.08894410817345</v>
      </c>
      <c r="AF256" s="46">
        <f t="shared" si="76"/>
        <v>-248.55879618949268</v>
      </c>
      <c r="AG256" s="47">
        <f t="shared" si="77"/>
        <v>37934.382728921264</v>
      </c>
      <c r="AH256" s="45" t="str">
        <f t="shared" si="81"/>
        <v>-248.55880,42.08894,37934</v>
      </c>
      <c r="AI256" s="44">
        <f t="shared" si="83"/>
        <v>1019.7063827484358</v>
      </c>
    </row>
    <row r="257" spans="1:35" ht="18" customHeight="1" x14ac:dyDescent="0.25">
      <c r="A257" s="36">
        <f t="shared" si="78"/>
        <v>0.74244212962962963</v>
      </c>
      <c r="B257" s="42">
        <f t="shared" si="63"/>
        <v>42.089149966221193</v>
      </c>
      <c r="C257" s="43">
        <f t="shared" si="64"/>
        <v>111.44239399036573</v>
      </c>
      <c r="D257" s="18">
        <f t="shared" si="65"/>
        <v>37.717245734701464</v>
      </c>
      <c r="E257" s="21" t="str">
        <f t="shared" si="66"/>
        <v>Umbra</v>
      </c>
      <c r="F257" s="23">
        <f>IF($E257&lt;&gt;"Umbra",fracil2($S$2,$S$3,$S$4,$A257,$Q$2,$O$3,$Q$4,$U257,$V257,$W257),0)</f>
        <v>0</v>
      </c>
      <c r="G257" s="19">
        <f t="shared" si="67"/>
        <v>69.295341603421136</v>
      </c>
      <c r="H257" s="19">
        <f t="shared" si="68"/>
        <v>-2.7918389750185182</v>
      </c>
      <c r="I257" s="19">
        <f t="shared" si="69"/>
        <v>-1.5838210256236229</v>
      </c>
      <c r="J257" s="28">
        <f t="shared" si="70"/>
        <v>1.560157366146088E-2</v>
      </c>
      <c r="K257" s="24">
        <f t="shared" si="71"/>
        <v>1050.0099672853623</v>
      </c>
      <c r="L257" s="32">
        <f t="shared" si="72"/>
        <v>0.55003780827243065</v>
      </c>
      <c r="M257" s="35">
        <f t="shared" si="73"/>
        <v>14.178380463322306</v>
      </c>
      <c r="O257" s="29">
        <f t="shared" si="74"/>
        <v>1045.0806098725634</v>
      </c>
      <c r="T257" s="48">
        <v>0.74244212962962963</v>
      </c>
      <c r="U257" s="29">
        <v>-1198.0699173085088</v>
      </c>
      <c r="V257" s="29">
        <v>4615.3923692178587</v>
      </c>
      <c r="W257" s="29">
        <v>4278.2375065272954</v>
      </c>
      <c r="X257" s="4">
        <v>-0.38583893939330738</v>
      </c>
      <c r="Y257" s="4">
        <v>-0.28137738998353162</v>
      </c>
      <c r="Z257" s="4">
        <v>-0.12826903064491488</v>
      </c>
      <c r="AA257" s="3">
        <f t="shared" si="79"/>
        <v>0.49446725570929656</v>
      </c>
      <c r="AB257" s="3">
        <f t="shared" si="82"/>
        <v>0.4699485887717057</v>
      </c>
      <c r="AC257" s="3">
        <f t="shared" si="80"/>
        <v>0.23816711965340917</v>
      </c>
      <c r="AD257" s="48"/>
      <c r="AE257" s="46">
        <f t="shared" si="75"/>
        <v>42.089149966221193</v>
      </c>
      <c r="AF257" s="46">
        <f t="shared" si="76"/>
        <v>-248.55760600963427</v>
      </c>
      <c r="AG257" s="47">
        <f t="shared" si="77"/>
        <v>37717.245734701464</v>
      </c>
      <c r="AH257" s="45" t="str">
        <f t="shared" si="81"/>
        <v>-248.55761,42.08915,37717</v>
      </c>
      <c r="AI257" s="44">
        <f t="shared" si="83"/>
        <v>1019.8072264700069</v>
      </c>
    </row>
    <row r="258" spans="1:35" ht="18" customHeight="1" x14ac:dyDescent="0.25">
      <c r="A258" s="36">
        <f t="shared" si="78"/>
        <v>0.74245375000000002</v>
      </c>
      <c r="B258" s="42">
        <f t="shared" si="63"/>
        <v>42.089345528858118</v>
      </c>
      <c r="C258" s="43">
        <f t="shared" si="64"/>
        <v>111.44352668828847</v>
      </c>
      <c r="D258" s="18">
        <f t="shared" si="65"/>
        <v>37.501416583183527</v>
      </c>
      <c r="E258" s="21" t="str">
        <f t="shared" si="66"/>
        <v>Umbra</v>
      </c>
      <c r="F258" s="23">
        <f>IF($E258&lt;&gt;"Umbra",fracil2($S$2,$S$3,$S$4,$A258,$Q$2,$O$3,$Q$4,$U258,$V258,$W258),0)</f>
        <v>0</v>
      </c>
      <c r="G258" s="19">
        <f t="shared" si="67"/>
        <v>69.295372415683516</v>
      </c>
      <c r="H258" s="19">
        <f t="shared" si="68"/>
        <v>-2.8041490476434818</v>
      </c>
      <c r="I258" s="19">
        <f t="shared" si="69"/>
        <v>-1.5961310982485866</v>
      </c>
      <c r="J258" s="28">
        <f t="shared" si="70"/>
        <v>1.5434436437880941E-2</v>
      </c>
      <c r="K258" s="24">
        <f t="shared" si="71"/>
        <v>1050.0810187249845</v>
      </c>
      <c r="L258" s="32">
        <f t="shared" si="72"/>
        <v>0.55007576389463875</v>
      </c>
      <c r="M258" s="35">
        <f t="shared" si="73"/>
        <v>14.170175038129683</v>
      </c>
      <c r="O258" s="29">
        <f t="shared" si="74"/>
        <v>1045.1765782901327</v>
      </c>
      <c r="T258" s="48">
        <v>0.74245375000000002</v>
      </c>
      <c r="U258" s="29">
        <v>-1198.4551229222955</v>
      </c>
      <c r="V258" s="29">
        <v>4615.1117487773681</v>
      </c>
      <c r="W258" s="29">
        <v>4278.1090542535549</v>
      </c>
      <c r="X258" s="4">
        <v>-0.38135316682552994</v>
      </c>
      <c r="Y258" s="4">
        <v>-0.2775046175769984</v>
      </c>
      <c r="Z258" s="4">
        <v>-0.1275407525220405</v>
      </c>
      <c r="AA258" s="3">
        <f t="shared" si="79"/>
        <v>0.48857516737786111</v>
      </c>
      <c r="AB258" s="3">
        <f t="shared" si="82"/>
        <v>0.45546372366455973</v>
      </c>
      <c r="AC258" s="3">
        <f t="shared" si="80"/>
        <v>0.23368297727004952</v>
      </c>
      <c r="AD258" s="48"/>
      <c r="AE258" s="46">
        <f t="shared" si="75"/>
        <v>42.089345528858118</v>
      </c>
      <c r="AF258" s="46">
        <f t="shared" si="76"/>
        <v>-248.55647331171153</v>
      </c>
      <c r="AG258" s="47">
        <f t="shared" si="77"/>
        <v>37501.416583183527</v>
      </c>
      <c r="AH258" s="45" t="str">
        <f t="shared" si="81"/>
        <v>-248.55647,42.08935,37501</v>
      </c>
      <c r="AI258" s="44">
        <f t="shared" si="83"/>
        <v>1019.903190608068</v>
      </c>
    </row>
    <row r="259" spans="1:35" ht="18" customHeight="1" x14ac:dyDescent="0.25">
      <c r="A259" s="36">
        <f t="shared" si="78"/>
        <v>0.742465300925926</v>
      </c>
      <c r="B259" s="42">
        <f t="shared" si="63"/>
        <v>42.089529020279059</v>
      </c>
      <c r="C259" s="43">
        <f t="shared" si="64"/>
        <v>111.44458863854743</v>
      </c>
      <c r="D259" s="18">
        <f t="shared" si="65"/>
        <v>37.289427133227946</v>
      </c>
      <c r="E259" s="21" t="str">
        <f t="shared" si="66"/>
        <v>Umbra</v>
      </c>
      <c r="F259" s="23">
        <f>IF($E259&lt;&gt;"Umbra",fracil2($S$2,$S$3,$S$4,$A259,$Q$2,$O$3,$Q$4,$U259,$V259,$W259),0)</f>
        <v>0</v>
      </c>
      <c r="G259" s="19">
        <f t="shared" si="67"/>
        <v>69.295402084868869</v>
      </c>
      <c r="H259" s="19">
        <f t="shared" si="68"/>
        <v>-2.8162112461631645</v>
      </c>
      <c r="I259" s="19">
        <f t="shared" si="69"/>
        <v>-1.6081932967682693</v>
      </c>
      <c r="J259" s="28">
        <f t="shared" si="70"/>
        <v>1.5268933235779382E-2</v>
      </c>
      <c r="K259" s="24">
        <f t="shared" si="71"/>
        <v>1050.146557094728</v>
      </c>
      <c r="L259" s="32">
        <f t="shared" si="72"/>
        <v>0.55011311946319486</v>
      </c>
      <c r="M259" s="35">
        <f t="shared" si="73"/>
        <v>14.162134825886977</v>
      </c>
      <c r="O259" s="29">
        <f t="shared" si="74"/>
        <v>1045.2665559111656</v>
      </c>
      <c r="T259" s="48">
        <v>0.742465300925926</v>
      </c>
      <c r="U259" s="29">
        <v>-1198.833513265349</v>
      </c>
      <c r="V259" s="29">
        <v>4614.8367351857623</v>
      </c>
      <c r="W259" s="29">
        <v>4277.9821737120492</v>
      </c>
      <c r="X259" s="4">
        <v>-0.37710755499619408</v>
      </c>
      <c r="Y259" s="4">
        <v>-0.27373084586270308</v>
      </c>
      <c r="Z259" s="4">
        <v>-0.12676345787099036</v>
      </c>
      <c r="AA259" s="3">
        <f t="shared" si="79"/>
        <v>0.48291578796238249</v>
      </c>
      <c r="AB259" s="3">
        <f t="shared" si="82"/>
        <v>0.44132702373243571</v>
      </c>
      <c r="AC259" s="3">
        <f t="shared" si="80"/>
        <v>0.22936397978090078</v>
      </c>
      <c r="AD259" s="48"/>
      <c r="AE259" s="46">
        <f t="shared" si="75"/>
        <v>42.089529020279059</v>
      </c>
      <c r="AF259" s="46">
        <f t="shared" si="76"/>
        <v>-248.55541136145257</v>
      </c>
      <c r="AG259" s="47">
        <f t="shared" si="77"/>
        <v>37289.427133227946</v>
      </c>
      <c r="AH259" s="45" t="str">
        <f t="shared" si="81"/>
        <v>-248.55541,42.08953,37289</v>
      </c>
      <c r="AI259" s="44">
        <f t="shared" si="83"/>
        <v>1019.993164281463</v>
      </c>
    </row>
    <row r="260" spans="1:35" ht="18" customHeight="1" x14ac:dyDescent="0.25">
      <c r="A260" s="36">
        <f t="shared" si="78"/>
        <v>0.74247699074074081</v>
      </c>
      <c r="B260" s="42">
        <f t="shared" si="63"/>
        <v>42.089704320743749</v>
      </c>
      <c r="C260" s="43">
        <f t="shared" si="64"/>
        <v>111.44560660503161</v>
      </c>
      <c r="D260" s="18">
        <f t="shared" si="65"/>
        <v>37.077273720679841</v>
      </c>
      <c r="E260" s="21" t="str">
        <f t="shared" si="66"/>
        <v>Umbra</v>
      </c>
      <c r="F260" s="23">
        <f>IF($E260&lt;&gt;"Umbra",fracil2($S$2,$S$3,$S$4,$A260,$Q$2,$O$3,$Q$4,$U260,$V260,$W260),0)</f>
        <v>0</v>
      </c>
      <c r="G260" s="19">
        <f t="shared" si="67"/>
        <v>69.295435558791326</v>
      </c>
      <c r="H260" s="19">
        <f t="shared" si="68"/>
        <v>-2.8282570490658592</v>
      </c>
      <c r="I260" s="19">
        <f t="shared" si="69"/>
        <v>-1.6202390996709639</v>
      </c>
      <c r="J260" s="28">
        <f t="shared" si="70"/>
        <v>1.5102053919604546E-2</v>
      </c>
      <c r="K260" s="24">
        <f t="shared" si="71"/>
        <v>1050.2083699258901</v>
      </c>
      <c r="L260" s="32">
        <f t="shared" si="72"/>
        <v>0.55015057020612812</v>
      </c>
      <c r="M260" s="35">
        <f t="shared" si="73"/>
        <v>14.154102278920734</v>
      </c>
      <c r="O260" s="29">
        <f t="shared" si="74"/>
        <v>1045.3527918154614</v>
      </c>
      <c r="T260" s="48">
        <v>0.74247699074074081</v>
      </c>
      <c r="U260" s="29">
        <v>-1199.2124828397543</v>
      </c>
      <c r="V260" s="29">
        <v>4614.5620389285987</v>
      </c>
      <c r="W260" s="29">
        <v>4277.8545031159656</v>
      </c>
      <c r="X260" s="4">
        <v>-0.37301723258592467</v>
      </c>
      <c r="Y260" s="4">
        <v>-0.26998518657035442</v>
      </c>
      <c r="Z260" s="4">
        <v>-0.12592529306531033</v>
      </c>
      <c r="AA260" s="3">
        <f t="shared" si="79"/>
        <v>0.4773793420405571</v>
      </c>
      <c r="AB260" s="3">
        <f t="shared" si="82"/>
        <v>0.42821837099568999</v>
      </c>
      <c r="AC260" s="3">
        <f t="shared" si="80"/>
        <v>0.22512287934145964</v>
      </c>
      <c r="AD260" s="48"/>
      <c r="AE260" s="46">
        <f t="shared" si="75"/>
        <v>42.089704320743749</v>
      </c>
      <c r="AF260" s="46">
        <f t="shared" si="76"/>
        <v>-248.55439339496837</v>
      </c>
      <c r="AG260" s="47">
        <f t="shared" si="77"/>
        <v>37077.273720679841</v>
      </c>
      <c r="AH260" s="45" t="str">
        <f t="shared" si="81"/>
        <v>-248.55439,42.08970,37077</v>
      </c>
      <c r="AI260" s="44">
        <f t="shared" si="83"/>
        <v>1020.0793963177584</v>
      </c>
    </row>
    <row r="261" spans="1:35" ht="18" customHeight="1" x14ac:dyDescent="0.25">
      <c r="A261" s="36">
        <f t="shared" si="78"/>
        <v>0.74248843750000004</v>
      </c>
      <c r="B261" s="42">
        <f t="shared" si="63"/>
        <v>42.089866065363324</v>
      </c>
      <c r="C261" s="43">
        <f t="shared" si="64"/>
        <v>111.4465437776438</v>
      </c>
      <c r="D261" s="18">
        <f t="shared" si="65"/>
        <v>36.87214910023522</v>
      </c>
      <c r="E261" s="21" t="str">
        <f t="shared" si="66"/>
        <v>Umbra</v>
      </c>
      <c r="F261" s="23">
        <f>IF($E261&lt;&gt;"Umbra",fracil2($S$2,$S$3,$S$4,$A261,$Q$2,$O$3,$Q$4,$U261,$V261,$W261),0)</f>
        <v>0</v>
      </c>
      <c r="G261" s="19">
        <f t="shared" si="67"/>
        <v>69.29546592984363</v>
      </c>
      <c r="H261" s="19">
        <f t="shared" si="68"/>
        <v>-2.8398771919873265</v>
      </c>
      <c r="I261" s="19">
        <f t="shared" si="69"/>
        <v>-1.6318592425924312</v>
      </c>
      <c r="J261" s="28">
        <f t="shared" si="70"/>
        <v>1.4939611334138771E-2</v>
      </c>
      <c r="K261" s="24">
        <f t="shared" si="71"/>
        <v>1050.2641890610194</v>
      </c>
      <c r="L261" s="32">
        <f t="shared" si="72"/>
        <v>0.55018687005524292</v>
      </c>
      <c r="M261" s="35">
        <f t="shared" si="73"/>
        <v>14.146354631378298</v>
      </c>
      <c r="O261" s="29">
        <f t="shared" si="74"/>
        <v>1045.432192101051</v>
      </c>
      <c r="T261" s="48">
        <v>0.74248843750000004</v>
      </c>
      <c r="U261" s="29">
        <v>-1199.5794074534811</v>
      </c>
      <c r="V261" s="29">
        <v>4614.2968719728833</v>
      </c>
      <c r="W261" s="29">
        <v>4277.7304190281693</v>
      </c>
      <c r="X261" s="4">
        <v>-0.36921274798762577</v>
      </c>
      <c r="Y261" s="4">
        <v>-0.26639439001722059</v>
      </c>
      <c r="Z261" s="4">
        <v>-0.12505884654837759</v>
      </c>
      <c r="AA261" s="3">
        <f t="shared" si="79"/>
        <v>0.47214800582998523</v>
      </c>
      <c r="AB261" s="3">
        <f t="shared" si="82"/>
        <v>0.41516856211140218</v>
      </c>
      <c r="AC261" s="3">
        <f t="shared" si="80"/>
        <v>0.22109651899352373</v>
      </c>
      <c r="AD261" s="48"/>
      <c r="AE261" s="46">
        <f t="shared" si="75"/>
        <v>42.089866065363324</v>
      </c>
      <c r="AF261" s="46">
        <f t="shared" si="76"/>
        <v>-248.5534562223562</v>
      </c>
      <c r="AG261" s="47">
        <f t="shared" si="77"/>
        <v>36872.14910023522</v>
      </c>
      <c r="AH261" s="45" t="str">
        <f t="shared" si="81"/>
        <v>-248.55346,42.08987,36872</v>
      </c>
      <c r="AI261" s="44">
        <f t="shared" si="83"/>
        <v>1020.1587930521326</v>
      </c>
    </row>
    <row r="262" spans="1:35" ht="18" customHeight="1" x14ac:dyDescent="0.25">
      <c r="A262" s="36">
        <f t="shared" si="78"/>
        <v>0.74250000000000005</v>
      </c>
      <c r="B262" s="42">
        <f t="shared" ref="B262:B325" si="84">latitude($U262,$V262,$W262)</f>
        <v>42.090020071684101</v>
      </c>
      <c r="C262" s="43">
        <f t="shared" ref="C262:C325" si="85">longitude($S$2,$S$3,$S$4,$A262,$U262,$V262)</f>
        <v>111.44743715826073</v>
      </c>
      <c r="D262" s="18">
        <f t="shared" ref="D262:D325" si="86">altitude($U262,$V262,$W262)</f>
        <v>36.667424068095897</v>
      </c>
      <c r="E262" s="21" t="str">
        <f t="shared" ref="E262:E325" si="87">illum2($S$2,$S$3,$S$4,$A262,$U262,$V262,$W262)</f>
        <v>Umbra</v>
      </c>
      <c r="F262" s="23">
        <f>IF($E262&lt;&gt;"Umbra",fracil2($S$2,$S$3,$S$4,$A262,$Q$2,$O$3,$Q$4,$U262,$V262,$W262),0)</f>
        <v>0</v>
      </c>
      <c r="G262" s="19">
        <f t="shared" ref="G262:G325" si="88">azimuth($S$2,$S$3,$S$4,$A262,$Q$2,$O$3,$Q$4,$U262,$V262,$W262)</f>
        <v>69.295497528925537</v>
      </c>
      <c r="H262" s="19">
        <f t="shared" ref="H262:H325" si="89">elev($S$2,$S$3,$S$4,$A262,$Q$2,$O$3,$Q$4,$U262,$V262,$W262)</f>
        <v>-2.8514509215335009</v>
      </c>
      <c r="I262" s="19">
        <f t="shared" ref="I262:I325" si="90">elev($S$2,$S$3,$S$4,$A262,$Q$2,$O$3,$Q$4,$U262,$V262,$W262)+DEGREES(ACOS($Q$3/$Q$4))</f>
        <v>-1.6434329721386056</v>
      </c>
      <c r="J262" s="28">
        <f t="shared" ref="J262:J325" si="91">vang($S$2,$S$3,$S$4,$A262,$Q$2,$O$3,$Q$4,$U262,$V262,$W262,$X262,$Y262,$Z262)</f>
        <v>1.4776511004133443E-2</v>
      </c>
      <c r="K262" s="24">
        <f t="shared" ref="K262:K325" si="92">slant_rng($S$2,$S$3,$S$4,$A262,$Q$2,$O$3,$Q$4,$U262,$V262,$W262)</f>
        <v>1050.3163720706766</v>
      </c>
      <c r="L262" s="32">
        <f t="shared" ref="L262:L325" si="93">radec2("ra",$S$2,$S$3,$S$4,$A262,$Q$2,$O$3,$Q$4,$U262,$V262,$W262)/24</f>
        <v>0.55022318264463954</v>
      </c>
      <c r="M262" s="35">
        <f t="shared" ref="M262:M325" si="94">radec2("dec",$S$2,$S$3,$S$4,$A262,$Q$2,$O$3,$Q$4,$U262,$V262,$W262)</f>
        <v>14.138636554833683</v>
      </c>
      <c r="O262" s="29">
        <f t="shared" ref="O262:O325" si="95">DEGREES(ACOS(SIN(RADIANS($B262))*SIN(RADIANS($O$2))+COS(RADIANS($B262))*COS(RADIANS($O$2))*COS(RADIANS($C262-$O$3))))*111.2</f>
        <v>1045.5078774939336</v>
      </c>
      <c r="T262" s="48">
        <v>0.74250000000000005</v>
      </c>
      <c r="U262" s="29">
        <v>-1199.9463532337513</v>
      </c>
      <c r="V262" s="29">
        <v>4614.0325668412343</v>
      </c>
      <c r="W262" s="29">
        <v>4277.6059603631747</v>
      </c>
      <c r="X262" s="4">
        <v>-0.36556249925210277</v>
      </c>
      <c r="Y262" s="4">
        <v>-0.26284211176597444</v>
      </c>
      <c r="Z262" s="4">
        <v>-0.1241405215009402</v>
      </c>
      <c r="AA262" s="3">
        <f t="shared" si="79"/>
        <v>0.46704687736411005</v>
      </c>
      <c r="AB262" s="3">
        <f t="shared" si="82"/>
        <v>0.40306495124774594</v>
      </c>
      <c r="AC262" s="3">
        <f t="shared" si="80"/>
        <v>0.2171480165364981</v>
      </c>
      <c r="AD262" s="48"/>
      <c r="AE262" s="46">
        <f t="shared" ref="AE262:AE325" si="96">$B262</f>
        <v>42.090020071684101</v>
      </c>
      <c r="AF262" s="46">
        <f t="shared" ref="AF262:AF325" si="97">$C262-360</f>
        <v>-248.55256284173927</v>
      </c>
      <c r="AG262" s="47">
        <f t="shared" ref="AG262:AG325" si="98">$D262*1000</f>
        <v>36667.424068095897</v>
      </c>
      <c r="AH262" s="45" t="str">
        <f t="shared" si="81"/>
        <v>-248.55256,42.09002,36667</v>
      </c>
      <c r="AI262" s="44">
        <f t="shared" si="83"/>
        <v>1020.2344750643962</v>
      </c>
    </row>
    <row r="263" spans="1:35" ht="18" customHeight="1" x14ac:dyDescent="0.25">
      <c r="A263" s="36">
        <f t="shared" ref="A263:A326" si="99">$T263+$S$5/86400</f>
        <v>0.74251158564814812</v>
      </c>
      <c r="B263" s="42">
        <f t="shared" si="84"/>
        <v>42.090165311804483</v>
      </c>
      <c r="C263" s="43">
        <f t="shared" si="85"/>
        <v>111.44827908226436</v>
      </c>
      <c r="D263" s="18">
        <f t="shared" si="86"/>
        <v>36.464870999466257</v>
      </c>
      <c r="E263" s="21" t="str">
        <f t="shared" si="87"/>
        <v>Umbra</v>
      </c>
      <c r="F263" s="23">
        <f>IF($E263&lt;&gt;"Umbra",fracil2($S$2,$S$3,$S$4,$A263,$Q$2,$O$3,$Q$4,$U263,$V263,$W263),0)</f>
        <v>0</v>
      </c>
      <c r="G263" s="19">
        <f t="shared" si="88"/>
        <v>69.295528345172599</v>
      </c>
      <c r="H263" s="19">
        <f t="shared" si="89"/>
        <v>-2.8628782661952306</v>
      </c>
      <c r="I263" s="19">
        <f t="shared" si="90"/>
        <v>-1.6548603168003353</v>
      </c>
      <c r="J263" s="28">
        <f t="shared" si="91"/>
        <v>1.4614290856336266E-2</v>
      </c>
      <c r="K263" s="24">
        <f t="shared" si="92"/>
        <v>1050.3644798086557</v>
      </c>
      <c r="L263" s="32">
        <f t="shared" si="93"/>
        <v>0.55025920496633252</v>
      </c>
      <c r="M263" s="35">
        <f t="shared" si="94"/>
        <v>14.131016020157368</v>
      </c>
      <c r="O263" s="29">
        <f t="shared" si="95"/>
        <v>1045.5792060344249</v>
      </c>
      <c r="T263" s="48">
        <v>0.74251158564814812</v>
      </c>
      <c r="U263" s="29">
        <v>-1200.3103622222879</v>
      </c>
      <c r="V263" s="29">
        <v>4613.7713316438467</v>
      </c>
      <c r="W263" s="29">
        <v>4277.4822299982743</v>
      </c>
      <c r="X263" s="4">
        <v>-0.36209476485981451</v>
      </c>
      <c r="Y263" s="4">
        <v>-0.25935996757430674</v>
      </c>
      <c r="Z263" s="4">
        <v>-0.1231807421571684</v>
      </c>
      <c r="AA263" s="3">
        <f t="shared" ref="AA263:AA326" si="100">SQRT($X263*$X263+$Y263*$Y263+$Z263*$Z263)</f>
        <v>0.46211871500451118</v>
      </c>
      <c r="AB263" s="3">
        <f t="shared" si="82"/>
        <v>0.39123133326441289</v>
      </c>
      <c r="AC263" s="3">
        <f t="shared" ref="AC263:AC326" si="101">vrel($S$2,$S$3,$S$4,$A263,$B263,$C263,$U263,$V263,$W263,$X263,$Y263,$Z263)</f>
        <v>0.21330776566807871</v>
      </c>
      <c r="AD263" s="48"/>
      <c r="AE263" s="46">
        <f t="shared" si="96"/>
        <v>42.090165311804483</v>
      </c>
      <c r="AF263" s="46">
        <f t="shared" si="97"/>
        <v>-248.55172091773562</v>
      </c>
      <c r="AG263" s="47">
        <f t="shared" si="98"/>
        <v>36464.870999466257</v>
      </c>
      <c r="AH263" s="45" t="str">
        <f t="shared" ref="AH263:AH326" si="102">CONCATENATE(TEXT($AF263,"00.00000"),",",TEXT($AE263,"00.00000"),",",TEXT($AG263,"00000"))</f>
        <v>-248.55172,42.09017,36465</v>
      </c>
      <c r="AI263" s="44">
        <f t="shared" si="83"/>
        <v>1020.3058004787881</v>
      </c>
    </row>
    <row r="264" spans="1:35" ht="18" customHeight="1" x14ac:dyDescent="0.25">
      <c r="A264" s="36">
        <f t="shared" si="99"/>
        <v>0.74252322916666669</v>
      </c>
      <c r="B264" s="42">
        <f t="shared" si="84"/>
        <v>42.090302745043495</v>
      </c>
      <c r="C264" s="43">
        <f t="shared" si="85"/>
        <v>111.44908088492257</v>
      </c>
      <c r="D264" s="18">
        <f t="shared" si="86"/>
        <v>36.263634361150253</v>
      </c>
      <c r="E264" s="21" t="str">
        <f t="shared" si="87"/>
        <v>Umbra</v>
      </c>
      <c r="F264" s="23">
        <f>IF($E264&lt;&gt;"Umbra",fracil2($S$2,$S$3,$S$4,$A264,$Q$2,$O$3,$Q$4,$U264,$V264,$W264),0)</f>
        <v>0</v>
      </c>
      <c r="G264" s="19">
        <f t="shared" si="88"/>
        <v>69.29556439200087</v>
      </c>
      <c r="H264" s="19">
        <f t="shared" si="89"/>
        <v>-2.8742116220200296</v>
      </c>
      <c r="I264" s="19">
        <f t="shared" si="90"/>
        <v>-1.6661936726251343</v>
      </c>
      <c r="J264" s="28">
        <f t="shared" si="91"/>
        <v>1.4452399009875883E-2</v>
      </c>
      <c r="K264" s="24">
        <f t="shared" si="92"/>
        <v>1050.4093498606155</v>
      </c>
      <c r="L264" s="32">
        <f t="shared" si="93"/>
        <v>0.5502950726160577</v>
      </c>
      <c r="M264" s="35">
        <f t="shared" si="94"/>
        <v>14.12345371877427</v>
      </c>
      <c r="O264" s="29">
        <f t="shared" si="95"/>
        <v>1045.6471131510832</v>
      </c>
      <c r="T264" s="48">
        <v>0.74252322916666669</v>
      </c>
      <c r="U264" s="29">
        <v>-1200.6731795676983</v>
      </c>
      <c r="V264" s="29">
        <v>4613.5119828575116</v>
      </c>
      <c r="W264" s="29">
        <v>4277.3587340797949</v>
      </c>
      <c r="X264" s="4">
        <v>-0.35879058430893118</v>
      </c>
      <c r="Y264" s="4">
        <v>-0.25593399398683742</v>
      </c>
      <c r="Z264" s="4">
        <v>-0.12217836469943959</v>
      </c>
      <c r="AA264" s="3">
        <f t="shared" si="100"/>
        <v>0.45734062302339601</v>
      </c>
      <c r="AB264" s="3">
        <f t="shared" ref="AB264:AB327" si="103">-($AC264-$AC263)/(($A264-$A263)*86400)*1000/9.806</f>
        <v>0.38035334610514543</v>
      </c>
      <c r="AC264" s="3">
        <f t="shared" si="101"/>
        <v>0.20955564228668458</v>
      </c>
      <c r="AD264" s="48"/>
      <c r="AE264" s="46">
        <f t="shared" si="96"/>
        <v>42.090302745043495</v>
      </c>
      <c r="AF264" s="46">
        <f t="shared" si="97"/>
        <v>-248.55091911507742</v>
      </c>
      <c r="AG264" s="47">
        <f t="shared" si="98"/>
        <v>36263.634361150253</v>
      </c>
      <c r="AH264" s="45" t="str">
        <f t="shared" si="102"/>
        <v>-248.55092,42.09030,36264</v>
      </c>
      <c r="AI264" s="44">
        <f t="shared" ref="AI264:AI327" si="104">IFERROR(ACOS(SIN(RADIANS($B263))*SIN(RADIANS($B264))+COS(RADIANS($B263))*COS(RADIANS($B264))*COS(RADIANS($C263-$C264)))*6371,0)+AI263</f>
        <v>1020.3737044397092</v>
      </c>
    </row>
    <row r="265" spans="1:35" ht="18" customHeight="1" x14ac:dyDescent="0.25">
      <c r="A265" s="36">
        <f t="shared" si="99"/>
        <v>0.74253472222222217</v>
      </c>
      <c r="B265" s="42">
        <f t="shared" si="84"/>
        <v>42.090430132074459</v>
      </c>
      <c r="C265" s="43">
        <f t="shared" si="85"/>
        <v>111.44982056944806</v>
      </c>
      <c r="D265" s="18">
        <f t="shared" si="86"/>
        <v>36.067709085625211</v>
      </c>
      <c r="E265" s="21" t="str">
        <f t="shared" si="87"/>
        <v>Umbra</v>
      </c>
      <c r="F265" s="23">
        <f>IF($E265&lt;&gt;"Umbra",fracil2($S$2,$S$3,$S$4,$A265,$Q$2,$O$3,$Q$4,$U265,$V265,$W265),0)</f>
        <v>0</v>
      </c>
      <c r="G265" s="19">
        <f t="shared" si="88"/>
        <v>69.295595854582501</v>
      </c>
      <c r="H265" s="19">
        <f t="shared" si="89"/>
        <v>-2.8852231640508581</v>
      </c>
      <c r="I265" s="19">
        <f t="shared" si="90"/>
        <v>-1.6772052146559628</v>
      </c>
      <c r="J265" s="28">
        <f t="shared" si="91"/>
        <v>1.4294209938940974E-2</v>
      </c>
      <c r="K265" s="24">
        <f t="shared" si="92"/>
        <v>1050.4496122225921</v>
      </c>
      <c r="L265" s="32">
        <f t="shared" si="93"/>
        <v>0.55033010775945734</v>
      </c>
      <c r="M265" s="35">
        <f t="shared" si="94"/>
        <v>14.116108464126631</v>
      </c>
      <c r="O265" s="29">
        <f t="shared" si="95"/>
        <v>1045.7097742146589</v>
      </c>
      <c r="T265" s="48">
        <v>0.74253472222222217</v>
      </c>
      <c r="U265" s="29">
        <v>-1201.0277686917423</v>
      </c>
      <c r="V265" s="29">
        <v>4613.2595894599735</v>
      </c>
      <c r="W265" s="29">
        <v>4277.237964866079</v>
      </c>
      <c r="X265" s="4">
        <v>-0.35570799977076589</v>
      </c>
      <c r="Y265" s="4">
        <v>-0.25263215485943019</v>
      </c>
      <c r="Z265" s="4">
        <v>-0.12115730121420988</v>
      </c>
      <c r="AA265" s="3">
        <f t="shared" si="100"/>
        <v>0.45280269257961475</v>
      </c>
      <c r="AB265" s="3">
        <f t="shared" si="103"/>
        <v>0.36914544744786809</v>
      </c>
      <c r="AC265" s="3">
        <f t="shared" si="101"/>
        <v>0.2059611409108387</v>
      </c>
      <c r="AD265" s="48"/>
      <c r="AE265" s="46">
        <f t="shared" si="96"/>
        <v>42.090430132074459</v>
      </c>
      <c r="AF265" s="46">
        <f t="shared" si="97"/>
        <v>-248.55017943055194</v>
      </c>
      <c r="AG265" s="47">
        <f t="shared" si="98"/>
        <v>36067.709085625211</v>
      </c>
      <c r="AH265" s="45" t="str">
        <f t="shared" si="102"/>
        <v>-248.55018,42.09043,36068</v>
      </c>
      <c r="AI265" s="44">
        <f t="shared" si="104"/>
        <v>1020.436362671329</v>
      </c>
    </row>
    <row r="266" spans="1:35" ht="18" customHeight="1" x14ac:dyDescent="0.25">
      <c r="A266" s="36">
        <f t="shared" si="99"/>
        <v>0.74254629629629632</v>
      </c>
      <c r="B266" s="42">
        <f t="shared" si="84"/>
        <v>42.090550775319393</v>
      </c>
      <c r="C266" s="43">
        <f t="shared" si="85"/>
        <v>111.45052593338359</v>
      </c>
      <c r="D266" s="18">
        <f t="shared" si="86"/>
        <v>35.872713300784199</v>
      </c>
      <c r="E266" s="21" t="str">
        <f t="shared" si="87"/>
        <v>Umbra</v>
      </c>
      <c r="F266" s="23">
        <f>IF($E266&lt;&gt;"Umbra",fracil2($S$2,$S$3,$S$4,$A266,$Q$2,$O$3,$Q$4,$U266,$V266,$W266),0)</f>
        <v>0</v>
      </c>
      <c r="G266" s="19">
        <f t="shared" si="88"/>
        <v>69.295632222263336</v>
      </c>
      <c r="H266" s="19">
        <f t="shared" si="89"/>
        <v>-2.8961650581504266</v>
      </c>
      <c r="I266" s="19">
        <f t="shared" si="90"/>
        <v>-1.6881471087555313</v>
      </c>
      <c r="J266" s="28">
        <f t="shared" si="91"/>
        <v>1.4136329215015318E-2</v>
      </c>
      <c r="K266" s="24">
        <f t="shared" si="92"/>
        <v>1050.4870836269865</v>
      </c>
      <c r="L266" s="32">
        <f t="shared" si="93"/>
        <v>0.55036506430190368</v>
      </c>
      <c r="M266" s="35">
        <f t="shared" si="94"/>
        <v>14.108805529144099</v>
      </c>
      <c r="O266" s="29">
        <f t="shared" si="95"/>
        <v>1045.7695069081246</v>
      </c>
      <c r="T266" s="48">
        <v>0.74254629629629632</v>
      </c>
      <c r="U266" s="29">
        <v>-1201.3822161999267</v>
      </c>
      <c r="V266" s="29">
        <v>4613.0084322064604</v>
      </c>
      <c r="W266" s="29">
        <v>4277.1172590215037</v>
      </c>
      <c r="X266" s="4">
        <v>-0.35277097038084076</v>
      </c>
      <c r="Y266" s="4">
        <v>-0.24938064385012648</v>
      </c>
      <c r="Z266" s="4">
        <v>-0.1200985546720518</v>
      </c>
      <c r="AA266" s="3">
        <f t="shared" si="100"/>
        <v>0.44839906991970835</v>
      </c>
      <c r="AB266" s="3">
        <f t="shared" si="103"/>
        <v>0.35913870645823509</v>
      </c>
      <c r="AC266" s="3">
        <f t="shared" si="101"/>
        <v>0.20243942675528617</v>
      </c>
      <c r="AD266" s="48"/>
      <c r="AE266" s="46">
        <f t="shared" si="96"/>
        <v>42.090550775319393</v>
      </c>
      <c r="AF266" s="46">
        <f t="shared" si="97"/>
        <v>-248.54947406661643</v>
      </c>
      <c r="AG266" s="47">
        <f t="shared" si="98"/>
        <v>35872.713300784199</v>
      </c>
      <c r="AH266" s="45" t="str">
        <f t="shared" si="102"/>
        <v>-248.54947,42.09055,35873</v>
      </c>
      <c r="AI266" s="44">
        <f t="shared" si="104"/>
        <v>1020.4960925930151</v>
      </c>
    </row>
    <row r="267" spans="1:35" ht="18" customHeight="1" x14ac:dyDescent="0.25">
      <c r="A267" s="36">
        <f t="shared" si="99"/>
        <v>0.74255789351851853</v>
      </c>
      <c r="B267" s="42">
        <f t="shared" si="84"/>
        <v>42.090664123020986</v>
      </c>
      <c r="C267" s="43">
        <f t="shared" si="85"/>
        <v>111.45118583777526</v>
      </c>
      <c r="D267" s="18">
        <f t="shared" si="86"/>
        <v>35.680016869926476</v>
      </c>
      <c r="E267" s="21" t="str">
        <f t="shared" si="87"/>
        <v>Umbra</v>
      </c>
      <c r="F267" s="23">
        <f>IF($E267&lt;&gt;"Umbra",fracil2($S$2,$S$3,$S$4,$A267,$Q$2,$O$3,$Q$4,$U267,$V267,$W267),0)</f>
        <v>0</v>
      </c>
      <c r="G267" s="19">
        <f t="shared" si="88"/>
        <v>69.295665182032366</v>
      </c>
      <c r="H267" s="19">
        <f t="shared" si="89"/>
        <v>-2.906957483047266</v>
      </c>
      <c r="I267" s="19">
        <f t="shared" si="90"/>
        <v>-1.6989395336523707</v>
      </c>
      <c r="J267" s="28">
        <f t="shared" si="91"/>
        <v>1.3980008866306381E-2</v>
      </c>
      <c r="K267" s="24">
        <f t="shared" si="92"/>
        <v>1050.5210093225376</v>
      </c>
      <c r="L267" s="32">
        <f t="shared" si="93"/>
        <v>0.55039972923113034</v>
      </c>
      <c r="M267" s="35">
        <f t="shared" si="94"/>
        <v>14.10160419657486</v>
      </c>
      <c r="O267" s="29">
        <f t="shared" si="95"/>
        <v>1045.8254018352093</v>
      </c>
      <c r="T267" s="48">
        <v>0.74255789351851853</v>
      </c>
      <c r="U267" s="29">
        <v>-1201.7342105265304</v>
      </c>
      <c r="V267" s="29">
        <v>4612.760206559652</v>
      </c>
      <c r="W267" s="29">
        <v>4276.9974890971498</v>
      </c>
      <c r="X267" s="4">
        <v>-0.34999610613221399</v>
      </c>
      <c r="Y267" s="4">
        <v>-0.24620310319959929</v>
      </c>
      <c r="Z267" s="4">
        <v>-0.11901235934371375</v>
      </c>
      <c r="AA267" s="3">
        <f t="shared" si="100"/>
        <v>0.44415896254537268</v>
      </c>
      <c r="AB267" s="3">
        <f t="shared" si="103"/>
        <v>0.34878378248145092</v>
      </c>
      <c r="AC267" s="3">
        <f t="shared" si="101"/>
        <v>0.19901241263673319</v>
      </c>
      <c r="AD267" s="48"/>
      <c r="AE267" s="46">
        <f t="shared" si="96"/>
        <v>42.090664123020986</v>
      </c>
      <c r="AF267" s="46">
        <f t="shared" si="97"/>
        <v>-248.54881416222474</v>
      </c>
      <c r="AG267" s="47">
        <f t="shared" si="98"/>
        <v>35680.016869926476</v>
      </c>
      <c r="AH267" s="45" t="str">
        <f t="shared" si="102"/>
        <v>-248.54881,42.09066,35680</v>
      </c>
      <c r="AI267" s="44">
        <f t="shared" si="104"/>
        <v>1020.551985059341</v>
      </c>
    </row>
    <row r="268" spans="1:35" ht="18" customHeight="1" x14ac:dyDescent="0.25">
      <c r="A268" s="36">
        <f t="shared" si="99"/>
        <v>0.74256947916666671</v>
      </c>
      <c r="B268" s="42">
        <f t="shared" si="84"/>
        <v>42.090770316311882</v>
      </c>
      <c r="C268" s="43">
        <f t="shared" si="85"/>
        <v>111.45180510121534</v>
      </c>
      <c r="D268" s="18">
        <f t="shared" si="86"/>
        <v>35.490001415192637</v>
      </c>
      <c r="E268" s="21" t="str">
        <f t="shared" si="87"/>
        <v>Umbra</v>
      </c>
      <c r="F268" s="23">
        <f>IF($E268&lt;&gt;"Umbra",fracil2($S$2,$S$3,$S$4,$A268,$Q$2,$O$3,$Q$4,$U268,$V268,$W268),0)</f>
        <v>0</v>
      </c>
      <c r="G268" s="19">
        <f t="shared" si="88"/>
        <v>69.295698744811816</v>
      </c>
      <c r="H268" s="19">
        <f t="shared" si="89"/>
        <v>-2.917582323920243</v>
      </c>
      <c r="I268" s="19">
        <f t="shared" si="90"/>
        <v>-1.7095643745253477</v>
      </c>
      <c r="J268" s="28">
        <f t="shared" si="91"/>
        <v>1.3825694744662836E-2</v>
      </c>
      <c r="K268" s="24">
        <f t="shared" si="92"/>
        <v>1050.5518234016881</v>
      </c>
      <c r="L268" s="32">
        <f t="shared" si="93"/>
        <v>0.55043402139038955</v>
      </c>
      <c r="M268" s="35">
        <f t="shared" si="94"/>
        <v>14.09451353587292</v>
      </c>
      <c r="O268" s="29">
        <f t="shared" si="95"/>
        <v>1045.8778499758357</v>
      </c>
      <c r="T268" s="48">
        <v>0.74256947916666671</v>
      </c>
      <c r="U268" s="29">
        <v>-1202.083200309823</v>
      </c>
      <c r="V268" s="29">
        <v>4612.515338703467</v>
      </c>
      <c r="W268" s="29">
        <v>4276.8789226630115</v>
      </c>
      <c r="X268" s="4">
        <v>-0.34738313243503294</v>
      </c>
      <c r="Y268" s="4">
        <v>-0.24310611037392357</v>
      </c>
      <c r="Z268" s="4">
        <v>-0.11790418735026099</v>
      </c>
      <c r="AA268" s="3">
        <f t="shared" si="100"/>
        <v>0.44008751288378928</v>
      </c>
      <c r="AB268" s="3">
        <f t="shared" si="103"/>
        <v>0.33912890540520696</v>
      </c>
      <c r="AC268" s="3">
        <f t="shared" si="101"/>
        <v>0.19568358909227349</v>
      </c>
      <c r="AD268" s="48"/>
      <c r="AE268" s="46">
        <f t="shared" si="96"/>
        <v>42.090770316311882</v>
      </c>
      <c r="AF268" s="46">
        <f t="shared" si="97"/>
        <v>-248.54819489878466</v>
      </c>
      <c r="AG268" s="47">
        <f t="shared" si="98"/>
        <v>35490.001415192637</v>
      </c>
      <c r="AH268" s="45" t="str">
        <f t="shared" si="102"/>
        <v>-248.54819,42.09077,35490</v>
      </c>
      <c r="AI268" s="44">
        <f t="shared" si="104"/>
        <v>1020.6044307756401</v>
      </c>
    </row>
    <row r="269" spans="1:35" ht="18" customHeight="1" x14ac:dyDescent="0.25">
      <c r="A269" s="36">
        <f t="shared" si="99"/>
        <v>0.74258100694444451</v>
      </c>
      <c r="B269" s="42">
        <f t="shared" si="84"/>
        <v>42.090869359325602</v>
      </c>
      <c r="C269" s="43">
        <f t="shared" si="85"/>
        <v>111.45238411278332</v>
      </c>
      <c r="D269" s="18">
        <f t="shared" si="86"/>
        <v>35.303372727446003</v>
      </c>
      <c r="E269" s="21" t="str">
        <f t="shared" si="87"/>
        <v>Umbra</v>
      </c>
      <c r="F269" s="23">
        <f>IF($E269&lt;&gt;"Umbra",fracil2($S$2,$S$3,$S$4,$A269,$Q$2,$O$3,$Q$4,$U269,$V269,$W269),0)</f>
        <v>0</v>
      </c>
      <c r="G269" s="19">
        <f t="shared" si="88"/>
        <v>69.295733162268419</v>
      </c>
      <c r="H269" s="19">
        <f t="shared" si="89"/>
        <v>-2.9280016426914992</v>
      </c>
      <c r="I269" s="19">
        <f t="shared" si="90"/>
        <v>-1.7199836932966039</v>
      </c>
      <c r="J269" s="28">
        <f t="shared" si="91"/>
        <v>1.3674097437788645E-2</v>
      </c>
      <c r="K269" s="24">
        <f t="shared" si="92"/>
        <v>1050.5796364419562</v>
      </c>
      <c r="L269" s="32">
        <f t="shared" si="93"/>
        <v>0.5504678127580761</v>
      </c>
      <c r="M269" s="35">
        <f t="shared" si="94"/>
        <v>14.087558604368931</v>
      </c>
      <c r="O269" s="29">
        <f t="shared" si="95"/>
        <v>1045.9268827334949</v>
      </c>
      <c r="T269" s="48">
        <v>0.74258100694444451</v>
      </c>
      <c r="U269" s="29">
        <v>-1202.4280047637924</v>
      </c>
      <c r="V269" s="29">
        <v>4612.2746783283919</v>
      </c>
      <c r="W269" s="29">
        <v>4276.7620332260494</v>
      </c>
      <c r="X269" s="4">
        <v>-0.3449349777567845</v>
      </c>
      <c r="Y269" s="4">
        <v>-0.24010110536617815</v>
      </c>
      <c r="Z269" s="4">
        <v>-0.11678173730201565</v>
      </c>
      <c r="AA269" s="3">
        <f t="shared" si="100"/>
        <v>0.43619566004880311</v>
      </c>
      <c r="AB269" s="3">
        <f t="shared" si="103"/>
        <v>0.32986018817587609</v>
      </c>
      <c r="AC269" s="3">
        <f t="shared" si="101"/>
        <v>0.19246191852303626</v>
      </c>
      <c r="AD269" s="48"/>
      <c r="AE269" s="46">
        <f t="shared" si="96"/>
        <v>42.090869359325602</v>
      </c>
      <c r="AF269" s="46">
        <f t="shared" si="97"/>
        <v>-248.54761588721669</v>
      </c>
      <c r="AG269" s="47">
        <f t="shared" si="98"/>
        <v>35303.372727446003</v>
      </c>
      <c r="AH269" s="45" t="str">
        <f t="shared" si="102"/>
        <v>-248.54762,42.09087,35303</v>
      </c>
      <c r="AI269" s="44">
        <f t="shared" si="104"/>
        <v>1020.6534612497328</v>
      </c>
    </row>
    <row r="270" spans="1:35" ht="18" customHeight="1" x14ac:dyDescent="0.25">
      <c r="A270" s="36">
        <f t="shared" si="99"/>
        <v>0.74259262731481479</v>
      </c>
      <c r="B270" s="42">
        <f t="shared" si="84"/>
        <v>42.09096284104875</v>
      </c>
      <c r="C270" s="43">
        <f t="shared" si="85"/>
        <v>111.45293124761763</v>
      </c>
      <c r="D270" s="18">
        <f t="shared" si="86"/>
        <v>35.117729353200957</v>
      </c>
      <c r="E270" s="21" t="str">
        <f t="shared" si="87"/>
        <v>Umbra</v>
      </c>
      <c r="F270" s="23">
        <f>IF($E270&lt;&gt;"Umbra",fracil2($S$2,$S$3,$S$4,$A270,$Q$2,$O$3,$Q$4,$U270,$V270,$W270),0)</f>
        <v>0</v>
      </c>
      <c r="G270" s="19">
        <f t="shared" si="88"/>
        <v>69.29576795380305</v>
      </c>
      <c r="H270" s="19">
        <f t="shared" si="89"/>
        <v>-2.9383501214697398</v>
      </c>
      <c r="I270" s="19">
        <f t="shared" si="90"/>
        <v>-1.7303321720748446</v>
      </c>
      <c r="J270" s="28">
        <f t="shared" si="91"/>
        <v>1.3523398007528706E-2</v>
      </c>
      <c r="K270" s="24">
        <f t="shared" si="92"/>
        <v>1050.6048875836686</v>
      </c>
      <c r="L270" s="32">
        <f t="shared" si="93"/>
        <v>0.55050154339992485</v>
      </c>
      <c r="M270" s="35">
        <f t="shared" si="94"/>
        <v>14.080650202236903</v>
      </c>
      <c r="O270" s="29">
        <f t="shared" si="95"/>
        <v>1045.9732132717875</v>
      </c>
      <c r="T270" s="48">
        <v>0.74259262731481479</v>
      </c>
      <c r="U270" s="29">
        <v>-1202.7731919048651</v>
      </c>
      <c r="V270" s="29">
        <v>4612.0350707769494</v>
      </c>
      <c r="W270" s="29">
        <v>4276.645342834343</v>
      </c>
      <c r="X270" s="4">
        <v>-0.34261499861409772</v>
      </c>
      <c r="Y270" s="4">
        <v>-0.23714977119392122</v>
      </c>
      <c r="Z270" s="4">
        <v>-0.11563360116330233</v>
      </c>
      <c r="AA270" s="3">
        <f t="shared" si="100"/>
        <v>0.43243055045944778</v>
      </c>
      <c r="AB270" s="3">
        <f t="shared" si="103"/>
        <v>0.32081564900491127</v>
      </c>
      <c r="AC270" s="3">
        <f t="shared" si="101"/>
        <v>0.18930341659590211</v>
      </c>
      <c r="AD270" s="48"/>
      <c r="AE270" s="46">
        <f t="shared" si="96"/>
        <v>42.09096284104875</v>
      </c>
      <c r="AF270" s="46">
        <f t="shared" si="97"/>
        <v>-248.54706875238236</v>
      </c>
      <c r="AG270" s="47">
        <f t="shared" si="98"/>
        <v>35117.729353200957</v>
      </c>
      <c r="AH270" s="45" t="str">
        <f t="shared" si="102"/>
        <v>-248.54707,42.09096,35118</v>
      </c>
      <c r="AI270" s="44">
        <f t="shared" si="104"/>
        <v>1020.6997896751402</v>
      </c>
    </row>
    <row r="271" spans="1:35" ht="18" customHeight="1" x14ac:dyDescent="0.25">
      <c r="A271" s="36">
        <f t="shared" si="99"/>
        <v>0.74260417824074076</v>
      </c>
      <c r="B271" s="42">
        <f t="shared" si="84"/>
        <v>42.091049693556009</v>
      </c>
      <c r="C271" s="43">
        <f t="shared" si="85"/>
        <v>111.45343624141202</v>
      </c>
      <c r="D271" s="18">
        <f t="shared" si="86"/>
        <v>34.935820151219559</v>
      </c>
      <c r="E271" s="21" t="str">
        <f t="shared" si="87"/>
        <v>Umbra</v>
      </c>
      <c r="F271" s="23">
        <f>IF($E271&lt;&gt;"Umbra",fracil2($S$2,$S$3,$S$4,$A271,$Q$2,$O$3,$Q$4,$U271,$V271,$W271),0)</f>
        <v>0</v>
      </c>
      <c r="G271" s="19">
        <f t="shared" si="88"/>
        <v>69.295798524161242</v>
      </c>
      <c r="H271" s="19">
        <f t="shared" si="89"/>
        <v>-2.9484735941564955</v>
      </c>
      <c r="I271" s="19">
        <f t="shared" si="90"/>
        <v>-1.7404556447616002</v>
      </c>
      <c r="J271" s="28">
        <f t="shared" si="91"/>
        <v>1.3375955169520158E-2</v>
      </c>
      <c r="K271" s="24">
        <f t="shared" si="92"/>
        <v>1050.6270354639273</v>
      </c>
      <c r="L271" s="32">
        <f t="shared" si="93"/>
        <v>0.55053472973736173</v>
      </c>
      <c r="M271" s="35">
        <f t="shared" si="94"/>
        <v>14.073894297287831</v>
      </c>
      <c r="O271" s="29">
        <f t="shared" si="95"/>
        <v>1046.0159895983579</v>
      </c>
      <c r="T271" s="48">
        <v>0.74260417824074076</v>
      </c>
      <c r="U271" s="29">
        <v>-1203.1137627316598</v>
      </c>
      <c r="V271" s="29">
        <v>4611.8000108804426</v>
      </c>
      <c r="W271" s="29">
        <v>4276.5306056144282</v>
      </c>
      <c r="X271" s="4">
        <v>-0.340452113018611</v>
      </c>
      <c r="Y271" s="4">
        <v>-0.23429596409183823</v>
      </c>
      <c r="Z271" s="4">
        <v>-0.11447981559098458</v>
      </c>
      <c r="AA271" s="3">
        <f t="shared" si="100"/>
        <v>0.42884480669154296</v>
      </c>
      <c r="AB271" s="3">
        <f t="shared" si="103"/>
        <v>0.31175977312180231</v>
      </c>
      <c r="AC271" s="3">
        <f t="shared" si="101"/>
        <v>0.18625241449332752</v>
      </c>
      <c r="AD271" s="48"/>
      <c r="AE271" s="46">
        <f t="shared" si="96"/>
        <v>42.091049693556009</v>
      </c>
      <c r="AF271" s="46">
        <f t="shared" si="97"/>
        <v>-248.54656375858798</v>
      </c>
      <c r="AG271" s="47">
        <f t="shared" si="98"/>
        <v>34935.820151219559</v>
      </c>
      <c r="AH271" s="45" t="str">
        <f t="shared" si="102"/>
        <v>-248.54656,42.09105,34936</v>
      </c>
      <c r="AI271" s="44">
        <f t="shared" si="104"/>
        <v>1020.7425640060089</v>
      </c>
    </row>
    <row r="272" spans="1:35" ht="18" customHeight="1" x14ac:dyDescent="0.25">
      <c r="A272" s="36">
        <f t="shared" si="99"/>
        <v>0.74261576388888884</v>
      </c>
      <c r="B272" s="42">
        <f t="shared" si="84"/>
        <v>42.09113127100251</v>
      </c>
      <c r="C272" s="43">
        <f t="shared" si="85"/>
        <v>111.45391782365061</v>
      </c>
      <c r="D272" s="18">
        <f t="shared" si="86"/>
        <v>34.755498961338162</v>
      </c>
      <c r="E272" s="21" t="str">
        <f t="shared" si="87"/>
        <v>Umbra</v>
      </c>
      <c r="F272" s="23">
        <f>IF($E272&lt;&gt;"Umbra",fracil2($S$2,$S$3,$S$4,$A272,$Q$2,$O$3,$Q$4,$U272,$V272,$W272),0)</f>
        <v>0</v>
      </c>
      <c r="G272" s="19">
        <f t="shared" si="88"/>
        <v>69.295836293638857</v>
      </c>
      <c r="H272" s="19">
        <f t="shared" si="89"/>
        <v>-2.9584980145816249</v>
      </c>
      <c r="I272" s="19">
        <f t="shared" si="90"/>
        <v>-1.7504800651867296</v>
      </c>
      <c r="J272" s="28">
        <f t="shared" si="91"/>
        <v>1.3230138897257325E-2</v>
      </c>
      <c r="K272" s="24">
        <f t="shared" si="92"/>
        <v>1050.6473770140328</v>
      </c>
      <c r="L272" s="32">
        <f t="shared" si="93"/>
        <v>0.55056772406296495</v>
      </c>
      <c r="M272" s="35">
        <f t="shared" si="94"/>
        <v>14.067198619794301</v>
      </c>
      <c r="O272" s="29">
        <f t="shared" si="95"/>
        <v>1046.0567515178655</v>
      </c>
      <c r="T272" s="48">
        <v>0.74261576388888884</v>
      </c>
      <c r="U272" s="29">
        <v>-1203.4538250934145</v>
      </c>
      <c r="V272" s="29">
        <v>4611.5666772758159</v>
      </c>
      <c r="W272" s="29">
        <v>4276.4164952594674</v>
      </c>
      <c r="X272" s="4">
        <v>-0.33841483554221169</v>
      </c>
      <c r="Y272" s="4">
        <v>-0.23150589330266683</v>
      </c>
      <c r="Z272" s="4">
        <v>-0.11330986868673244</v>
      </c>
      <c r="AA272" s="3">
        <f t="shared" si="100"/>
        <v>0.42539241400233324</v>
      </c>
      <c r="AB272" s="3">
        <f t="shared" si="103"/>
        <v>0.30379246259867931</v>
      </c>
      <c r="AC272" s="3">
        <f t="shared" si="101"/>
        <v>0.18327044661621639</v>
      </c>
      <c r="AD272" s="48"/>
      <c r="AE272" s="46">
        <f t="shared" si="96"/>
        <v>42.09113127100251</v>
      </c>
      <c r="AF272" s="46">
        <f t="shared" si="97"/>
        <v>-248.54608217634939</v>
      </c>
      <c r="AG272" s="47">
        <f t="shared" si="98"/>
        <v>34755.498961338162</v>
      </c>
      <c r="AH272" s="45" t="str">
        <f t="shared" si="102"/>
        <v>-248.54608,42.09113,34755</v>
      </c>
      <c r="AI272" s="44">
        <f t="shared" si="104"/>
        <v>1020.783324208365</v>
      </c>
    </row>
    <row r="273" spans="1:35" ht="18" customHeight="1" x14ac:dyDescent="0.25">
      <c r="A273" s="36">
        <f t="shared" si="99"/>
        <v>0.74262734953703713</v>
      </c>
      <c r="B273" s="42">
        <f t="shared" si="84"/>
        <v>42.091207353732557</v>
      </c>
      <c r="C273" s="43">
        <f t="shared" si="85"/>
        <v>111.45436134852997</v>
      </c>
      <c r="D273" s="18">
        <f t="shared" si="86"/>
        <v>34.577866094185083</v>
      </c>
      <c r="E273" s="21" t="str">
        <f t="shared" si="87"/>
        <v>Umbra</v>
      </c>
      <c r="F273" s="23">
        <f>IF($E273&lt;&gt;"Umbra",fracil2($S$2,$S$3,$S$4,$A273,$Q$2,$O$3,$Q$4,$U273,$V273,$W273),0)</f>
        <v>0</v>
      </c>
      <c r="G273" s="19">
        <f t="shared" si="88"/>
        <v>69.295867451979234</v>
      </c>
      <c r="H273" s="19">
        <f t="shared" si="89"/>
        <v>-2.9683564978257997</v>
      </c>
      <c r="I273" s="19">
        <f t="shared" si="90"/>
        <v>-1.7603385484309044</v>
      </c>
      <c r="J273" s="28">
        <f t="shared" si="91"/>
        <v>1.3086960716020049E-2</v>
      </c>
      <c r="K273" s="24">
        <f t="shared" si="92"/>
        <v>1050.6648510548623</v>
      </c>
      <c r="L273" s="32">
        <f t="shared" si="93"/>
        <v>0.55060037477896395</v>
      </c>
      <c r="M273" s="35">
        <f t="shared" si="94"/>
        <v>14.060617958803704</v>
      </c>
      <c r="O273" s="29">
        <f t="shared" si="95"/>
        <v>1046.094315975485</v>
      </c>
      <c r="T273" s="48">
        <v>0.74262734953703713</v>
      </c>
      <c r="U273" s="29">
        <v>-1203.7914023481244</v>
      </c>
      <c r="V273" s="29">
        <v>4611.3364470356164</v>
      </c>
      <c r="W273" s="29">
        <v>4276.3037311615699</v>
      </c>
      <c r="X273" s="4">
        <v>-0.33651060422900708</v>
      </c>
      <c r="Y273" s="4">
        <v>-0.22879669208327172</v>
      </c>
      <c r="Z273" s="4">
        <v>-0.11213366052489647</v>
      </c>
      <c r="AA273" s="3">
        <f t="shared" si="100"/>
        <v>0.42209154325753984</v>
      </c>
      <c r="AB273" s="3">
        <f t="shared" si="103"/>
        <v>0.29510162102536874</v>
      </c>
      <c r="AC273" s="3">
        <f t="shared" si="101"/>
        <v>0.18037378635390952</v>
      </c>
      <c r="AD273" s="48"/>
      <c r="AE273" s="46">
        <f t="shared" si="96"/>
        <v>42.091207353732557</v>
      </c>
      <c r="AF273" s="46">
        <f t="shared" si="97"/>
        <v>-248.54563865147003</v>
      </c>
      <c r="AG273" s="47">
        <f t="shared" si="98"/>
        <v>34577.866094185083</v>
      </c>
      <c r="AH273" s="45" t="str">
        <f t="shared" si="102"/>
        <v>-248.54564,42.09121,34578</v>
      </c>
      <c r="AI273" s="44">
        <f t="shared" si="104"/>
        <v>1020.8208869279305</v>
      </c>
    </row>
    <row r="274" spans="1:35" ht="18" customHeight="1" x14ac:dyDescent="0.25">
      <c r="A274" s="36">
        <f t="shared" si="99"/>
        <v>0.74263891203703702</v>
      </c>
      <c r="B274" s="42">
        <f t="shared" si="84"/>
        <v>42.091278312499526</v>
      </c>
      <c r="C274" s="43">
        <f t="shared" si="85"/>
        <v>111.45478024976154</v>
      </c>
      <c r="D274" s="18">
        <f t="shared" si="86"/>
        <v>34.40276062977955</v>
      </c>
      <c r="E274" s="21" t="str">
        <f t="shared" si="87"/>
        <v>Umbra</v>
      </c>
      <c r="F274" s="23">
        <f>IF($E274&lt;&gt;"Umbra",fracil2($S$2,$S$3,$S$4,$A274,$Q$2,$O$3,$Q$4,$U274,$V274,$W274),0)</f>
        <v>0</v>
      </c>
      <c r="G274" s="19">
        <f t="shared" si="88"/>
        <v>69.295903514794347</v>
      </c>
      <c r="H274" s="19">
        <f t="shared" si="89"/>
        <v>-2.9780645896852445</v>
      </c>
      <c r="I274" s="19">
        <f t="shared" si="90"/>
        <v>-1.7700466402903492</v>
      </c>
      <c r="J274" s="28">
        <f t="shared" si="91"/>
        <v>1.2946383803782543E-2</v>
      </c>
      <c r="K274" s="24">
        <f t="shared" si="92"/>
        <v>1050.6805293651721</v>
      </c>
      <c r="L274" s="32">
        <f t="shared" si="93"/>
        <v>0.55063267007754313</v>
      </c>
      <c r="M274" s="35">
        <f t="shared" si="94"/>
        <v>14.054133404965475</v>
      </c>
      <c r="O274" s="29">
        <f t="shared" si="95"/>
        <v>1046.1297723692758</v>
      </c>
      <c r="T274" s="48">
        <v>0.74263891203703702</v>
      </c>
      <c r="U274" s="29">
        <v>-1204.1268669597866</v>
      </c>
      <c r="V274" s="29">
        <v>4611.109071546497</v>
      </c>
      <c r="W274" s="29">
        <v>4276.1922362263977</v>
      </c>
      <c r="X274" s="4">
        <v>-0.33473191761844889</v>
      </c>
      <c r="Y274" s="4">
        <v>-0.22616559500781838</v>
      </c>
      <c r="Z274" s="4">
        <v>-0.11095297128509561</v>
      </c>
      <c r="AA274" s="3">
        <f t="shared" si="100"/>
        <v>0.41893543043619003</v>
      </c>
      <c r="AB274" s="3">
        <f t="shared" si="103"/>
        <v>0.28746661393031631</v>
      </c>
      <c r="AC274" s="3">
        <f t="shared" si="101"/>
        <v>0.17755770763535053</v>
      </c>
      <c r="AD274" s="48"/>
      <c r="AE274" s="46">
        <f t="shared" si="96"/>
        <v>42.091278312499526</v>
      </c>
      <c r="AF274" s="46">
        <f t="shared" si="97"/>
        <v>-248.54521975023846</v>
      </c>
      <c r="AG274" s="47">
        <f t="shared" si="98"/>
        <v>34402.76062977955</v>
      </c>
      <c r="AH274" s="45" t="str">
        <f t="shared" si="102"/>
        <v>-248.54522,42.09128,34403</v>
      </c>
      <c r="AI274" s="44">
        <f t="shared" si="104"/>
        <v>1020.8563416712809</v>
      </c>
    </row>
    <row r="275" spans="1:35" ht="18" customHeight="1" x14ac:dyDescent="0.25">
      <c r="A275" s="36">
        <f t="shared" si="99"/>
        <v>0.74265049768518521</v>
      </c>
      <c r="B275" s="42">
        <f t="shared" si="84"/>
        <v>42.091344581888265</v>
      </c>
      <c r="C275" s="43">
        <f t="shared" si="85"/>
        <v>111.45516926817795</v>
      </c>
      <c r="D275" s="18">
        <f t="shared" si="86"/>
        <v>34.229779987234906</v>
      </c>
      <c r="E275" s="21" t="str">
        <f t="shared" si="87"/>
        <v>Umbra</v>
      </c>
      <c r="F275" s="23">
        <f>IF($E275&lt;&gt;"Umbra",fracil2($S$2,$S$3,$S$4,$A275,$Q$2,$O$3,$Q$4,$U275,$V275,$W275),0)</f>
        <v>0</v>
      </c>
      <c r="G275" s="19">
        <f t="shared" si="88"/>
        <v>69.295936614249499</v>
      </c>
      <c r="H275" s="19">
        <f t="shared" si="89"/>
        <v>-2.9876416253166918</v>
      </c>
      <c r="I275" s="19">
        <f t="shared" si="90"/>
        <v>-1.7796236759217965</v>
      </c>
      <c r="J275" s="28">
        <f t="shared" si="91"/>
        <v>1.2808185096210754E-2</v>
      </c>
      <c r="K275" s="24">
        <f t="shared" si="92"/>
        <v>1050.6939524943975</v>
      </c>
      <c r="L275" s="32">
        <f t="shared" si="93"/>
        <v>0.55066471277083628</v>
      </c>
      <c r="M275" s="35">
        <f t="shared" si="94"/>
        <v>14.047737970474962</v>
      </c>
      <c r="O275" s="29">
        <f t="shared" si="95"/>
        <v>1046.1627087269933</v>
      </c>
      <c r="T275" s="48">
        <v>0.74265049768518521</v>
      </c>
      <c r="U275" s="29">
        <v>-1204.4610578011093</v>
      </c>
      <c r="V275" s="29">
        <v>4610.8839899310515</v>
      </c>
      <c r="W275" s="29">
        <v>4276.0817766552336</v>
      </c>
      <c r="X275" s="4">
        <v>-0.33306943674646167</v>
      </c>
      <c r="Y275" s="4">
        <v>-0.22360631534437783</v>
      </c>
      <c r="Z275" s="4">
        <v>-0.10976770804987038</v>
      </c>
      <c r="AA275" s="3">
        <f t="shared" si="100"/>
        <v>0.41591343292446825</v>
      </c>
      <c r="AB275" s="3">
        <f t="shared" si="103"/>
        <v>0.27952386407437624</v>
      </c>
      <c r="AC275" s="3">
        <f t="shared" si="101"/>
        <v>0.17481395561321797</v>
      </c>
      <c r="AD275" s="48"/>
      <c r="AE275" s="46">
        <f t="shared" si="96"/>
        <v>42.091344581888265</v>
      </c>
      <c r="AF275" s="46">
        <f t="shared" si="97"/>
        <v>-248.54483073182206</v>
      </c>
      <c r="AG275" s="47">
        <f t="shared" si="98"/>
        <v>34229.779987234906</v>
      </c>
      <c r="AH275" s="45" t="str">
        <f t="shared" si="102"/>
        <v>-248.54483,42.09134,34230</v>
      </c>
      <c r="AI275" s="44">
        <f t="shared" si="104"/>
        <v>1020.889276421472</v>
      </c>
    </row>
    <row r="276" spans="1:35" ht="18" customHeight="1" x14ac:dyDescent="0.25">
      <c r="A276" s="36">
        <f t="shared" si="99"/>
        <v>0.742662025462963</v>
      </c>
      <c r="B276" s="42">
        <f t="shared" si="84"/>
        <v>42.091406032475568</v>
      </c>
      <c r="C276" s="43">
        <f t="shared" si="85"/>
        <v>111.45552977594022</v>
      </c>
      <c r="D276" s="18">
        <f t="shared" si="86"/>
        <v>34.059999282742865</v>
      </c>
      <c r="E276" s="21" t="str">
        <f t="shared" si="87"/>
        <v>Umbra</v>
      </c>
      <c r="F276" s="23">
        <f>IF($E276&lt;&gt;"Umbra",fracil2($S$2,$S$3,$S$4,$A276,$Q$2,$O$3,$Q$4,$U276,$V276,$W276),0)</f>
        <v>0</v>
      </c>
      <c r="G276" s="19">
        <f t="shared" si="88"/>
        <v>69.295968729631625</v>
      </c>
      <c r="H276" s="19">
        <f t="shared" si="89"/>
        <v>-2.9970300760673183</v>
      </c>
      <c r="I276" s="19">
        <f t="shared" si="90"/>
        <v>-1.789012126672423</v>
      </c>
      <c r="J276" s="28">
        <f t="shared" si="91"/>
        <v>1.2673303244408261E-2</v>
      </c>
      <c r="K276" s="24">
        <f t="shared" si="92"/>
        <v>1050.7053480822376</v>
      </c>
      <c r="L276" s="32">
        <f t="shared" si="93"/>
        <v>0.55069629483546645</v>
      </c>
      <c r="M276" s="35">
        <f t="shared" si="94"/>
        <v>14.04146846145013</v>
      </c>
      <c r="O276" s="29">
        <f t="shared" si="95"/>
        <v>1046.193232143487</v>
      </c>
      <c r="T276" s="48">
        <v>0.742662025462963</v>
      </c>
      <c r="U276" s="29">
        <v>-1204.7919366294411</v>
      </c>
      <c r="V276" s="29">
        <v>4610.6625698260787</v>
      </c>
      <c r="W276" s="29">
        <v>4275.9730624281838</v>
      </c>
      <c r="X276" s="4">
        <v>-0.33152776382775501</v>
      </c>
      <c r="Y276" s="4">
        <v>-0.22113416790046844</v>
      </c>
      <c r="Z276" s="4">
        <v>-0.10858783405657146</v>
      </c>
      <c r="AA276" s="3">
        <f t="shared" si="100"/>
        <v>0.41304030808961223</v>
      </c>
      <c r="AB276" s="3">
        <f t="shared" si="103"/>
        <v>0.27196862212466966</v>
      </c>
      <c r="AC276" s="3">
        <f t="shared" si="101"/>
        <v>0.17215769900189307</v>
      </c>
      <c r="AD276" s="48"/>
      <c r="AE276" s="46">
        <f t="shared" si="96"/>
        <v>42.091406032475568</v>
      </c>
      <c r="AF276" s="46">
        <f t="shared" si="97"/>
        <v>-248.54447022405978</v>
      </c>
      <c r="AG276" s="47">
        <f t="shared" si="98"/>
        <v>34059.999282742865</v>
      </c>
      <c r="AH276" s="45" t="str">
        <f t="shared" si="102"/>
        <v>-248.54447,42.09141,34060</v>
      </c>
      <c r="AI276" s="44">
        <f t="shared" si="104"/>
        <v>1020.9197983781447</v>
      </c>
    </row>
    <row r="277" spans="1:35" ht="18" customHeight="1" x14ac:dyDescent="0.25">
      <c r="A277" s="36">
        <f t="shared" si="99"/>
        <v>0.74267365740740743</v>
      </c>
      <c r="B277" s="42">
        <f t="shared" si="84"/>
        <v>42.091463773968663</v>
      </c>
      <c r="C277" s="43">
        <f t="shared" si="85"/>
        <v>111.45586879284072</v>
      </c>
      <c r="D277" s="18">
        <f t="shared" si="86"/>
        <v>33.890989841472219</v>
      </c>
      <c r="E277" s="21" t="str">
        <f t="shared" si="87"/>
        <v>Umbra</v>
      </c>
      <c r="F277" s="23">
        <f>IF($E277&lt;&gt;"Umbra",fracil2($S$2,$S$3,$S$4,$A277,$Q$2,$O$3,$Q$4,$U277,$V277,$W277),0)</f>
        <v>0</v>
      </c>
      <c r="G277" s="19">
        <f t="shared" si="88"/>
        <v>69.296000849060107</v>
      </c>
      <c r="H277" s="19">
        <f t="shared" si="89"/>
        <v>-3.0063652592034473</v>
      </c>
      <c r="I277" s="19">
        <f t="shared" si="90"/>
        <v>-1.7983473098085521</v>
      </c>
      <c r="J277" s="28">
        <f t="shared" si="91"/>
        <v>1.2539890514952377E-2</v>
      </c>
      <c r="K277" s="24">
        <f t="shared" si="92"/>
        <v>1050.7150340215085</v>
      </c>
      <c r="L277" s="32">
        <f t="shared" si="93"/>
        <v>0.55072786638535487</v>
      </c>
      <c r="M277" s="35">
        <f t="shared" si="94"/>
        <v>14.035234132043065</v>
      </c>
      <c r="O277" s="29">
        <f t="shared" si="95"/>
        <v>1046.2219348022347</v>
      </c>
      <c r="T277" s="48">
        <v>0.74267365740740743</v>
      </c>
      <c r="U277" s="29">
        <v>-1205.1242994973413</v>
      </c>
      <c r="V277" s="29">
        <v>4610.4416098988722</v>
      </c>
      <c r="W277" s="29">
        <v>4275.8645575620021</v>
      </c>
      <c r="X277" s="4">
        <v>-0.33008023337693887</v>
      </c>
      <c r="Y277" s="4">
        <v>-0.21871356256792901</v>
      </c>
      <c r="Z277" s="4">
        <v>-0.10739875943952414</v>
      </c>
      <c r="AA277" s="3">
        <f t="shared" si="100"/>
        <v>0.41027195425288165</v>
      </c>
      <c r="AB277" s="3">
        <f t="shared" si="103"/>
        <v>0.26464745946817836</v>
      </c>
      <c r="AC277" s="3">
        <f t="shared" si="101"/>
        <v>0.16954959034941508</v>
      </c>
      <c r="AD277" s="48"/>
      <c r="AE277" s="46">
        <f t="shared" si="96"/>
        <v>42.091463773968663</v>
      </c>
      <c r="AF277" s="46">
        <f t="shared" si="97"/>
        <v>-248.5441312071593</v>
      </c>
      <c r="AG277" s="47">
        <f t="shared" si="98"/>
        <v>33890.989841472219</v>
      </c>
      <c r="AH277" s="45" t="str">
        <f t="shared" si="102"/>
        <v>-248.54413,42.09146,33891</v>
      </c>
      <c r="AI277" s="44">
        <f t="shared" si="104"/>
        <v>1020.9484999424313</v>
      </c>
    </row>
    <row r="278" spans="1:35" ht="18" customHeight="1" x14ac:dyDescent="0.25">
      <c r="A278" s="36">
        <f t="shared" si="99"/>
        <v>0.74268521990740732</v>
      </c>
      <c r="B278" s="42">
        <f t="shared" si="84"/>
        <v>42.091517212527826</v>
      </c>
      <c r="C278" s="43">
        <f t="shared" si="85"/>
        <v>111.45618571739314</v>
      </c>
      <c r="D278" s="18">
        <f t="shared" si="86"/>
        <v>33.72513446177436</v>
      </c>
      <c r="E278" s="21" t="str">
        <f t="shared" si="87"/>
        <v>Umbra</v>
      </c>
      <c r="F278" s="23">
        <f>IF($E278&lt;&gt;"Umbra",fracil2($S$2,$S$3,$S$4,$A278,$Q$2,$O$3,$Q$4,$U278,$V278,$W278),0)</f>
        <v>0</v>
      </c>
      <c r="G278" s="19">
        <f t="shared" si="88"/>
        <v>69.296035468582915</v>
      </c>
      <c r="H278" s="19">
        <f t="shared" si="89"/>
        <v>-3.0155177139386331</v>
      </c>
      <c r="I278" s="19">
        <f t="shared" si="90"/>
        <v>-1.8074997645437378</v>
      </c>
      <c r="J278" s="28">
        <f t="shared" si="91"/>
        <v>1.2409898989090281E-2</v>
      </c>
      <c r="K278" s="24">
        <f t="shared" si="92"/>
        <v>1050.7232148770217</v>
      </c>
      <c r="L278" s="32">
        <f t="shared" si="93"/>
        <v>0.55075897169482024</v>
      </c>
      <c r="M278" s="35">
        <f t="shared" si="94"/>
        <v>14.029119257437381</v>
      </c>
      <c r="O278" s="29">
        <f t="shared" si="95"/>
        <v>1046.24875348966</v>
      </c>
      <c r="T278" s="48">
        <v>0.74268521990740732</v>
      </c>
      <c r="U278" s="29">
        <v>-1205.4535138164597</v>
      </c>
      <c r="V278" s="29">
        <v>4610.2241947081156</v>
      </c>
      <c r="W278" s="29">
        <v>4275.7578101060826</v>
      </c>
      <c r="X278" s="4">
        <v>-0.32874273148091454</v>
      </c>
      <c r="Y278" s="4">
        <v>-0.21637829270593908</v>
      </c>
      <c r="Z278" s="4">
        <v>-0.10621940235627303</v>
      </c>
      <c r="AA278" s="3">
        <f t="shared" si="100"/>
        <v>0.40764434313846865</v>
      </c>
      <c r="AB278" s="3">
        <f t="shared" si="103"/>
        <v>0.25769747622832817</v>
      </c>
      <c r="AC278" s="3">
        <f t="shared" si="101"/>
        <v>0.16702513587899484</v>
      </c>
      <c r="AD278" s="48"/>
      <c r="AE278" s="46">
        <f t="shared" si="96"/>
        <v>42.091517212527826</v>
      </c>
      <c r="AF278" s="46">
        <f t="shared" si="97"/>
        <v>-248.54381428260686</v>
      </c>
      <c r="AG278" s="47">
        <f t="shared" si="98"/>
        <v>33725.13446177436</v>
      </c>
      <c r="AH278" s="45" t="str">
        <f t="shared" si="102"/>
        <v>-248.54381,42.09152,33725</v>
      </c>
      <c r="AI278" s="44">
        <f t="shared" si="104"/>
        <v>1020.975317609811</v>
      </c>
    </row>
    <row r="279" spans="1:35" ht="18" customHeight="1" x14ac:dyDescent="0.25">
      <c r="A279" s="36">
        <f t="shared" si="99"/>
        <v>0.74269674768518523</v>
      </c>
      <c r="B279" s="42">
        <f t="shared" si="84"/>
        <v>42.091566742060671</v>
      </c>
      <c r="C279" s="43">
        <f t="shared" si="85"/>
        <v>111.45647841647802</v>
      </c>
      <c r="D279" s="18">
        <f t="shared" si="86"/>
        <v>33.56204512284512</v>
      </c>
      <c r="E279" s="21" t="str">
        <f t="shared" si="87"/>
        <v>Umbra</v>
      </c>
      <c r="F279" s="23">
        <f>IF($E279&lt;&gt;"Umbra",fracil2($S$2,$S$3,$S$4,$A279,$Q$2,$O$3,$Q$4,$U279,$V279,$W279),0)</f>
        <v>0</v>
      </c>
      <c r="G279" s="19">
        <f t="shared" si="88"/>
        <v>69.296068144574477</v>
      </c>
      <c r="H279" s="19">
        <f t="shared" si="89"/>
        <v>-3.0245075242278068</v>
      </c>
      <c r="I279" s="19">
        <f t="shared" si="90"/>
        <v>-1.8164895748329115</v>
      </c>
      <c r="J279" s="28">
        <f t="shared" si="91"/>
        <v>1.2283074121177148E-2</v>
      </c>
      <c r="K279" s="24">
        <f t="shared" si="92"/>
        <v>1050.729683624369</v>
      </c>
      <c r="L279" s="32">
        <f t="shared" si="93"/>
        <v>0.55078969705367109</v>
      </c>
      <c r="M279" s="35">
        <f t="shared" si="94"/>
        <v>14.023113799583953</v>
      </c>
      <c r="O279" s="29">
        <f t="shared" si="95"/>
        <v>1046.2735265561842</v>
      </c>
      <c r="T279" s="48">
        <v>0.74269674768518523</v>
      </c>
      <c r="U279" s="29">
        <v>-1205.780337269367</v>
      </c>
      <c r="V279" s="29">
        <v>4610.0097988997913</v>
      </c>
      <c r="W279" s="29">
        <v>4275.6525926379309</v>
      </c>
      <c r="X279" s="4">
        <v>-0.32750618740382331</v>
      </c>
      <c r="Y279" s="4">
        <v>-0.21412171851180009</v>
      </c>
      <c r="Z279" s="4">
        <v>-0.10504924633145427</v>
      </c>
      <c r="AA279" s="3">
        <f t="shared" si="100"/>
        <v>0.40514658739898252</v>
      </c>
      <c r="AB279" s="3">
        <f t="shared" si="103"/>
        <v>0.25070071935694271</v>
      </c>
      <c r="AC279" s="3">
        <f t="shared" si="101"/>
        <v>0.16457659810996889</v>
      </c>
      <c r="AD279" s="48"/>
      <c r="AE279" s="46">
        <f t="shared" si="96"/>
        <v>42.091566742060671</v>
      </c>
      <c r="AF279" s="46">
        <f t="shared" si="97"/>
        <v>-248.54352158352197</v>
      </c>
      <c r="AG279" s="47">
        <f t="shared" si="98"/>
        <v>33562.04512284512</v>
      </c>
      <c r="AH279" s="45" t="str">
        <f t="shared" si="102"/>
        <v>-248.54352,42.09157,33562</v>
      </c>
      <c r="AI279" s="44">
        <f t="shared" si="104"/>
        <v>1021.0000895382832</v>
      </c>
    </row>
    <row r="280" spans="1:35" ht="18" customHeight="1" x14ac:dyDescent="0.25">
      <c r="A280" s="36">
        <f t="shared" si="99"/>
        <v>0.74270832175925927</v>
      </c>
      <c r="B280" s="42">
        <f t="shared" si="84"/>
        <v>42.091612927788731</v>
      </c>
      <c r="C280" s="43">
        <f t="shared" si="85"/>
        <v>111.45674936936243</v>
      </c>
      <c r="D280" s="18">
        <f t="shared" si="86"/>
        <v>33.400570753179636</v>
      </c>
      <c r="E280" s="21" t="str">
        <f t="shared" si="87"/>
        <v>Umbra</v>
      </c>
      <c r="F280" s="23">
        <f>IF($E280&lt;&gt;"Umbra",fracil2($S$2,$S$3,$S$4,$A280,$Q$2,$O$3,$Q$4,$U280,$V280,$W280),0)</f>
        <v>0</v>
      </c>
      <c r="G280" s="19">
        <f t="shared" si="88"/>
        <v>69.296098248827334</v>
      </c>
      <c r="H280" s="19">
        <f t="shared" si="89"/>
        <v>-3.0333984262164817</v>
      </c>
      <c r="I280" s="19">
        <f t="shared" si="90"/>
        <v>-1.8253804768215864</v>
      </c>
      <c r="J280" s="28">
        <f t="shared" si="91"/>
        <v>1.2158572189824021E-2</v>
      </c>
      <c r="K280" s="24">
        <f t="shared" si="92"/>
        <v>1050.7345236242888</v>
      </c>
      <c r="L280" s="32">
        <f t="shared" si="93"/>
        <v>0.55082026126490791</v>
      </c>
      <c r="M280" s="35">
        <f t="shared" si="94"/>
        <v>14.017175830837067</v>
      </c>
      <c r="O280" s="29">
        <f t="shared" si="95"/>
        <v>1046.2964674874968</v>
      </c>
      <c r="T280" s="48">
        <v>0.74270832175925927</v>
      </c>
      <c r="U280" s="29">
        <v>-1206.1070964064106</v>
      </c>
      <c r="V280" s="29">
        <v>4609.7968878065658</v>
      </c>
      <c r="W280" s="29">
        <v>4275.5481804378405</v>
      </c>
      <c r="X280" s="4">
        <v>-0.32635715264005066</v>
      </c>
      <c r="Y280" s="4">
        <v>-0.21192718571842353</v>
      </c>
      <c r="Z280" s="4">
        <v>-0.10388197858404159</v>
      </c>
      <c r="AA280" s="3">
        <f t="shared" si="100"/>
        <v>0.40275748112280646</v>
      </c>
      <c r="AB280" s="3">
        <f t="shared" si="103"/>
        <v>0.24384987594199053</v>
      </c>
      <c r="AC280" s="3">
        <f t="shared" si="101"/>
        <v>0.162185406226489</v>
      </c>
      <c r="AD280" s="48"/>
      <c r="AE280" s="46">
        <f t="shared" si="96"/>
        <v>42.091612927788731</v>
      </c>
      <c r="AF280" s="46">
        <f t="shared" si="97"/>
        <v>-248.54325063063757</v>
      </c>
      <c r="AG280" s="47">
        <f t="shared" si="98"/>
        <v>33400.570753179636</v>
      </c>
      <c r="AH280" s="45" t="str">
        <f t="shared" si="102"/>
        <v>-248.54325,42.09161,33401</v>
      </c>
      <c r="AI280" s="44">
        <f t="shared" si="104"/>
        <v>1021.0230295289297</v>
      </c>
    </row>
    <row r="281" spans="1:35" ht="18" customHeight="1" x14ac:dyDescent="0.25">
      <c r="A281" s="36">
        <f t="shared" si="99"/>
        <v>0.74271991898148138</v>
      </c>
      <c r="B281" s="42">
        <f t="shared" si="84"/>
        <v>42.091655917088602</v>
      </c>
      <c r="C281" s="43">
        <f t="shared" si="85"/>
        <v>111.45700428107452</v>
      </c>
      <c r="D281" s="18">
        <f t="shared" si="86"/>
        <v>33.240827425698626</v>
      </c>
      <c r="E281" s="21" t="str">
        <f t="shared" si="87"/>
        <v>Umbra</v>
      </c>
      <c r="F281" s="23">
        <f>IF($E281&lt;&gt;"Umbra",fracil2($S$2,$S$3,$S$4,$A281,$Q$2,$O$3,$Q$4,$U281,$V281,$W281),0)</f>
        <v>0</v>
      </c>
      <c r="G281" s="19">
        <f t="shared" si="88"/>
        <v>69.296130697066829</v>
      </c>
      <c r="H281" s="19">
        <f t="shared" si="89"/>
        <v>-3.0421870051156805</v>
      </c>
      <c r="I281" s="19">
        <f t="shared" si="90"/>
        <v>-1.8341690557207853</v>
      </c>
      <c r="J281" s="28">
        <f t="shared" si="91"/>
        <v>1.2036531904735871E-2</v>
      </c>
      <c r="K281" s="24">
        <f t="shared" si="92"/>
        <v>1050.7382103449738</v>
      </c>
      <c r="L281" s="32">
        <f t="shared" si="93"/>
        <v>0.55085062449153221</v>
      </c>
      <c r="M281" s="35">
        <f t="shared" si="94"/>
        <v>14.0113039681939</v>
      </c>
      <c r="O281" s="29">
        <f t="shared" si="95"/>
        <v>1046.3180386761812</v>
      </c>
      <c r="T281" s="48">
        <v>0.74271991898148138</v>
      </c>
      <c r="U281" s="29">
        <v>-1206.4335973305422</v>
      </c>
      <c r="V281" s="29">
        <v>4609.5855898912587</v>
      </c>
      <c r="W281" s="29">
        <v>4275.4446635472104</v>
      </c>
      <c r="X281" s="4">
        <v>-0.32529251843302498</v>
      </c>
      <c r="Y281" s="4">
        <v>-0.20979581327101446</v>
      </c>
      <c r="Z281" s="4">
        <v>-0.10272017698102467</v>
      </c>
      <c r="AA281" s="3">
        <f t="shared" si="100"/>
        <v>0.40047589262471128</v>
      </c>
      <c r="AB281" s="3">
        <f t="shared" si="103"/>
        <v>0.23744723637971929</v>
      </c>
      <c r="AC281" s="3">
        <f t="shared" si="101"/>
        <v>0.15985234181137339</v>
      </c>
      <c r="AD281" s="48"/>
      <c r="AE281" s="46">
        <f t="shared" si="96"/>
        <v>42.091655917088602</v>
      </c>
      <c r="AF281" s="46">
        <f t="shared" si="97"/>
        <v>-248.54299571892548</v>
      </c>
      <c r="AG281" s="47">
        <f t="shared" si="98"/>
        <v>33240.827425698626</v>
      </c>
      <c r="AH281" s="45" t="str">
        <f t="shared" si="102"/>
        <v>-248.54300,42.09166,33241</v>
      </c>
      <c r="AI281" s="44">
        <f t="shared" si="104"/>
        <v>1021.0445996977355</v>
      </c>
    </row>
    <row r="282" spans="1:35" ht="18" customHeight="1" x14ac:dyDescent="0.25">
      <c r="A282" s="36">
        <f t="shared" si="99"/>
        <v>0.74273148148148149</v>
      </c>
      <c r="B282" s="42">
        <f t="shared" si="84"/>
        <v>42.091695677629247</v>
      </c>
      <c r="C282" s="43">
        <f t="shared" si="85"/>
        <v>111.457240327995</v>
      </c>
      <c r="D282" s="18">
        <f t="shared" si="86"/>
        <v>33.083670530695599</v>
      </c>
      <c r="E282" s="21" t="str">
        <f t="shared" si="87"/>
        <v>Umbra</v>
      </c>
      <c r="F282" s="23">
        <f>IF($E282&lt;&gt;"Umbra",fracil2($S$2,$S$3,$S$4,$A282,$Q$2,$O$3,$Q$4,$U282,$V282,$W282),0)</f>
        <v>0</v>
      </c>
      <c r="G282" s="19">
        <f t="shared" si="88"/>
        <v>69.296162654988649</v>
      </c>
      <c r="H282" s="19">
        <f t="shared" si="89"/>
        <v>-3.0508255481527562</v>
      </c>
      <c r="I282" s="19">
        <f t="shared" si="90"/>
        <v>-1.8428075987578609</v>
      </c>
      <c r="J282" s="28">
        <f t="shared" si="91"/>
        <v>1.1917642052567826E-2</v>
      </c>
      <c r="K282" s="24">
        <f t="shared" si="92"/>
        <v>1050.7406105577047</v>
      </c>
      <c r="L282" s="32">
        <f t="shared" si="93"/>
        <v>0.55088063209570803</v>
      </c>
      <c r="M282" s="35">
        <f t="shared" si="94"/>
        <v>14.00553207904578</v>
      </c>
      <c r="O282" s="29">
        <f t="shared" si="95"/>
        <v>1046.3380122886117</v>
      </c>
      <c r="T282" s="48">
        <v>0.74273148148148149</v>
      </c>
      <c r="U282" s="29">
        <v>-1206.7580940792486</v>
      </c>
      <c r="V282" s="29">
        <v>4609.377021048128</v>
      </c>
      <c r="W282" s="29">
        <v>4275.3426126949716</v>
      </c>
      <c r="X282" s="4">
        <v>-0.32431346049454612</v>
      </c>
      <c r="Y282" s="4">
        <v>-0.20773809022582077</v>
      </c>
      <c r="Z282" s="4">
        <v>-0.10157174684857356</v>
      </c>
      <c r="AA282" s="3">
        <f t="shared" si="100"/>
        <v>0.39831037464079377</v>
      </c>
      <c r="AB282" s="3">
        <f t="shared" si="103"/>
        <v>0.23107418977197447</v>
      </c>
      <c r="AC282" s="3">
        <f t="shared" si="101"/>
        <v>0.15758869421995134</v>
      </c>
      <c r="AD282" s="48"/>
      <c r="AE282" s="46">
        <f t="shared" si="96"/>
        <v>42.091695677629247</v>
      </c>
      <c r="AF282" s="46">
        <f t="shared" si="97"/>
        <v>-248.54275967200499</v>
      </c>
      <c r="AG282" s="47">
        <f t="shared" si="98"/>
        <v>33083.670530695599</v>
      </c>
      <c r="AH282" s="45" t="str">
        <f t="shared" si="102"/>
        <v>-248.54276,42.09170,33084</v>
      </c>
      <c r="AI282" s="44">
        <f t="shared" si="104"/>
        <v>1021.0645724690182</v>
      </c>
    </row>
    <row r="283" spans="1:35" ht="18" customHeight="1" x14ac:dyDescent="0.25">
      <c r="A283" s="36">
        <f t="shared" si="99"/>
        <v>0.74274305555555553</v>
      </c>
      <c r="B283" s="42">
        <f t="shared" si="84"/>
        <v>42.091732582956908</v>
      </c>
      <c r="C283" s="43">
        <f t="shared" si="85"/>
        <v>111.45746068241785</v>
      </c>
      <c r="D283" s="18">
        <f t="shared" si="86"/>
        <v>32.928387690054478</v>
      </c>
      <c r="E283" s="21" t="str">
        <f t="shared" si="87"/>
        <v>Umbra</v>
      </c>
      <c r="F283" s="23">
        <f>IF($E283&lt;&gt;"Umbra",fracil2($S$2,$S$3,$S$4,$A283,$Q$2,$O$3,$Q$4,$U283,$V283,$W283),0)</f>
        <v>0</v>
      </c>
      <c r="G283" s="19">
        <f t="shared" si="88"/>
        <v>69.296195260809554</v>
      </c>
      <c r="H283" s="19">
        <f t="shared" si="89"/>
        <v>-3.0593543104824668</v>
      </c>
      <c r="I283" s="19">
        <f t="shared" si="90"/>
        <v>-1.8513363610875715</v>
      </c>
      <c r="J283" s="28">
        <f t="shared" si="91"/>
        <v>1.1801386527601645E-2</v>
      </c>
      <c r="K283" s="24">
        <f t="shared" si="92"/>
        <v>1050.7419083189775</v>
      </c>
      <c r="L283" s="32">
        <f t="shared" si="93"/>
        <v>0.55091041446378264</v>
      </c>
      <c r="M283" s="35">
        <f t="shared" si="94"/>
        <v>13.999832539021554</v>
      </c>
      <c r="O283" s="29">
        <f t="shared" si="95"/>
        <v>1046.356652734964</v>
      </c>
      <c r="T283" s="48">
        <v>0.74274305555555553</v>
      </c>
      <c r="U283" s="29">
        <v>-1207.0820460823497</v>
      </c>
      <c r="V283" s="29">
        <v>4609.1702243124191</v>
      </c>
      <c r="W283" s="29">
        <v>4275.2415813334856</v>
      </c>
      <c r="X283" s="4">
        <v>-0.32341101285477486</v>
      </c>
      <c r="Y283" s="4">
        <v>-0.20574361159864837</v>
      </c>
      <c r="Z283" s="4">
        <v>-0.10043304561494089</v>
      </c>
      <c r="AA283" s="3">
        <f t="shared" si="100"/>
        <v>0.39624728844611617</v>
      </c>
      <c r="AB283" s="3">
        <f t="shared" si="103"/>
        <v>0.224935154333368</v>
      </c>
      <c r="AC283" s="3">
        <f t="shared" si="101"/>
        <v>0.15538298009656504</v>
      </c>
      <c r="AD283" s="48"/>
      <c r="AE283" s="46">
        <f t="shared" si="96"/>
        <v>42.091732582956908</v>
      </c>
      <c r="AF283" s="46">
        <f t="shared" si="97"/>
        <v>-248.54253931758217</v>
      </c>
      <c r="AG283" s="47">
        <f t="shared" si="98"/>
        <v>32928.387690054478</v>
      </c>
      <c r="AH283" s="45" t="str">
        <f t="shared" si="102"/>
        <v>-248.54254,42.09173,32928</v>
      </c>
      <c r="AI283" s="44">
        <f t="shared" si="104"/>
        <v>1021.0832124533002</v>
      </c>
    </row>
    <row r="284" spans="1:35" ht="18" customHeight="1" x14ac:dyDescent="0.25">
      <c r="A284" s="36">
        <f t="shared" si="99"/>
        <v>0.74275462962962957</v>
      </c>
      <c r="B284" s="42">
        <f t="shared" si="84"/>
        <v>42.091766766228268</v>
      </c>
      <c r="C284" s="43">
        <f t="shared" si="85"/>
        <v>111.45766480301165</v>
      </c>
      <c r="D284" s="18">
        <f t="shared" si="86"/>
        <v>32.77514529860764</v>
      </c>
      <c r="E284" s="21" t="str">
        <f t="shared" si="87"/>
        <v>Umbra</v>
      </c>
      <c r="F284" s="23">
        <f>IF($E284&lt;&gt;"Umbra",fracil2($S$2,$S$3,$S$4,$A284,$Q$2,$O$3,$Q$4,$U284,$V284,$W284),0)</f>
        <v>0</v>
      </c>
      <c r="G284" s="19">
        <f t="shared" si="88"/>
        <v>69.296227143300783</v>
      </c>
      <c r="H284" s="19">
        <f t="shared" si="89"/>
        <v>-3.0677640606495493</v>
      </c>
      <c r="I284" s="19">
        <f t="shared" si="90"/>
        <v>-1.8597461112546541</v>
      </c>
      <c r="J284" s="28">
        <f t="shared" si="91"/>
        <v>1.1687911858328567E-2</v>
      </c>
      <c r="K284" s="24">
        <f t="shared" si="92"/>
        <v>1050.7420811302786</v>
      </c>
      <c r="L284" s="32">
        <f t="shared" si="93"/>
        <v>0.55093994289311943</v>
      </c>
      <c r="M284" s="35">
        <f t="shared" si="94"/>
        <v>13.994212520407435</v>
      </c>
      <c r="O284" s="29">
        <f t="shared" si="95"/>
        <v>1046.3739198239612</v>
      </c>
      <c r="T284" s="48">
        <v>0.74275462962962957</v>
      </c>
      <c r="U284" s="29">
        <v>-1207.4051029454115</v>
      </c>
      <c r="V284" s="29">
        <v>4608.9654090306276</v>
      </c>
      <c r="W284" s="29">
        <v>4275.1416920529127</v>
      </c>
      <c r="X284" s="4">
        <v>-0.32258205837375686</v>
      </c>
      <c r="Y284" s="4">
        <v>-0.20381354373527891</v>
      </c>
      <c r="Z284" s="4">
        <v>-9.9306703625246628E-2</v>
      </c>
      <c r="AA284" s="3">
        <f t="shared" si="100"/>
        <v>0.39428538697179089</v>
      </c>
      <c r="AB284" s="3">
        <f t="shared" si="103"/>
        <v>0.21889272962994494</v>
      </c>
      <c r="AC284" s="3">
        <f t="shared" si="101"/>
        <v>0.15323651798982033</v>
      </c>
      <c r="AD284" s="48"/>
      <c r="AE284" s="46">
        <f t="shared" si="96"/>
        <v>42.091766766228268</v>
      </c>
      <c r="AF284" s="46">
        <f t="shared" si="97"/>
        <v>-248.54233519698835</v>
      </c>
      <c r="AG284" s="47">
        <f t="shared" si="98"/>
        <v>32775.14529860764</v>
      </c>
      <c r="AH284" s="45" t="str">
        <f t="shared" si="102"/>
        <v>-248.54234,42.09177,32775</v>
      </c>
      <c r="AI284" s="44">
        <f t="shared" si="104"/>
        <v>1021.1004791980215</v>
      </c>
    </row>
    <row r="285" spans="1:35" ht="18" customHeight="1" x14ac:dyDescent="0.25">
      <c r="A285" s="36">
        <f t="shared" si="99"/>
        <v>0.7427662268518519</v>
      </c>
      <c r="B285" s="42">
        <f t="shared" si="84"/>
        <v>42.09179844709535</v>
      </c>
      <c r="C285" s="43">
        <f t="shared" si="85"/>
        <v>111.45785140269844</v>
      </c>
      <c r="D285" s="18">
        <f t="shared" si="86"/>
        <v>32.623693444253149</v>
      </c>
      <c r="E285" s="21" t="str">
        <f t="shared" si="87"/>
        <v>Umbra</v>
      </c>
      <c r="F285" s="23">
        <f>IF($E285&lt;&gt;"Umbra",fracil2($S$2,$S$3,$S$4,$A285,$Q$2,$O$3,$Q$4,$U285,$V285,$W285),0)</f>
        <v>0</v>
      </c>
      <c r="G285" s="19">
        <f t="shared" si="88"/>
        <v>69.296255731563051</v>
      </c>
      <c r="H285" s="19">
        <f t="shared" si="89"/>
        <v>-3.0760677762592068</v>
      </c>
      <c r="I285" s="19">
        <f t="shared" si="90"/>
        <v>-1.8680498268643115</v>
      </c>
      <c r="J285" s="28">
        <f t="shared" si="91"/>
        <v>1.1577048807952503E-2</v>
      </c>
      <c r="K285" s="24">
        <f t="shared" si="92"/>
        <v>1050.7410020879054</v>
      </c>
      <c r="L285" s="32">
        <f t="shared" si="93"/>
        <v>0.55096927327278311</v>
      </c>
      <c r="M285" s="35">
        <f t="shared" si="94"/>
        <v>13.988665309914737</v>
      </c>
      <c r="O285" s="29">
        <f t="shared" si="95"/>
        <v>1046.3897155673972</v>
      </c>
      <c r="T285" s="48">
        <v>0.7427662268518519</v>
      </c>
      <c r="U285" s="29">
        <v>-1207.7277826629299</v>
      </c>
      <c r="V285" s="29">
        <v>4608.7622310594634</v>
      </c>
      <c r="W285" s="29">
        <v>4275.042795549125</v>
      </c>
      <c r="X285" s="4">
        <v>-0.32182129864725423</v>
      </c>
      <c r="Y285" s="4">
        <v>-0.20194370967902614</v>
      </c>
      <c r="Z285" s="4">
        <v>-9.8192173697289414E-2</v>
      </c>
      <c r="AA285" s="3">
        <f t="shared" si="100"/>
        <v>0.39241803362910155</v>
      </c>
      <c r="AB285" s="3">
        <f t="shared" si="103"/>
        <v>0.21288476717291932</v>
      </c>
      <c r="AC285" s="3">
        <f t="shared" si="101"/>
        <v>0.15114479486685017</v>
      </c>
      <c r="AD285" s="48"/>
      <c r="AE285" s="46">
        <f t="shared" si="96"/>
        <v>42.09179844709535</v>
      </c>
      <c r="AF285" s="46">
        <f t="shared" si="97"/>
        <v>-248.54214859730155</v>
      </c>
      <c r="AG285" s="47">
        <f t="shared" si="98"/>
        <v>32623.693444253149</v>
      </c>
      <c r="AH285" s="45" t="str">
        <f t="shared" si="102"/>
        <v>-248.54215,42.09180,32624</v>
      </c>
      <c r="AI285" s="44">
        <f t="shared" si="104"/>
        <v>1021.1162744460515</v>
      </c>
    </row>
    <row r="286" spans="1:35" ht="18" customHeight="1" x14ac:dyDescent="0.25">
      <c r="A286" s="36">
        <f t="shared" si="99"/>
        <v>0.74277776620370373</v>
      </c>
      <c r="B286" s="42">
        <f t="shared" si="84"/>
        <v>42.091827623893565</v>
      </c>
      <c r="C286" s="43">
        <f t="shared" si="85"/>
        <v>111.45802590988656</v>
      </c>
      <c r="D286" s="18">
        <f t="shared" si="86"/>
        <v>32.474842451477343</v>
      </c>
      <c r="E286" s="21" t="str">
        <f t="shared" si="87"/>
        <v>Umbra</v>
      </c>
      <c r="F286" s="23">
        <f>IF($E286&lt;&gt;"Umbra",fracil2($S$2,$S$3,$S$4,$A286,$Q$2,$O$3,$Q$4,$U286,$V286,$W286),0)</f>
        <v>0</v>
      </c>
      <c r="G286" s="19">
        <f t="shared" si="88"/>
        <v>69.296286421041202</v>
      </c>
      <c r="H286" s="19">
        <f t="shared" si="89"/>
        <v>-3.0842242283418764</v>
      </c>
      <c r="I286" s="19">
        <f t="shared" si="90"/>
        <v>-1.8762062789469811</v>
      </c>
      <c r="J286" s="28">
        <f t="shared" si="91"/>
        <v>1.146938677026026E-2</v>
      </c>
      <c r="K286" s="24">
        <f t="shared" si="92"/>
        <v>1050.7391978334783</v>
      </c>
      <c r="L286" s="32">
        <f t="shared" si="93"/>
        <v>0.55099822597223536</v>
      </c>
      <c r="M286" s="35">
        <f t="shared" si="94"/>
        <v>13.983214334378133</v>
      </c>
      <c r="O286" s="29">
        <f t="shared" si="95"/>
        <v>1046.4044763865411</v>
      </c>
      <c r="T286" s="48">
        <v>0.74277776620370373</v>
      </c>
      <c r="U286" s="29">
        <v>-1208.0483223678173</v>
      </c>
      <c r="V286" s="29">
        <v>4608.5617744324773</v>
      </c>
      <c r="W286" s="29">
        <v>4274.945434878794</v>
      </c>
      <c r="X286" s="4">
        <v>-0.32112864601390223</v>
      </c>
      <c r="Y286" s="4">
        <v>-0.20014279553369976</v>
      </c>
      <c r="Z286" s="4">
        <v>-9.7096591946385896E-2</v>
      </c>
      <c r="AA286" s="3">
        <f t="shared" si="100"/>
        <v>0.39065137150964857</v>
      </c>
      <c r="AB286" s="3">
        <f t="shared" si="103"/>
        <v>0.20732824579386183</v>
      </c>
      <c r="AC286" s="3">
        <f t="shared" si="101"/>
        <v>0.14911783327093411</v>
      </c>
      <c r="AD286" s="48"/>
      <c r="AE286" s="46">
        <f t="shared" si="96"/>
        <v>42.091827623893565</v>
      </c>
      <c r="AF286" s="46">
        <f t="shared" si="97"/>
        <v>-248.54197409011346</v>
      </c>
      <c r="AG286" s="47">
        <f t="shared" si="98"/>
        <v>32474.842451477343</v>
      </c>
      <c r="AH286" s="45" t="str">
        <f t="shared" si="102"/>
        <v>-248.54197,42.09183,32475</v>
      </c>
      <c r="AI286" s="44">
        <f t="shared" si="104"/>
        <v>1021.1310346715977</v>
      </c>
    </row>
    <row r="287" spans="1:35" ht="18" customHeight="1" x14ac:dyDescent="0.25">
      <c r="A287" s="36">
        <f t="shared" si="99"/>
        <v>0.74278936342592594</v>
      </c>
      <c r="B287" s="42">
        <f t="shared" si="84"/>
        <v>42.091854725294695</v>
      </c>
      <c r="C287" s="43">
        <f t="shared" si="85"/>
        <v>111.45818792389264</v>
      </c>
      <c r="D287" s="18">
        <f t="shared" si="86"/>
        <v>32.32716429991342</v>
      </c>
      <c r="E287" s="21" t="str">
        <f t="shared" si="87"/>
        <v>Umbra</v>
      </c>
      <c r="F287" s="23">
        <f>IF($E287&lt;&gt;"Umbra",fracil2($S$2,$S$3,$S$4,$A287,$Q$2,$O$3,$Q$4,$U287,$V287,$W287),0)</f>
        <v>0</v>
      </c>
      <c r="G287" s="19">
        <f t="shared" si="88"/>
        <v>69.296316509745026</v>
      </c>
      <c r="H287" s="19">
        <f t="shared" si="89"/>
        <v>-3.0923106964439668</v>
      </c>
      <c r="I287" s="19">
        <f t="shared" si="90"/>
        <v>-1.8842927470490716</v>
      </c>
      <c r="J287" s="28">
        <f t="shared" si="91"/>
        <v>1.1363889498747467E-2</v>
      </c>
      <c r="K287" s="24">
        <f t="shared" si="92"/>
        <v>1050.7364868865975</v>
      </c>
      <c r="L287" s="32">
        <f t="shared" si="93"/>
        <v>0.55102708746206086</v>
      </c>
      <c r="M287" s="35">
        <f t="shared" si="94"/>
        <v>13.97781018425467</v>
      </c>
      <c r="O287" s="29">
        <f t="shared" si="95"/>
        <v>1046.4181807903865</v>
      </c>
      <c r="T287" s="48">
        <v>0.74278936342592594</v>
      </c>
      <c r="U287" s="29">
        <v>-1208.3697741963381</v>
      </c>
      <c r="V287" s="29">
        <v>4608.3621107926701</v>
      </c>
      <c r="W287" s="29">
        <v>4274.8486883404112</v>
      </c>
      <c r="X287" s="4">
        <v>-0.32049375308360134</v>
      </c>
      <c r="Y287" s="4">
        <v>-0.19839228223262251</v>
      </c>
      <c r="Z287" s="4">
        <v>-9.6010437426581927E-2</v>
      </c>
      <c r="AA287" s="3">
        <f t="shared" si="100"/>
        <v>0.38896496951515386</v>
      </c>
      <c r="AB287" s="3">
        <f t="shared" si="103"/>
        <v>0.20179286901891555</v>
      </c>
      <c r="AC287" s="3">
        <f t="shared" si="101"/>
        <v>0.14713509483558868</v>
      </c>
      <c r="AD287" s="48"/>
      <c r="AE287" s="46">
        <f t="shared" si="96"/>
        <v>42.091854725294695</v>
      </c>
      <c r="AF287" s="46">
        <f t="shared" si="97"/>
        <v>-248.54181207610736</v>
      </c>
      <c r="AG287" s="47">
        <f t="shared" si="98"/>
        <v>32327.16429991342</v>
      </c>
      <c r="AH287" s="45" t="str">
        <f t="shared" si="102"/>
        <v>-248.54181,42.09185,32327</v>
      </c>
      <c r="AI287" s="44">
        <f t="shared" si="104"/>
        <v>1021.1447389361765</v>
      </c>
    </row>
    <row r="288" spans="1:35" ht="18" customHeight="1" x14ac:dyDescent="0.25">
      <c r="A288" s="36">
        <f t="shared" si="99"/>
        <v>0.74280097222222219</v>
      </c>
      <c r="B288" s="42">
        <f t="shared" si="84"/>
        <v>42.091879767534614</v>
      </c>
      <c r="C288" s="43">
        <f t="shared" si="85"/>
        <v>111.45833639309195</v>
      </c>
      <c r="D288" s="18">
        <f t="shared" si="86"/>
        <v>32.181262746270477</v>
      </c>
      <c r="E288" s="21" t="str">
        <f t="shared" si="87"/>
        <v>Umbra</v>
      </c>
      <c r="F288" s="23">
        <f>IF($E288&lt;&gt;"Umbra",fracil2($S$2,$S$3,$S$4,$A288,$Q$2,$O$3,$Q$4,$U288,$V288,$W288),0)</f>
        <v>0</v>
      </c>
      <c r="G288" s="19">
        <f t="shared" si="88"/>
        <v>69.296344723980681</v>
      </c>
      <c r="H288" s="19">
        <f t="shared" si="89"/>
        <v>-3.1002939727818197</v>
      </c>
      <c r="I288" s="19">
        <f t="shared" si="90"/>
        <v>-1.8922760233869245</v>
      </c>
      <c r="J288" s="28">
        <f t="shared" si="91"/>
        <v>1.1260974838122767E-2</v>
      </c>
      <c r="K288" s="24">
        <f t="shared" si="92"/>
        <v>1050.7328515525805</v>
      </c>
      <c r="L288" s="32">
        <f t="shared" si="93"/>
        <v>0.55105574276616598</v>
      </c>
      <c r="M288" s="35">
        <f t="shared" si="94"/>
        <v>13.972475914436991</v>
      </c>
      <c r="O288" s="29">
        <f t="shared" si="95"/>
        <v>1046.4307446323892</v>
      </c>
      <c r="T288" s="48">
        <v>0.74280097222222219</v>
      </c>
      <c r="U288" s="29">
        <v>-1208.6908229340761</v>
      </c>
      <c r="V288" s="29">
        <v>4608.1640468675268</v>
      </c>
      <c r="W288" s="29">
        <v>4274.7529620034311</v>
      </c>
      <c r="X288" s="4">
        <v>-0.31991607438792008</v>
      </c>
      <c r="Y288" s="4">
        <v>-0.1966981298347294</v>
      </c>
      <c r="Z288" s="4">
        <v>-9.4938875638898093E-2</v>
      </c>
      <c r="AA288" s="3">
        <f t="shared" si="100"/>
        <v>0.38736267120082107</v>
      </c>
      <c r="AB288" s="3">
        <f t="shared" si="103"/>
        <v>0.1963842239007281</v>
      </c>
      <c r="AC288" s="3">
        <f t="shared" si="101"/>
        <v>0.14520357390492755</v>
      </c>
      <c r="AD288" s="48"/>
      <c r="AE288" s="46">
        <f t="shared" si="96"/>
        <v>42.091879767534614</v>
      </c>
      <c r="AF288" s="46">
        <f t="shared" si="97"/>
        <v>-248.54166360690806</v>
      </c>
      <c r="AG288" s="47">
        <f t="shared" si="98"/>
        <v>32181.262746270477</v>
      </c>
      <c r="AH288" s="45" t="str">
        <f t="shared" si="102"/>
        <v>-248.54166,42.09188,32181</v>
      </c>
      <c r="AI288" s="44">
        <f t="shared" si="104"/>
        <v>1021.157302000752</v>
      </c>
    </row>
    <row r="289" spans="1:35" ht="18" customHeight="1" x14ac:dyDescent="0.25">
      <c r="A289" s="36">
        <f t="shared" si="99"/>
        <v>0.7428125694444444</v>
      </c>
      <c r="B289" s="42">
        <f t="shared" si="84"/>
        <v>42.09190287735408</v>
      </c>
      <c r="C289" s="43">
        <f t="shared" si="85"/>
        <v>111.45847826283685</v>
      </c>
      <c r="D289" s="18">
        <f t="shared" si="86"/>
        <v>32.037173749453359</v>
      </c>
      <c r="E289" s="21" t="str">
        <f t="shared" si="87"/>
        <v>Umbra</v>
      </c>
      <c r="F289" s="23">
        <f>IF($E289&lt;&gt;"Umbra",fracil2($S$2,$S$3,$S$4,$A289,$Q$2,$O$3,$Q$4,$U289,$V289,$W289),0)</f>
        <v>0</v>
      </c>
      <c r="G289" s="19">
        <f t="shared" si="88"/>
        <v>69.296377377283633</v>
      </c>
      <c r="H289" s="19">
        <f t="shared" si="89"/>
        <v>-3.1081755320789988</v>
      </c>
      <c r="I289" s="19">
        <f t="shared" si="90"/>
        <v>-1.9001575826841035</v>
      </c>
      <c r="J289" s="28">
        <f t="shared" si="91"/>
        <v>1.1160637693727051E-2</v>
      </c>
      <c r="K289" s="24">
        <f t="shared" si="92"/>
        <v>1050.728857612258</v>
      </c>
      <c r="L289" s="32">
        <f t="shared" si="93"/>
        <v>0.55108415984020243</v>
      </c>
      <c r="M289" s="35">
        <f t="shared" si="94"/>
        <v>13.967205848256919</v>
      </c>
      <c r="O289" s="29">
        <f t="shared" si="95"/>
        <v>1046.442729512431</v>
      </c>
      <c r="T289" s="48">
        <v>0.7428125694444444</v>
      </c>
      <c r="U289" s="29">
        <v>-1209.0113599001947</v>
      </c>
      <c r="V289" s="29">
        <v>4607.9676291268452</v>
      </c>
      <c r="W289" s="29">
        <v>4274.6582904847555</v>
      </c>
      <c r="X289" s="4">
        <v>-0.31939237028867679</v>
      </c>
      <c r="Y289" s="4">
        <v>-0.19505928977969109</v>
      </c>
      <c r="Z289" s="4">
        <v>-9.3882810159794217E-2</v>
      </c>
      <c r="AA289" s="3">
        <f t="shared" si="100"/>
        <v>0.38584141142634842</v>
      </c>
      <c r="AB289" s="3">
        <f t="shared" si="103"/>
        <v>0.19144793888060294</v>
      </c>
      <c r="AC289" s="3">
        <f t="shared" si="101"/>
        <v>0.14332248073928822</v>
      </c>
      <c r="AD289" s="48"/>
      <c r="AE289" s="46">
        <f t="shared" si="96"/>
        <v>42.09190287735408</v>
      </c>
      <c r="AF289" s="46">
        <f t="shared" si="97"/>
        <v>-248.54152173716315</v>
      </c>
      <c r="AG289" s="47">
        <f t="shared" si="98"/>
        <v>32037.173749453359</v>
      </c>
      <c r="AH289" s="45" t="str">
        <f t="shared" si="102"/>
        <v>-248.54152,42.09190,32037</v>
      </c>
      <c r="AI289" s="44">
        <f t="shared" si="104"/>
        <v>1021.1692871826326</v>
      </c>
    </row>
    <row r="290" spans="1:35" ht="18" customHeight="1" x14ac:dyDescent="0.25">
      <c r="A290" s="36">
        <f t="shared" si="99"/>
        <v>0.74282432870370363</v>
      </c>
      <c r="B290" s="42">
        <f t="shared" si="84"/>
        <v>42.091924439559058</v>
      </c>
      <c r="C290" s="43">
        <f t="shared" si="85"/>
        <v>111.4586047562196</v>
      </c>
      <c r="D290" s="18">
        <f t="shared" si="86"/>
        <v>31.893115942948498</v>
      </c>
      <c r="E290" s="21" t="str">
        <f t="shared" si="87"/>
        <v>Umbra</v>
      </c>
      <c r="F290" s="23">
        <f>IF($E290&lt;&gt;"Umbra",fracil2($S$2,$S$3,$S$4,$A290,$Q$2,$O$3,$Q$4,$U290,$V290,$W290),0)</f>
        <v>0</v>
      </c>
      <c r="G290" s="19">
        <f t="shared" si="88"/>
        <v>69.296403561335651</v>
      </c>
      <c r="H290" s="19">
        <f t="shared" si="89"/>
        <v>-3.116047718136131</v>
      </c>
      <c r="I290" s="19">
        <f t="shared" si="90"/>
        <v>-1.9080297687412358</v>
      </c>
      <c r="J290" s="28">
        <f t="shared" si="91"/>
        <v>1.1061637039791608E-2</v>
      </c>
      <c r="K290" s="24">
        <f t="shared" si="92"/>
        <v>1050.7236096928007</v>
      </c>
      <c r="L290" s="32">
        <f t="shared" si="93"/>
        <v>0.55111273097024305</v>
      </c>
      <c r="M290" s="35">
        <f t="shared" si="94"/>
        <v>13.961946651562288</v>
      </c>
      <c r="O290" s="29">
        <f t="shared" si="95"/>
        <v>1046.4534393664235</v>
      </c>
      <c r="T290" s="48">
        <v>0.74282432870370363</v>
      </c>
      <c r="U290" s="29">
        <v>-1209.335376858669</v>
      </c>
      <c r="V290" s="29">
        <v>4607.7704136731127</v>
      </c>
      <c r="W290" s="29">
        <v>4274.5635115845471</v>
      </c>
      <c r="X290" s="4">
        <v>-0.3189136962987979</v>
      </c>
      <c r="Y290" s="4">
        <v>-0.19345462511258091</v>
      </c>
      <c r="Z290" s="4">
        <v>-9.2829804922135689E-2</v>
      </c>
      <c r="AA290" s="3">
        <f t="shared" si="100"/>
        <v>0.38438003375083474</v>
      </c>
      <c r="AB290" s="3">
        <f t="shared" si="103"/>
        <v>0.18615889096755345</v>
      </c>
      <c r="AC290" s="3">
        <f t="shared" si="101"/>
        <v>0.1414677990691085</v>
      </c>
      <c r="AD290" s="48"/>
      <c r="AE290" s="46">
        <f t="shared" si="96"/>
        <v>42.091924439559058</v>
      </c>
      <c r="AF290" s="46">
        <f t="shared" si="97"/>
        <v>-248.54139524378041</v>
      </c>
      <c r="AG290" s="47">
        <f t="shared" si="98"/>
        <v>31893.115942948498</v>
      </c>
      <c r="AH290" s="45" t="str">
        <f t="shared" si="102"/>
        <v>-248.54140,42.09192,31893</v>
      </c>
      <c r="AI290" s="44">
        <f t="shared" si="104"/>
        <v>1021.1799967931587</v>
      </c>
    </row>
    <row r="291" spans="1:35" ht="18" customHeight="1" x14ac:dyDescent="0.25">
      <c r="A291" s="36">
        <f t="shared" si="99"/>
        <v>0.74283570601851856</v>
      </c>
      <c r="B291" s="42">
        <f t="shared" si="84"/>
        <v>42.091943685104873</v>
      </c>
      <c r="C291" s="43">
        <f t="shared" si="85"/>
        <v>111.45872184707011</v>
      </c>
      <c r="D291" s="18">
        <f t="shared" si="86"/>
        <v>31.755306561777616</v>
      </c>
      <c r="E291" s="21" t="str">
        <f t="shared" si="87"/>
        <v>Umbra</v>
      </c>
      <c r="F291" s="23">
        <f>IF($E291&lt;&gt;"Umbra",fracil2($S$2,$S$3,$S$4,$A291,$Q$2,$O$3,$Q$4,$U291,$V291,$W291),0)</f>
        <v>0</v>
      </c>
      <c r="G291" s="19">
        <f t="shared" si="88"/>
        <v>69.296432828801997</v>
      </c>
      <c r="H291" s="19">
        <f t="shared" si="89"/>
        <v>-3.1235763872315614</v>
      </c>
      <c r="I291" s="19">
        <f t="shared" si="90"/>
        <v>-1.9155584378366661</v>
      </c>
      <c r="J291" s="28">
        <f t="shared" si="91"/>
        <v>1.0968170136673379E-2</v>
      </c>
      <c r="K291" s="24">
        <f t="shared" si="92"/>
        <v>1050.7182578237516</v>
      </c>
      <c r="L291" s="32">
        <f t="shared" si="93"/>
        <v>0.5511401782067481</v>
      </c>
      <c r="M291" s="35">
        <f t="shared" si="94"/>
        <v>13.956913626915265</v>
      </c>
      <c r="O291" s="29">
        <f t="shared" si="95"/>
        <v>1046.463335272156</v>
      </c>
      <c r="T291" s="48">
        <v>0.74283570601851856</v>
      </c>
      <c r="U291" s="29">
        <v>-1209.6487484237537</v>
      </c>
      <c r="V291" s="29">
        <v>4607.5809375459612</v>
      </c>
      <c r="W291" s="29">
        <v>4274.4727291577374</v>
      </c>
      <c r="X291" s="4">
        <v>-0.31849634367919299</v>
      </c>
      <c r="Y291" s="4">
        <v>-0.19195097294937635</v>
      </c>
      <c r="Z291" s="4">
        <v>-9.1825716842504179E-2</v>
      </c>
      <c r="AA291" s="3">
        <f t="shared" si="100"/>
        <v>0.38303662909291925</v>
      </c>
      <c r="AB291" s="3">
        <f t="shared" si="103"/>
        <v>0.18156089202704054</v>
      </c>
      <c r="AC291" s="3">
        <f t="shared" si="101"/>
        <v>0.13971767952569616</v>
      </c>
      <c r="AD291" s="48"/>
      <c r="AE291" s="46">
        <f t="shared" si="96"/>
        <v>42.091943685104873</v>
      </c>
      <c r="AF291" s="46">
        <f t="shared" si="97"/>
        <v>-248.54127815292989</v>
      </c>
      <c r="AG291" s="47">
        <f t="shared" si="98"/>
        <v>31755.306561777616</v>
      </c>
      <c r="AH291" s="45" t="str">
        <f t="shared" si="102"/>
        <v>-248.54128,42.09194,31755</v>
      </c>
      <c r="AI291" s="44">
        <f t="shared" si="104"/>
        <v>1021.1898928588191</v>
      </c>
    </row>
    <row r="292" spans="1:35" ht="18" customHeight="1" x14ac:dyDescent="0.25">
      <c r="A292" s="36">
        <f t="shared" si="99"/>
        <v>0.74284725694444453</v>
      </c>
      <c r="B292" s="42">
        <f t="shared" si="84"/>
        <v>42.091961694027908</v>
      </c>
      <c r="C292" s="43">
        <f t="shared" si="85"/>
        <v>111.4588322653028</v>
      </c>
      <c r="D292" s="18">
        <f t="shared" si="86"/>
        <v>31.617061693679716</v>
      </c>
      <c r="E292" s="21" t="str">
        <f t="shared" si="87"/>
        <v>Umbra</v>
      </c>
      <c r="F292" s="23">
        <f>IF($E292&lt;&gt;"Umbra",fracil2($S$2,$S$3,$S$4,$A292,$Q$2,$O$3,$Q$4,$U292,$V292,$W292),0)</f>
        <v>0</v>
      </c>
      <c r="G292" s="19">
        <f t="shared" si="88"/>
        <v>69.296462725320552</v>
      </c>
      <c r="H292" s="19">
        <f t="shared" si="89"/>
        <v>-3.1311252856110658</v>
      </c>
      <c r="I292" s="19">
        <f t="shared" si="90"/>
        <v>-1.9231073362161706</v>
      </c>
      <c r="J292" s="28">
        <f t="shared" si="91"/>
        <v>1.0875639627580484E-2</v>
      </c>
      <c r="K292" s="24">
        <f t="shared" si="92"/>
        <v>1050.7123074421659</v>
      </c>
      <c r="L292" s="32">
        <f t="shared" si="93"/>
        <v>0.55116784094096649</v>
      </c>
      <c r="M292" s="35">
        <f t="shared" si="94"/>
        <v>13.951866496414448</v>
      </c>
      <c r="O292" s="29">
        <f t="shared" si="95"/>
        <v>1046.4726637414881</v>
      </c>
      <c r="T292" s="48">
        <v>0.74284725694444453</v>
      </c>
      <c r="U292" s="29">
        <v>-1209.9665431304393</v>
      </c>
      <c r="V292" s="29">
        <v>4607.3900346821692</v>
      </c>
      <c r="W292" s="29">
        <v>4274.3815523094863</v>
      </c>
      <c r="X292" s="4">
        <v>-0.31811607189859459</v>
      </c>
      <c r="Y292" s="4">
        <v>-0.19047315366948545</v>
      </c>
      <c r="Z292" s="4">
        <v>-9.0822192558255008E-2</v>
      </c>
      <c r="AA292" s="3">
        <f t="shared" si="100"/>
        <v>0.38174144146277855</v>
      </c>
      <c r="AB292" s="3">
        <f t="shared" si="103"/>
        <v>0.17699794597985835</v>
      </c>
      <c r="AC292" s="3">
        <f t="shared" si="101"/>
        <v>0.13798550895112704</v>
      </c>
      <c r="AD292" s="48"/>
      <c r="AE292" s="46">
        <f t="shared" si="96"/>
        <v>42.091961694027908</v>
      </c>
      <c r="AF292" s="46">
        <f t="shared" si="97"/>
        <v>-248.54116773469718</v>
      </c>
      <c r="AG292" s="47">
        <f t="shared" si="98"/>
        <v>31617.061693679716</v>
      </c>
      <c r="AH292" s="45" t="str">
        <f t="shared" si="102"/>
        <v>-248.54117,42.09196,31617</v>
      </c>
      <c r="AI292" s="44">
        <f t="shared" si="104"/>
        <v>1021.1992216709339</v>
      </c>
    </row>
    <row r="293" spans="1:35" ht="18" customHeight="1" x14ac:dyDescent="0.25">
      <c r="A293" s="36">
        <f t="shared" si="99"/>
        <v>0.74285887731481492</v>
      </c>
      <c r="B293" s="42">
        <f t="shared" si="84"/>
        <v>42.091978343918939</v>
      </c>
      <c r="C293" s="43">
        <f t="shared" si="85"/>
        <v>111.45892965442336</v>
      </c>
      <c r="D293" s="18">
        <f t="shared" si="86"/>
        <v>31.479825843905928</v>
      </c>
      <c r="E293" s="21" t="str">
        <f t="shared" si="87"/>
        <v>Umbra</v>
      </c>
      <c r="F293" s="23">
        <f>IF($E293&lt;&gt;"Umbra",fracil2($S$2,$S$3,$S$4,$A293,$Q$2,$O$3,$Q$4,$U293,$V293,$W293),0)</f>
        <v>0</v>
      </c>
      <c r="G293" s="19">
        <f t="shared" si="88"/>
        <v>69.29648725042226</v>
      </c>
      <c r="H293" s="19">
        <f t="shared" si="89"/>
        <v>-3.1386130380419104</v>
      </c>
      <c r="I293" s="19">
        <f t="shared" si="90"/>
        <v>-1.9305950886470151</v>
      </c>
      <c r="J293" s="28">
        <f t="shared" si="91"/>
        <v>1.0785017639500299E-2</v>
      </c>
      <c r="K293" s="24">
        <f t="shared" si="92"/>
        <v>1050.7054032676426</v>
      </c>
      <c r="L293" s="32">
        <f t="shared" si="93"/>
        <v>0.55119545219263932</v>
      </c>
      <c r="M293" s="35">
        <f t="shared" si="94"/>
        <v>13.946863896064352</v>
      </c>
      <c r="O293" s="29">
        <f t="shared" si="95"/>
        <v>1046.4809106305875</v>
      </c>
      <c r="T293" s="48">
        <v>0.74285887731481492</v>
      </c>
      <c r="U293" s="29">
        <v>-1210.2855002504059</v>
      </c>
      <c r="V293" s="29">
        <v>4607.1996783377408</v>
      </c>
      <c r="W293" s="29">
        <v>4274.2909391913954</v>
      </c>
      <c r="X293" s="4">
        <v>-0.31777518493501844</v>
      </c>
      <c r="Y293" s="4">
        <v>-0.18903612001458159</v>
      </c>
      <c r="Z293" s="4">
        <v>-8.9830216702151189E-2</v>
      </c>
      <c r="AA293" s="3">
        <f t="shared" si="100"/>
        <v>0.38050649227497801</v>
      </c>
      <c r="AB293" s="3">
        <f t="shared" si="103"/>
        <v>0.17231331171269199</v>
      </c>
      <c r="AC293" s="3">
        <f t="shared" si="101"/>
        <v>0.13628904579913076</v>
      </c>
      <c r="AD293" s="48"/>
      <c r="AE293" s="46">
        <f t="shared" si="96"/>
        <v>42.091978343918939</v>
      </c>
      <c r="AF293" s="46">
        <f t="shared" si="97"/>
        <v>-248.54107034557666</v>
      </c>
      <c r="AG293" s="47">
        <f t="shared" si="98"/>
        <v>31479.825843905928</v>
      </c>
      <c r="AH293" s="45" t="str">
        <f t="shared" si="102"/>
        <v>-248.54107,42.09198,31480</v>
      </c>
      <c r="AI293" s="44">
        <f t="shared" si="104"/>
        <v>1021.2074684833906</v>
      </c>
    </row>
    <row r="294" spans="1:35" ht="18" customHeight="1" x14ac:dyDescent="0.25">
      <c r="A294" s="36">
        <f t="shared" si="99"/>
        <v>0.74287038194444444</v>
      </c>
      <c r="B294" s="42">
        <f t="shared" si="84"/>
        <v>42.09199352590506</v>
      </c>
      <c r="C294" s="43">
        <f t="shared" si="85"/>
        <v>111.45902491959872</v>
      </c>
      <c r="D294" s="18">
        <f t="shared" si="86"/>
        <v>31.345362263500647</v>
      </c>
      <c r="E294" s="21" t="str">
        <f t="shared" si="87"/>
        <v>Umbra</v>
      </c>
      <c r="F294" s="23">
        <f>IF($E294&lt;&gt;"Umbra",fracil2($S$2,$S$3,$S$4,$A294,$Q$2,$O$3,$Q$4,$U294,$V294,$W294),0)</f>
        <v>0</v>
      </c>
      <c r="G294" s="19">
        <f t="shared" si="88"/>
        <v>69.296517843132619</v>
      </c>
      <c r="H294" s="19">
        <f t="shared" si="89"/>
        <v>-3.1459493581896196</v>
      </c>
      <c r="I294" s="19">
        <f t="shared" si="90"/>
        <v>-1.9379314087947244</v>
      </c>
      <c r="J294" s="28">
        <f t="shared" si="91"/>
        <v>1.0697418723727764E-2</v>
      </c>
      <c r="K294" s="24">
        <f t="shared" si="92"/>
        <v>1050.69861490157</v>
      </c>
      <c r="L294" s="32">
        <f t="shared" si="93"/>
        <v>0.55122261153335927</v>
      </c>
      <c r="M294" s="35">
        <f t="shared" si="94"/>
        <v>13.941957415173732</v>
      </c>
      <c r="O294" s="29">
        <f t="shared" si="95"/>
        <v>1046.4889500264906</v>
      </c>
      <c r="T294" s="48">
        <v>0.74287038194444444</v>
      </c>
      <c r="U294" s="29">
        <v>-1210.6014561343413</v>
      </c>
      <c r="V294" s="29">
        <v>4607.0123236722739</v>
      </c>
      <c r="W294" s="29">
        <v>4274.2020627409747</v>
      </c>
      <c r="X294" s="4">
        <v>-0.31747517835167338</v>
      </c>
      <c r="Y294" s="4">
        <v>-0.18765677338070297</v>
      </c>
      <c r="Z294" s="4">
        <v>-8.8862831410502469E-2</v>
      </c>
      <c r="AA294" s="3">
        <f t="shared" si="100"/>
        <v>0.37934437688118522</v>
      </c>
      <c r="AB294" s="3">
        <f t="shared" si="103"/>
        <v>0.16826480474572761</v>
      </c>
      <c r="AC294" s="3">
        <f t="shared" si="101"/>
        <v>0.13464894115186313</v>
      </c>
      <c r="AD294" s="48"/>
      <c r="AE294" s="46">
        <f t="shared" si="96"/>
        <v>42.09199352590506</v>
      </c>
      <c r="AF294" s="46">
        <f t="shared" si="97"/>
        <v>-248.54097508040127</v>
      </c>
      <c r="AG294" s="47">
        <f t="shared" si="98"/>
        <v>31345.362263500647</v>
      </c>
      <c r="AH294" s="45" t="str">
        <f t="shared" si="102"/>
        <v>-248.54098,42.09199,31345</v>
      </c>
      <c r="AI294" s="44">
        <f t="shared" si="104"/>
        <v>1021.2155083317633</v>
      </c>
    </row>
    <row r="295" spans="1:35" ht="18" customHeight="1" x14ac:dyDescent="0.25">
      <c r="A295" s="36">
        <f t="shared" si="99"/>
        <v>0.74288196759259251</v>
      </c>
      <c r="B295" s="42">
        <f t="shared" si="84"/>
        <v>42.09200755447138</v>
      </c>
      <c r="C295" s="43">
        <f t="shared" si="85"/>
        <v>111.45910685755868</v>
      </c>
      <c r="D295" s="18">
        <f t="shared" si="86"/>
        <v>31.211752679189885</v>
      </c>
      <c r="E295" s="21" t="str">
        <f t="shared" si="87"/>
        <v>Umbra</v>
      </c>
      <c r="F295" s="23">
        <f>IF($E295&lt;&gt;"Umbra",fracil2($S$2,$S$3,$S$4,$A295,$Q$2,$O$3,$Q$4,$U295,$V295,$W295),0)</f>
        <v>0</v>
      </c>
      <c r="G295" s="19">
        <f t="shared" si="88"/>
        <v>69.296541567259624</v>
      </c>
      <c r="H295" s="19">
        <f t="shared" si="89"/>
        <v>-3.1532328475675087</v>
      </c>
      <c r="I295" s="19">
        <f t="shared" si="90"/>
        <v>-1.9452148981726134</v>
      </c>
      <c r="J295" s="28">
        <f t="shared" si="91"/>
        <v>1.0611557563752903E-2</v>
      </c>
      <c r="K295" s="24">
        <f t="shared" si="92"/>
        <v>1050.6908355813325</v>
      </c>
      <c r="L295" s="32">
        <f t="shared" si="93"/>
        <v>0.55124975166646062</v>
      </c>
      <c r="M295" s="35">
        <f t="shared" si="94"/>
        <v>13.93709105499053</v>
      </c>
      <c r="O295" s="29">
        <f t="shared" si="95"/>
        <v>1046.4958890180071</v>
      </c>
      <c r="T295" s="48">
        <v>0.74288196759259251</v>
      </c>
      <c r="U295" s="29">
        <v>-1210.918853924175</v>
      </c>
      <c r="V295" s="29">
        <v>4606.8253074511977</v>
      </c>
      <c r="W295" s="29">
        <v>4274.11366315339</v>
      </c>
      <c r="X295" s="4">
        <v>-0.31720905166456476</v>
      </c>
      <c r="Y295" s="4">
        <v>-0.18631394237948179</v>
      </c>
      <c r="Z295" s="4">
        <v>-8.7906499716223552E-2</v>
      </c>
      <c r="AA295" s="3">
        <f t="shared" si="100"/>
        <v>0.37823540325474003</v>
      </c>
      <c r="AB295" s="3">
        <f t="shared" si="103"/>
        <v>0.16383858098988585</v>
      </c>
      <c r="AC295" s="3">
        <f t="shared" si="101"/>
        <v>0.13304073342556177</v>
      </c>
      <c r="AD295" s="48"/>
      <c r="AE295" s="46">
        <f t="shared" si="96"/>
        <v>42.09200755447138</v>
      </c>
      <c r="AF295" s="46">
        <f t="shared" si="97"/>
        <v>-248.54089314244132</v>
      </c>
      <c r="AG295" s="47">
        <f t="shared" si="98"/>
        <v>31211.752679189885</v>
      </c>
      <c r="AH295" s="45" t="str">
        <f t="shared" si="102"/>
        <v>-248.54089,42.09201,31212</v>
      </c>
      <c r="AI295" s="44">
        <f t="shared" si="104"/>
        <v>1021.2224470565088</v>
      </c>
    </row>
    <row r="296" spans="1:35" ht="18" customHeight="1" x14ac:dyDescent="0.25">
      <c r="A296" s="36">
        <f t="shared" si="99"/>
        <v>0.74289362268518522</v>
      </c>
      <c r="B296" s="42">
        <f t="shared" si="84"/>
        <v>42.092020525829639</v>
      </c>
      <c r="C296" s="43">
        <f t="shared" si="85"/>
        <v>111.45918856927847</v>
      </c>
      <c r="D296" s="18">
        <f t="shared" si="86"/>
        <v>31.078724481369136</v>
      </c>
      <c r="E296" s="21" t="str">
        <f t="shared" si="87"/>
        <v>Umbra</v>
      </c>
      <c r="F296" s="23">
        <f>IF($E296&lt;&gt;"Umbra",fracil2($S$2,$S$3,$S$4,$A296,$Q$2,$O$3,$Q$4,$U296,$V296,$W296),0)</f>
        <v>0</v>
      </c>
      <c r="G296" s="19">
        <f t="shared" si="88"/>
        <v>69.29657123904471</v>
      </c>
      <c r="H296" s="19">
        <f t="shared" si="89"/>
        <v>-3.160484643673076</v>
      </c>
      <c r="I296" s="19">
        <f t="shared" si="90"/>
        <v>-1.9524666942781808</v>
      </c>
      <c r="J296" s="28">
        <f t="shared" si="91"/>
        <v>1.0527236166992701E-2</v>
      </c>
      <c r="K296" s="24">
        <f t="shared" si="92"/>
        <v>1050.6830924397918</v>
      </c>
      <c r="L296" s="32">
        <f t="shared" si="93"/>
        <v>0.55127688178764467</v>
      </c>
      <c r="M296" s="35">
        <f t="shared" si="94"/>
        <v>13.932241203490387</v>
      </c>
      <c r="O296" s="29">
        <f t="shared" si="95"/>
        <v>1046.5027833721088</v>
      </c>
      <c r="T296" s="48">
        <v>0.74289362268518522</v>
      </c>
      <c r="U296" s="29">
        <v>-1211.2383577544531</v>
      </c>
      <c r="V296" s="29">
        <v>4606.6382381274771</v>
      </c>
      <c r="W296" s="29">
        <v>4274.0255656676054</v>
      </c>
      <c r="X296" s="4">
        <v>-0.31697441840390944</v>
      </c>
      <c r="Y296" s="4">
        <v>-0.18500406311634007</v>
      </c>
      <c r="Z296" s="4">
        <v>-8.6959596007315634E-2</v>
      </c>
      <c r="AA296" s="3">
        <f t="shared" si="100"/>
        <v>0.37717536588410294</v>
      </c>
      <c r="AB296" s="3">
        <f t="shared" si="103"/>
        <v>0.16001883177859494</v>
      </c>
      <c r="AC296" s="3">
        <f t="shared" si="101"/>
        <v>0.13146060474847393</v>
      </c>
      <c r="AD296" s="48"/>
      <c r="AE296" s="46">
        <f t="shared" si="96"/>
        <v>42.092020525829639</v>
      </c>
      <c r="AF296" s="46">
        <f t="shared" si="97"/>
        <v>-248.54081143072153</v>
      </c>
      <c r="AG296" s="47">
        <f t="shared" si="98"/>
        <v>31078.724481369136</v>
      </c>
      <c r="AH296" s="45" t="str">
        <f t="shared" si="102"/>
        <v>-248.54081,42.09202,31079</v>
      </c>
      <c r="AI296" s="44">
        <f t="shared" si="104"/>
        <v>1021.2293421307988</v>
      </c>
    </row>
    <row r="297" spans="1:35" ht="18" customHeight="1" x14ac:dyDescent="0.25">
      <c r="A297" s="36">
        <f t="shared" si="99"/>
        <v>0.74290524305555561</v>
      </c>
      <c r="B297" s="42">
        <f t="shared" si="84"/>
        <v>42.092032378340896</v>
      </c>
      <c r="C297" s="43">
        <f t="shared" si="85"/>
        <v>111.45926142599821</v>
      </c>
      <c r="D297" s="18">
        <f t="shared" si="86"/>
        <v>30.947699663225649</v>
      </c>
      <c r="E297" s="21" t="str">
        <f t="shared" si="87"/>
        <v>Umbra</v>
      </c>
      <c r="F297" s="23">
        <f>IF($E297&lt;&gt;"Umbra",fracil2($S$2,$S$3,$S$4,$A297,$Q$2,$O$3,$Q$4,$U297,$V297,$W297),0)</f>
        <v>0</v>
      </c>
      <c r="G297" s="19">
        <f t="shared" si="88"/>
        <v>69.296598187430519</v>
      </c>
      <c r="H297" s="19">
        <f t="shared" si="89"/>
        <v>-3.1676234987081133</v>
      </c>
      <c r="I297" s="19">
        <f t="shared" si="90"/>
        <v>-1.9596055493132181</v>
      </c>
      <c r="J297" s="28">
        <f t="shared" si="91"/>
        <v>1.0445327653451757E-2</v>
      </c>
      <c r="K297" s="24">
        <f t="shared" si="92"/>
        <v>1050.6748451404148</v>
      </c>
      <c r="L297" s="32">
        <f t="shared" si="93"/>
        <v>0.55130374031007046</v>
      </c>
      <c r="M297" s="35">
        <f t="shared" si="94"/>
        <v>13.927468410843991</v>
      </c>
      <c r="O297" s="29">
        <f t="shared" si="95"/>
        <v>1046.508937767587</v>
      </c>
      <c r="T297" s="48">
        <v>0.74290524305555561</v>
      </c>
      <c r="U297" s="29">
        <v>-1211.5565201672894</v>
      </c>
      <c r="V297" s="29">
        <v>4606.4531178185825</v>
      </c>
      <c r="W297" s="29">
        <v>4273.938718379477</v>
      </c>
      <c r="X297" s="4">
        <v>-0.3167716174577217</v>
      </c>
      <c r="Y297" s="4">
        <v>-0.18373996802400613</v>
      </c>
      <c r="Z297" s="4">
        <v>-8.6032468186424238E-2</v>
      </c>
      <c r="AA297" s="3">
        <f t="shared" si="100"/>
        <v>0.37617312378543483</v>
      </c>
      <c r="AB297" s="3">
        <f t="shared" si="103"/>
        <v>0.15600907581964721</v>
      </c>
      <c r="AC297" s="3">
        <f t="shared" si="101"/>
        <v>0.1299246604509938</v>
      </c>
      <c r="AD297" s="48"/>
      <c r="AE297" s="46">
        <f t="shared" si="96"/>
        <v>42.092032378340896</v>
      </c>
      <c r="AF297" s="46">
        <f t="shared" si="97"/>
        <v>-248.54073857400181</v>
      </c>
      <c r="AG297" s="47">
        <f t="shared" si="98"/>
        <v>30947.699663225649</v>
      </c>
      <c r="AH297" s="45" t="str">
        <f t="shared" si="102"/>
        <v>-248.54074,42.09203,30948</v>
      </c>
      <c r="AI297" s="44">
        <f t="shared" si="104"/>
        <v>1021.2354961059997</v>
      </c>
    </row>
    <row r="298" spans="1:35" ht="18" customHeight="1" x14ac:dyDescent="0.25">
      <c r="A298" s="36">
        <f t="shared" si="99"/>
        <v>0.74291672453703705</v>
      </c>
      <c r="B298" s="42">
        <f t="shared" si="84"/>
        <v>42.092043110549518</v>
      </c>
      <c r="C298" s="43">
        <f t="shared" si="85"/>
        <v>111.45932550902585</v>
      </c>
      <c r="D298" s="18">
        <f t="shared" si="86"/>
        <v>30.819778497916559</v>
      </c>
      <c r="E298" s="21" t="str">
        <f t="shared" si="87"/>
        <v>Umbra</v>
      </c>
      <c r="F298" s="23">
        <f>IF($E298&lt;&gt;"Umbra",fracil2($S$2,$S$3,$S$4,$A298,$Q$2,$O$3,$Q$4,$U298,$V298,$W298),0)</f>
        <v>0</v>
      </c>
      <c r="G298" s="19">
        <f t="shared" si="88"/>
        <v>69.296622309358355</v>
      </c>
      <c r="H298" s="19">
        <f t="shared" si="89"/>
        <v>-3.1745898215650326</v>
      </c>
      <c r="I298" s="19">
        <f t="shared" si="90"/>
        <v>-1.9665718721701373</v>
      </c>
      <c r="J298" s="28">
        <f t="shared" si="91"/>
        <v>1.0366453267942652E-2</v>
      </c>
      <c r="K298" s="24">
        <f t="shared" si="92"/>
        <v>1050.6662202697867</v>
      </c>
      <c r="L298" s="32">
        <f t="shared" si="93"/>
        <v>0.55133009565073465</v>
      </c>
      <c r="M298" s="35">
        <f t="shared" si="94"/>
        <v>13.922812435716175</v>
      </c>
      <c r="O298" s="29">
        <f t="shared" si="95"/>
        <v>1046.5143587057369</v>
      </c>
      <c r="T298" s="48">
        <v>0.74291672453703705</v>
      </c>
      <c r="U298" s="29">
        <v>-1211.8705329590307</v>
      </c>
      <c r="V298" s="29">
        <v>4606.2715301218668</v>
      </c>
      <c r="W298" s="29">
        <v>4273.8538587141484</v>
      </c>
      <c r="X298" s="4">
        <v>-0.31659949767114304</v>
      </c>
      <c r="Y298" s="4">
        <v>-0.1825303761193251</v>
      </c>
      <c r="Z298" s="4">
        <v>-8.5132918491066079E-2</v>
      </c>
      <c r="AA298" s="3">
        <f t="shared" si="100"/>
        <v>0.37523351921528664</v>
      </c>
      <c r="AB298" s="3">
        <f t="shared" si="103"/>
        <v>0.15216688850013735</v>
      </c>
      <c r="AC298" s="3">
        <f t="shared" si="101"/>
        <v>0.12844444913043512</v>
      </c>
      <c r="AD298" s="48"/>
      <c r="AE298" s="46">
        <f t="shared" si="96"/>
        <v>42.092043110549518</v>
      </c>
      <c r="AF298" s="46">
        <f t="shared" si="97"/>
        <v>-248.54067449097414</v>
      </c>
      <c r="AG298" s="47">
        <f t="shared" si="98"/>
        <v>30819.778497916559</v>
      </c>
      <c r="AH298" s="45" t="str">
        <f t="shared" si="102"/>
        <v>-248.54067,42.09204,30820</v>
      </c>
      <c r="AI298" s="44">
        <f t="shared" si="104"/>
        <v>1021.2409165706667</v>
      </c>
    </row>
    <row r="299" spans="1:35" ht="18" customHeight="1" x14ac:dyDescent="0.25">
      <c r="A299" s="36">
        <f t="shared" si="99"/>
        <v>0.74292840277777783</v>
      </c>
      <c r="B299" s="42">
        <f t="shared" si="84"/>
        <v>42.092053111728163</v>
      </c>
      <c r="C299" s="43">
        <f t="shared" si="85"/>
        <v>111.45938593881652</v>
      </c>
      <c r="D299" s="18">
        <f t="shared" si="86"/>
        <v>30.69111146853902</v>
      </c>
      <c r="E299" s="21" t="str">
        <f t="shared" si="87"/>
        <v>Umbra</v>
      </c>
      <c r="F299" s="23">
        <f>IF($E299&lt;&gt;"Umbra",fracil2($S$2,$S$3,$S$4,$A299,$Q$2,$O$3,$Q$4,$U299,$V299,$W299),0)</f>
        <v>0</v>
      </c>
      <c r="G299" s="19">
        <f t="shared" si="88"/>
        <v>69.296647186900643</v>
      </c>
      <c r="H299" s="19">
        <f t="shared" si="89"/>
        <v>-3.181594805054206</v>
      </c>
      <c r="I299" s="19">
        <f t="shared" si="90"/>
        <v>-1.9735768556593107</v>
      </c>
      <c r="J299" s="28">
        <f t="shared" si="91"/>
        <v>1.0288205473760123E-2</v>
      </c>
      <c r="K299" s="24">
        <f t="shared" si="92"/>
        <v>1050.6572165639664</v>
      </c>
      <c r="L299" s="32">
        <f t="shared" si="93"/>
        <v>0.55135672893481469</v>
      </c>
      <c r="M299" s="35">
        <f t="shared" si="94"/>
        <v>13.91813000784</v>
      </c>
      <c r="O299" s="29">
        <f t="shared" si="95"/>
        <v>1046.5194676250214</v>
      </c>
      <c r="T299" s="48">
        <v>0.74292840277777783</v>
      </c>
      <c r="U299" s="29">
        <v>-1212.1898149682158</v>
      </c>
      <c r="V299" s="29">
        <v>4606.0880134046502</v>
      </c>
      <c r="W299" s="29">
        <v>4273.7684384967733</v>
      </c>
      <c r="X299" s="4">
        <v>-0.31645097089123458</v>
      </c>
      <c r="Y299" s="4">
        <v>-0.18133779795990126</v>
      </c>
      <c r="Z299" s="4">
        <v>-8.4234027263102709E-2</v>
      </c>
      <c r="AA299" s="3">
        <f t="shared" si="100"/>
        <v>0.37432604143435183</v>
      </c>
      <c r="AB299" s="3">
        <f t="shared" si="103"/>
        <v>0.14854436380548069</v>
      </c>
      <c r="AC299" s="3">
        <f t="shared" si="101"/>
        <v>0.1269747134646709</v>
      </c>
      <c r="AD299" s="48"/>
      <c r="AE299" s="46">
        <f t="shared" si="96"/>
        <v>42.092053111728163</v>
      </c>
      <c r="AF299" s="46">
        <f t="shared" si="97"/>
        <v>-248.54061406118348</v>
      </c>
      <c r="AG299" s="47">
        <f t="shared" si="98"/>
        <v>30691.11146853902</v>
      </c>
      <c r="AH299" s="45" t="str">
        <f t="shared" si="102"/>
        <v>-248.54061,42.09205,30691</v>
      </c>
      <c r="AI299" s="44">
        <f t="shared" si="104"/>
        <v>1021.2460254658973</v>
      </c>
    </row>
    <row r="300" spans="1:35" ht="18" customHeight="1" x14ac:dyDescent="0.25">
      <c r="A300" s="36">
        <f t="shared" si="99"/>
        <v>0.74293984953703707</v>
      </c>
      <c r="B300" s="42">
        <f t="shared" si="84"/>
        <v>42.092062092482628</v>
      </c>
      <c r="C300" s="43">
        <f t="shared" si="85"/>
        <v>111.45944354874594</v>
      </c>
      <c r="D300" s="18">
        <f t="shared" si="86"/>
        <v>30.566301044445936</v>
      </c>
      <c r="E300" s="21" t="str">
        <f t="shared" si="87"/>
        <v>Umbra</v>
      </c>
      <c r="F300" s="23">
        <f>IF($E300&lt;&gt;"Umbra",fracil2($S$2,$S$3,$S$4,$A300,$Q$2,$O$3,$Q$4,$U300,$V300,$W300),0)</f>
        <v>0</v>
      </c>
      <c r="G300" s="19">
        <f t="shared" si="88"/>
        <v>69.296674573473041</v>
      </c>
      <c r="H300" s="19">
        <f t="shared" si="89"/>
        <v>-3.1883893317575929</v>
      </c>
      <c r="I300" s="19">
        <f t="shared" si="90"/>
        <v>-1.9803713823626976</v>
      </c>
      <c r="J300" s="28">
        <f t="shared" si="91"/>
        <v>1.0213339535636039E-2</v>
      </c>
      <c r="K300" s="24">
        <f t="shared" si="92"/>
        <v>1050.6483984209087</v>
      </c>
      <c r="L300" s="32">
        <f t="shared" si="93"/>
        <v>0.55138267504178062</v>
      </c>
      <c r="M300" s="35">
        <f t="shared" si="94"/>
        <v>13.913585689054463</v>
      </c>
      <c r="O300" s="29">
        <f t="shared" si="95"/>
        <v>1046.5243242927247</v>
      </c>
      <c r="T300" s="48">
        <v>0.74293984953703707</v>
      </c>
      <c r="U300" s="29">
        <v>-1212.502880297465</v>
      </c>
      <c r="V300" s="29">
        <v>4605.909144139091</v>
      </c>
      <c r="W300" s="29">
        <v>4273.6855189076359</v>
      </c>
      <c r="X300" s="4">
        <v>-0.31632934457999207</v>
      </c>
      <c r="Y300" s="4">
        <v>-0.18020362410852866</v>
      </c>
      <c r="Z300" s="4">
        <v>-8.3368008911901312E-2</v>
      </c>
      <c r="AA300" s="3">
        <f t="shared" si="100"/>
        <v>0.37348068931899292</v>
      </c>
      <c r="AB300" s="3">
        <f t="shared" si="103"/>
        <v>0.14513528157345237</v>
      </c>
      <c r="AC300" s="3">
        <f t="shared" si="101"/>
        <v>0.12556717205584655</v>
      </c>
      <c r="AD300" s="48"/>
      <c r="AE300" s="46">
        <f t="shared" si="96"/>
        <v>42.092062092482628</v>
      </c>
      <c r="AF300" s="46">
        <f t="shared" si="97"/>
        <v>-248.54055645125408</v>
      </c>
      <c r="AG300" s="47">
        <f t="shared" si="98"/>
        <v>30566.301044445936</v>
      </c>
      <c r="AH300" s="45" t="str">
        <f t="shared" si="102"/>
        <v>-248.54056,42.09206,30566</v>
      </c>
      <c r="AI300" s="44">
        <f t="shared" si="104"/>
        <v>1021.2508820350732</v>
      </c>
    </row>
    <row r="301" spans="1:35" ht="18" customHeight="1" x14ac:dyDescent="0.25">
      <c r="A301" s="36">
        <f t="shared" si="99"/>
        <v>0.74295156250000005</v>
      </c>
      <c r="B301" s="42">
        <f t="shared" si="84"/>
        <v>42.092070489806076</v>
      </c>
      <c r="C301" s="43">
        <f t="shared" si="85"/>
        <v>111.45949394282897</v>
      </c>
      <c r="D301" s="18">
        <f t="shared" si="86"/>
        <v>30.440111037601127</v>
      </c>
      <c r="E301" s="21" t="str">
        <f t="shared" si="87"/>
        <v>Umbra</v>
      </c>
      <c r="F301" s="23">
        <f>IF($E301&lt;&gt;"Umbra",fracil2($S$2,$S$3,$S$4,$A301,$Q$2,$O$3,$Q$4,$U301,$V301,$W301),0)</f>
        <v>0</v>
      </c>
      <c r="G301" s="19">
        <f t="shared" si="88"/>
        <v>69.296698323798566</v>
      </c>
      <c r="H301" s="19">
        <f t="shared" si="89"/>
        <v>-3.1952551905073734</v>
      </c>
      <c r="I301" s="19">
        <f t="shared" si="90"/>
        <v>-1.9872372411124781</v>
      </c>
      <c r="J301" s="28">
        <f t="shared" si="91"/>
        <v>1.0138682430817432E-2</v>
      </c>
      <c r="K301" s="24">
        <f t="shared" si="92"/>
        <v>1050.6388483172807</v>
      </c>
      <c r="L301" s="32">
        <f t="shared" si="93"/>
        <v>0.55140904692258763</v>
      </c>
      <c r="M301" s="35">
        <f t="shared" si="94"/>
        <v>13.90899643799686</v>
      </c>
      <c r="O301" s="29">
        <f t="shared" si="95"/>
        <v>1046.5285861888526</v>
      </c>
      <c r="T301" s="48">
        <v>0.74295156250000005</v>
      </c>
      <c r="U301" s="29">
        <v>-1212.822820996797</v>
      </c>
      <c r="V301" s="29">
        <v>4605.7274245744866</v>
      </c>
      <c r="W301" s="29">
        <v>4273.601626202525</v>
      </c>
      <c r="X301" s="4">
        <v>-0.31622773955963435</v>
      </c>
      <c r="Y301" s="4">
        <v>-0.17907917808516685</v>
      </c>
      <c r="Z301" s="4">
        <v>-8.2498607436921584E-2</v>
      </c>
      <c r="AA301" s="3">
        <f t="shared" si="100"/>
        <v>0.37265983888753845</v>
      </c>
      <c r="AB301" s="3">
        <f t="shared" si="103"/>
        <v>0.14159176051736641</v>
      </c>
      <c r="AC301" s="3">
        <f t="shared" si="101"/>
        <v>0.12416206186656711</v>
      </c>
      <c r="AD301" s="48"/>
      <c r="AE301" s="46">
        <f t="shared" si="96"/>
        <v>42.092070489806076</v>
      </c>
      <c r="AF301" s="46">
        <f t="shared" si="97"/>
        <v>-248.54050605717103</v>
      </c>
      <c r="AG301" s="47">
        <f t="shared" si="98"/>
        <v>30440.111037601127</v>
      </c>
      <c r="AH301" s="45" t="str">
        <f t="shared" si="102"/>
        <v>-248.54051,42.09207,30440</v>
      </c>
      <c r="AI301" s="44">
        <f t="shared" si="104"/>
        <v>1021.2551446193794</v>
      </c>
    </row>
    <row r="302" spans="1:35" ht="18" customHeight="1" x14ac:dyDescent="0.25">
      <c r="A302" s="36">
        <f t="shared" si="99"/>
        <v>0.74296314814814812</v>
      </c>
      <c r="B302" s="42">
        <f t="shared" si="84"/>
        <v>42.092078082063701</v>
      </c>
      <c r="C302" s="43">
        <f t="shared" si="85"/>
        <v>111.45954253516392</v>
      </c>
      <c r="D302" s="18">
        <f t="shared" si="86"/>
        <v>30.316573027173035</v>
      </c>
      <c r="E302" s="21" t="str">
        <f t="shared" si="87"/>
        <v>Umbra</v>
      </c>
      <c r="F302" s="23">
        <f>IF($E302&lt;&gt;"Umbra",fracil2($S$2,$S$3,$S$4,$A302,$Q$2,$O$3,$Q$4,$U302,$V302,$W302),0)</f>
        <v>0</v>
      </c>
      <c r="G302" s="19">
        <f t="shared" si="88"/>
        <v>69.296724553552068</v>
      </c>
      <c r="H302" s="19">
        <f t="shared" si="89"/>
        <v>-3.2019764150355297</v>
      </c>
      <c r="I302" s="19">
        <f t="shared" si="90"/>
        <v>-1.9939584656406344</v>
      </c>
      <c r="J302" s="28">
        <f t="shared" si="91"/>
        <v>1.0066594165003891E-2</v>
      </c>
      <c r="K302" s="24">
        <f t="shared" si="92"/>
        <v>1050.6294379503763</v>
      </c>
      <c r="L302" s="32">
        <f t="shared" si="93"/>
        <v>0.55143497684131659</v>
      </c>
      <c r="M302" s="35">
        <f t="shared" si="94"/>
        <v>13.904501502921228</v>
      </c>
      <c r="O302" s="29">
        <f t="shared" si="95"/>
        <v>1046.5326830802478</v>
      </c>
      <c r="T302" s="48">
        <v>0.74296314814814812</v>
      </c>
      <c r="U302" s="29">
        <v>-1213.139418856455</v>
      </c>
      <c r="V302" s="29">
        <v>4605.5486554751069</v>
      </c>
      <c r="W302" s="29">
        <v>4273.5194444929357</v>
      </c>
      <c r="X302" s="4">
        <v>-0.31614802651941787</v>
      </c>
      <c r="Y302" s="4">
        <v>-0.17799962219634238</v>
      </c>
      <c r="Z302" s="4">
        <v>-8.1653723742439344E-2</v>
      </c>
      <c r="AA302" s="3">
        <f t="shared" si="100"/>
        <v>0.37188811593699761</v>
      </c>
      <c r="AB302" s="3">
        <f t="shared" si="103"/>
        <v>0.1383727057012776</v>
      </c>
      <c r="AC302" s="3">
        <f t="shared" si="101"/>
        <v>0.12280382223171728</v>
      </c>
      <c r="AD302" s="48"/>
      <c r="AE302" s="46">
        <f t="shared" si="96"/>
        <v>42.092078082063701</v>
      </c>
      <c r="AF302" s="46">
        <f t="shared" si="97"/>
        <v>-248.54045746483609</v>
      </c>
      <c r="AG302" s="47">
        <f t="shared" si="98"/>
        <v>30316.573027173035</v>
      </c>
      <c r="AH302" s="45" t="str">
        <f t="shared" si="102"/>
        <v>-248.54046,42.09208,30317</v>
      </c>
      <c r="AI302" s="44">
        <f t="shared" si="104"/>
        <v>1021.2592411627394</v>
      </c>
    </row>
    <row r="303" spans="1:35" ht="18" customHeight="1" x14ac:dyDescent="0.25">
      <c r="A303" s="36">
        <f t="shared" si="99"/>
        <v>0.74297464120370371</v>
      </c>
      <c r="B303" s="42">
        <f t="shared" si="84"/>
        <v>42.092084960814475</v>
      </c>
      <c r="C303" s="43">
        <f t="shared" si="85"/>
        <v>111.45958618597369</v>
      </c>
      <c r="D303" s="18">
        <f t="shared" si="86"/>
        <v>30.195358185723308</v>
      </c>
      <c r="E303" s="21" t="str">
        <f t="shared" si="87"/>
        <v>Umbra</v>
      </c>
      <c r="F303" s="23">
        <f>IF($E303&lt;&gt;"Umbra",fracil2($S$2,$S$3,$S$4,$A303,$Q$2,$O$3,$Q$4,$U303,$V303,$W303),0)</f>
        <v>0</v>
      </c>
      <c r="G303" s="19">
        <f t="shared" si="88"/>
        <v>69.296749580297174</v>
      </c>
      <c r="H303" s="19">
        <f t="shared" si="89"/>
        <v>-3.2085693352407776</v>
      </c>
      <c r="I303" s="19">
        <f t="shared" si="90"/>
        <v>-2.0005513858458821</v>
      </c>
      <c r="J303" s="28">
        <f t="shared" si="91"/>
        <v>9.9968178432082635E-3</v>
      </c>
      <c r="K303" s="24">
        <f t="shared" si="92"/>
        <v>1050.619879927965</v>
      </c>
      <c r="L303" s="32">
        <f t="shared" si="93"/>
        <v>0.55146054154912705</v>
      </c>
      <c r="M303" s="35">
        <f t="shared" si="94"/>
        <v>13.900092760069601</v>
      </c>
      <c r="O303" s="29">
        <f t="shared" si="95"/>
        <v>1046.5363648092577</v>
      </c>
      <c r="T303" s="48">
        <v>0.74297464120370371</v>
      </c>
      <c r="U303" s="29">
        <v>-1213.4533659540209</v>
      </c>
      <c r="V303" s="29">
        <v>4605.3723959708532</v>
      </c>
      <c r="W303" s="29">
        <v>4273.4387609451578</v>
      </c>
      <c r="X303" s="4">
        <v>-0.31608781866472507</v>
      </c>
      <c r="Y303" s="4">
        <v>-0.17696039530787006</v>
      </c>
      <c r="Z303" s="4">
        <v>-8.0830929516472499E-2</v>
      </c>
      <c r="AA303" s="3">
        <f t="shared" si="100"/>
        <v>0.37116051754226054</v>
      </c>
      <c r="AB303" s="3">
        <f t="shared" si="103"/>
        <v>0.13516951363329002</v>
      </c>
      <c r="AC303" s="3">
        <f t="shared" si="101"/>
        <v>0.1214876282867802</v>
      </c>
      <c r="AD303" s="48"/>
      <c r="AE303" s="46">
        <f t="shared" si="96"/>
        <v>42.092084960814475</v>
      </c>
      <c r="AF303" s="46">
        <f t="shared" si="97"/>
        <v>-248.54041381402629</v>
      </c>
      <c r="AG303" s="47">
        <f t="shared" si="98"/>
        <v>30195.358185723308</v>
      </c>
      <c r="AH303" s="45" t="str">
        <f t="shared" si="102"/>
        <v>-248.54041,42.09208,30195</v>
      </c>
      <c r="AI303" s="44">
        <f t="shared" si="104"/>
        <v>1021.2629228901928</v>
      </c>
    </row>
    <row r="304" spans="1:35" ht="18" customHeight="1" x14ac:dyDescent="0.25">
      <c r="A304" s="36">
        <f t="shared" si="99"/>
        <v>0.74298611111111112</v>
      </c>
      <c r="B304" s="42">
        <f t="shared" si="84"/>
        <v>42.092091231627464</v>
      </c>
      <c r="C304" s="43">
        <f t="shared" si="85"/>
        <v>111.45962746907729</v>
      </c>
      <c r="D304" s="18">
        <f t="shared" si="86"/>
        <v>30.07562946041071</v>
      </c>
      <c r="E304" s="21" t="str">
        <f t="shared" si="87"/>
        <v>Umbra</v>
      </c>
      <c r="F304" s="23">
        <f>IF($E304&lt;&gt;"Umbra",fracil2($S$2,$S$3,$S$4,$A304,$Q$2,$O$3,$Q$4,$U304,$V304,$W304),0)</f>
        <v>0</v>
      </c>
      <c r="G304" s="19">
        <f t="shared" si="88"/>
        <v>69.296775545480855</v>
      </c>
      <c r="H304" s="19">
        <f t="shared" si="89"/>
        <v>-3.2150805769056037</v>
      </c>
      <c r="I304" s="19">
        <f t="shared" si="90"/>
        <v>-2.0070626275107086</v>
      </c>
      <c r="J304" s="28">
        <f t="shared" si="91"/>
        <v>9.9288186135929758E-3</v>
      </c>
      <c r="K304" s="24">
        <f t="shared" si="92"/>
        <v>1050.6102920339113</v>
      </c>
      <c r="L304" s="32">
        <f t="shared" si="93"/>
        <v>0.5514859062593146</v>
      </c>
      <c r="M304" s="35">
        <f t="shared" si="94"/>
        <v>13.895737574207596</v>
      </c>
      <c r="O304" s="29">
        <f t="shared" si="95"/>
        <v>1046.5398409599075</v>
      </c>
      <c r="T304" s="48">
        <v>0.74298611111111112</v>
      </c>
      <c r="U304" s="29">
        <v>-1213.7667244699003</v>
      </c>
      <c r="V304" s="29">
        <v>4605.1974527366538</v>
      </c>
      <c r="W304" s="29">
        <v>4273.3590232090955</v>
      </c>
      <c r="X304" s="4">
        <v>-0.31604492158363096</v>
      </c>
      <c r="Y304" s="4">
        <v>-0.17595297838961754</v>
      </c>
      <c r="Z304" s="4">
        <v>-8.0024425103515762E-2</v>
      </c>
      <c r="AA304" s="3">
        <f t="shared" si="100"/>
        <v>0.37046963664533816</v>
      </c>
      <c r="AB304" s="3">
        <f t="shared" si="103"/>
        <v>0.13214742316520511</v>
      </c>
      <c r="AC304" s="3">
        <f t="shared" si="101"/>
        <v>0.12020345319390557</v>
      </c>
      <c r="AD304" s="48"/>
      <c r="AE304" s="46">
        <f t="shared" si="96"/>
        <v>42.092091231627464</v>
      </c>
      <c r="AF304" s="46">
        <f t="shared" si="97"/>
        <v>-248.5403725309227</v>
      </c>
      <c r="AG304" s="47">
        <f t="shared" si="98"/>
        <v>30075.62946041071</v>
      </c>
      <c r="AH304" s="45" t="str">
        <f t="shared" si="102"/>
        <v>-248.54037,42.09209,30076</v>
      </c>
      <c r="AI304" s="44">
        <f t="shared" si="104"/>
        <v>1021.266398092701</v>
      </c>
    </row>
    <row r="305" spans="1:35" ht="18" customHeight="1" x14ac:dyDescent="0.25">
      <c r="A305" s="36">
        <f t="shared" si="99"/>
        <v>0.74299774305555555</v>
      </c>
      <c r="B305" s="42">
        <f t="shared" si="84"/>
        <v>42.092097027305314</v>
      </c>
      <c r="C305" s="43">
        <f t="shared" si="85"/>
        <v>111.45966299333952</v>
      </c>
      <c r="D305" s="18">
        <f t="shared" si="86"/>
        <v>29.95557044909765</v>
      </c>
      <c r="E305" s="21" t="str">
        <f t="shared" si="87"/>
        <v>Umbra</v>
      </c>
      <c r="F305" s="23">
        <f>IF($E305&lt;&gt;"Umbra",fracil2($S$2,$S$3,$S$4,$A305,$Q$2,$O$3,$Q$4,$U305,$V305,$W305),0)</f>
        <v>0</v>
      </c>
      <c r="G305" s="19">
        <f t="shared" si="88"/>
        <v>69.296798529091163</v>
      </c>
      <c r="H305" s="19">
        <f t="shared" si="89"/>
        <v>-3.2216070085091473</v>
      </c>
      <c r="I305" s="19">
        <f t="shared" si="90"/>
        <v>-2.0135890591142518</v>
      </c>
      <c r="J305" s="28">
        <f t="shared" si="91"/>
        <v>9.8615452934198069E-3</v>
      </c>
      <c r="K305" s="24">
        <f t="shared" si="92"/>
        <v>1050.6002060436792</v>
      </c>
      <c r="L305" s="32">
        <f t="shared" si="93"/>
        <v>0.55151147111424004</v>
      </c>
      <c r="M305" s="35">
        <f t="shared" si="94"/>
        <v>13.891374360070175</v>
      </c>
      <c r="O305" s="29">
        <f t="shared" si="95"/>
        <v>1046.5428421961176</v>
      </c>
      <c r="T305" s="48">
        <v>0.74299774305555555</v>
      </c>
      <c r="U305" s="29">
        <v>-1214.0842488914814</v>
      </c>
      <c r="V305" s="29">
        <v>4605.02116825963</v>
      </c>
      <c r="W305" s="29">
        <v>4273.2790247073326</v>
      </c>
      <c r="X305" s="4">
        <v>-0.31601753431365315</v>
      </c>
      <c r="Y305" s="4">
        <v>-0.17496140250552522</v>
      </c>
      <c r="Z305" s="4">
        <v>-7.9222040618482939E-2</v>
      </c>
      <c r="AA305" s="3">
        <f t="shared" si="100"/>
        <v>0.36980360474194662</v>
      </c>
      <c r="AB305" s="3">
        <f t="shared" si="103"/>
        <v>0.12907483070456885</v>
      </c>
      <c r="AC305" s="3">
        <f t="shared" si="101"/>
        <v>0.11893141686506942</v>
      </c>
      <c r="AD305" s="48"/>
      <c r="AE305" s="46">
        <f t="shared" si="96"/>
        <v>42.092097027305314</v>
      </c>
      <c r="AF305" s="46">
        <f t="shared" si="97"/>
        <v>-248.54033700666048</v>
      </c>
      <c r="AG305" s="47">
        <f t="shared" si="98"/>
        <v>29955.57044909765</v>
      </c>
      <c r="AH305" s="45" t="str">
        <f t="shared" si="102"/>
        <v>-248.54034,42.09210,29956</v>
      </c>
      <c r="AI305" s="44">
        <f t="shared" si="104"/>
        <v>1021.2693987089851</v>
      </c>
    </row>
    <row r="306" spans="1:35" ht="18" customHeight="1" x14ac:dyDescent="0.25">
      <c r="A306" s="36">
        <f t="shared" si="99"/>
        <v>0.74300936342592594</v>
      </c>
      <c r="B306" s="42">
        <f t="shared" si="84"/>
        <v>42.092102303207575</v>
      </c>
      <c r="C306" s="43">
        <f t="shared" si="85"/>
        <v>111.4596976538942</v>
      </c>
      <c r="D306" s="18">
        <f t="shared" si="86"/>
        <v>29.836821608190803</v>
      </c>
      <c r="E306" s="21" t="str">
        <f t="shared" si="87"/>
        <v>Umbra</v>
      </c>
      <c r="F306" s="23">
        <f>IF($E306&lt;&gt;"Umbra",fracil2($S$2,$S$3,$S$4,$A306,$Q$2,$O$3,$Q$4,$U306,$V306,$W306),0)</f>
        <v>0</v>
      </c>
      <c r="G306" s="19">
        <f t="shared" si="88"/>
        <v>69.29682348982405</v>
      </c>
      <c r="H306" s="19">
        <f t="shared" si="89"/>
        <v>-3.2280620376575202</v>
      </c>
      <c r="I306" s="19">
        <f t="shared" si="90"/>
        <v>-2.0200440882626252</v>
      </c>
      <c r="J306" s="28">
        <f t="shared" si="91"/>
        <v>9.795894310136756E-3</v>
      </c>
      <c r="K306" s="24">
        <f t="shared" si="92"/>
        <v>1050.5901937449069</v>
      </c>
      <c r="L306" s="32">
        <f t="shared" si="93"/>
        <v>0.5515368675785951</v>
      </c>
      <c r="M306" s="35">
        <f t="shared" si="94"/>
        <v>13.887057091855354</v>
      </c>
      <c r="O306" s="29">
        <f t="shared" si="95"/>
        <v>1046.5457609856801</v>
      </c>
      <c r="T306" s="48">
        <v>0.74300936342592594</v>
      </c>
      <c r="U306" s="29">
        <v>-1214.4016065225135</v>
      </c>
      <c r="V306" s="29">
        <v>4604.845946571324</v>
      </c>
      <c r="W306" s="29">
        <v>4273.199861383132</v>
      </c>
      <c r="X306" s="4">
        <v>-0.31600496697026509</v>
      </c>
      <c r="Y306" s="4">
        <v>-0.17399857482591957</v>
      </c>
      <c r="Z306" s="4">
        <v>-7.8434794017679638E-2</v>
      </c>
      <c r="AA306" s="3">
        <f t="shared" si="100"/>
        <v>0.36917023187673909</v>
      </c>
      <c r="AB306" s="3">
        <f t="shared" si="103"/>
        <v>0.12624250688222385</v>
      </c>
      <c r="AC306" s="3">
        <f t="shared" si="101"/>
        <v>0.11768853110649018</v>
      </c>
      <c r="AD306" s="48"/>
      <c r="AE306" s="46">
        <f t="shared" si="96"/>
        <v>42.092102303207575</v>
      </c>
      <c r="AF306" s="46">
        <f t="shared" si="97"/>
        <v>-248.54030234610582</v>
      </c>
      <c r="AG306" s="47">
        <f t="shared" si="98"/>
        <v>29836.821608190803</v>
      </c>
      <c r="AH306" s="45" t="str">
        <f t="shared" si="102"/>
        <v>-248.54030,42.09210,29837</v>
      </c>
      <c r="AI306" s="44">
        <f t="shared" si="104"/>
        <v>1021.2723186446718</v>
      </c>
    </row>
    <row r="307" spans="1:35" ht="18" customHeight="1" x14ac:dyDescent="0.25">
      <c r="A307" s="36">
        <f t="shared" si="99"/>
        <v>0.7430209722222223</v>
      </c>
      <c r="B307" s="42">
        <f t="shared" si="84"/>
        <v>42.092107097171088</v>
      </c>
      <c r="C307" s="43">
        <f t="shared" si="85"/>
        <v>111.45972693516407</v>
      </c>
      <c r="D307" s="18">
        <f t="shared" si="86"/>
        <v>29.719485982319384</v>
      </c>
      <c r="E307" s="21" t="str">
        <f t="shared" si="87"/>
        <v>Umbra</v>
      </c>
      <c r="F307" s="23">
        <f>IF($E307&lt;&gt;"Umbra",fracil2($S$2,$S$3,$S$4,$A307,$Q$2,$O$3,$Q$4,$U307,$V307,$W307),0)</f>
        <v>0</v>
      </c>
      <c r="G307" s="19">
        <f t="shared" si="88"/>
        <v>69.296845587378044</v>
      </c>
      <c r="H307" s="19">
        <f t="shared" si="89"/>
        <v>-3.2344379263497531</v>
      </c>
      <c r="I307" s="19">
        <f t="shared" si="90"/>
        <v>-2.0264199769548581</v>
      </c>
      <c r="J307" s="28">
        <f t="shared" si="91"/>
        <v>9.7318852356814665E-3</v>
      </c>
      <c r="K307" s="24">
        <f t="shared" si="92"/>
        <v>1050.5799032286918</v>
      </c>
      <c r="L307" s="32">
        <f t="shared" si="93"/>
        <v>0.55156208834718468</v>
      </c>
      <c r="M307" s="35">
        <f t="shared" si="94"/>
        <v>13.882794529858712</v>
      </c>
      <c r="O307" s="29">
        <f t="shared" si="95"/>
        <v>1046.5482352082936</v>
      </c>
      <c r="T307" s="48">
        <v>0.7430209722222223</v>
      </c>
      <c r="U307" s="29">
        <v>-1214.718453504355</v>
      </c>
      <c r="V307" s="29">
        <v>4604.6719546320337</v>
      </c>
      <c r="W307" s="29">
        <v>4273.1216054457755</v>
      </c>
      <c r="X307" s="4">
        <v>-0.31600590136043055</v>
      </c>
      <c r="Y307" s="4">
        <v>-0.17306431827519114</v>
      </c>
      <c r="Z307" s="4">
        <v>-7.7663271936868963E-2</v>
      </c>
      <c r="AA307" s="3">
        <f t="shared" si="100"/>
        <v>0.36856827286489935</v>
      </c>
      <c r="AB307" s="3">
        <f t="shared" si="103"/>
        <v>0.12336479637152424</v>
      </c>
      <c r="AC307" s="3">
        <f t="shared" si="101"/>
        <v>0.11647518676768485</v>
      </c>
      <c r="AD307" s="48"/>
      <c r="AE307" s="46">
        <f t="shared" si="96"/>
        <v>42.092107097171088</v>
      </c>
      <c r="AF307" s="46">
        <f t="shared" si="97"/>
        <v>-248.54027306483593</v>
      </c>
      <c r="AG307" s="47">
        <f t="shared" si="98"/>
        <v>29719.485982319384</v>
      </c>
      <c r="AH307" s="45" t="str">
        <f t="shared" si="102"/>
        <v>-248.54027,42.09211,29719</v>
      </c>
      <c r="AI307" s="44">
        <f t="shared" si="104"/>
        <v>1021.2747942543626</v>
      </c>
    </row>
    <row r="308" spans="1:35" ht="18" customHeight="1" x14ac:dyDescent="0.25">
      <c r="A308" s="36">
        <f t="shared" si="99"/>
        <v>0.74303248842592595</v>
      </c>
      <c r="B308" s="42">
        <f t="shared" si="84"/>
        <v>42.092111424751458</v>
      </c>
      <c r="C308" s="43">
        <f t="shared" si="85"/>
        <v>111.459754329866</v>
      </c>
      <c r="D308" s="18">
        <f t="shared" si="86"/>
        <v>29.604244021499653</v>
      </c>
      <c r="E308" s="21" t="str">
        <f t="shared" si="87"/>
        <v>Umbra</v>
      </c>
      <c r="F308" s="23">
        <f>IF($E308&lt;&gt;"Umbra",fracil2($S$2,$S$3,$S$4,$A308,$Q$2,$O$3,$Q$4,$U308,$V308,$W308),0)</f>
        <v>0</v>
      </c>
      <c r="G308" s="19">
        <f t="shared" si="88"/>
        <v>69.296868164852199</v>
      </c>
      <c r="H308" s="19">
        <f t="shared" si="89"/>
        <v>-3.2406994546441954</v>
      </c>
      <c r="I308" s="19">
        <f t="shared" si="90"/>
        <v>-2.0326815052493004</v>
      </c>
      <c r="J308" s="28">
        <f t="shared" si="91"/>
        <v>9.6698396061421603E-3</v>
      </c>
      <c r="K308" s="24">
        <f t="shared" si="92"/>
        <v>1050.5696896031513</v>
      </c>
      <c r="L308" s="32">
        <f t="shared" si="93"/>
        <v>0.55158697059020645</v>
      </c>
      <c r="M308" s="35">
        <f t="shared" si="94"/>
        <v>13.878607646398544</v>
      </c>
      <c r="O308" s="29">
        <f t="shared" si="95"/>
        <v>1046.5505460786808</v>
      </c>
      <c r="T308" s="48">
        <v>0.74303248842592595</v>
      </c>
      <c r="U308" s="29">
        <v>-1215.0328490199115</v>
      </c>
      <c r="V308" s="29">
        <v>4604.5002257858005</v>
      </c>
      <c r="W308" s="29">
        <v>4273.0447143081619</v>
      </c>
      <c r="X308" s="4">
        <v>-0.31601896275527708</v>
      </c>
      <c r="Y308" s="4">
        <v>-0.17216289667528417</v>
      </c>
      <c r="Z308" s="4">
        <v>-7.6911762507183248E-2</v>
      </c>
      <c r="AA308" s="3">
        <f t="shared" si="100"/>
        <v>0.36799927584780262</v>
      </c>
      <c r="AB308" s="3">
        <f t="shared" si="103"/>
        <v>0.12069269827644416</v>
      </c>
      <c r="AC308" s="3">
        <f t="shared" si="101"/>
        <v>0.11529759173138759</v>
      </c>
      <c r="AD308" s="48"/>
      <c r="AE308" s="46">
        <f t="shared" si="96"/>
        <v>42.092111424751458</v>
      </c>
      <c r="AF308" s="46">
        <f t="shared" si="97"/>
        <v>-248.540245670134</v>
      </c>
      <c r="AG308" s="47">
        <f t="shared" si="98"/>
        <v>29604.244021499653</v>
      </c>
      <c r="AH308" s="45" t="str">
        <f t="shared" si="102"/>
        <v>-248.54025,42.09211,29604</v>
      </c>
      <c r="AI308" s="44">
        <f t="shared" si="104"/>
        <v>1021.2771080283821</v>
      </c>
    </row>
    <row r="309" spans="1:35" ht="18" customHeight="1" x14ac:dyDescent="0.25">
      <c r="A309" s="36">
        <f t="shared" si="99"/>
        <v>0.7430439699074074</v>
      </c>
      <c r="B309" s="42">
        <f t="shared" si="84"/>
        <v>42.092115350728484</v>
      </c>
      <c r="C309" s="43">
        <f t="shared" si="85"/>
        <v>111.45978133959242</v>
      </c>
      <c r="D309" s="18">
        <f t="shared" si="86"/>
        <v>29.490442667179195</v>
      </c>
      <c r="E309" s="21" t="str">
        <f t="shared" si="87"/>
        <v>Umbra</v>
      </c>
      <c r="F309" s="23">
        <f>IF($E309&lt;&gt;"Umbra",fracil2($S$2,$S$3,$S$4,$A309,$Q$2,$O$3,$Q$4,$U309,$V309,$W309),0)</f>
        <v>0</v>
      </c>
      <c r="G309" s="19">
        <f t="shared" si="88"/>
        <v>69.296892481725209</v>
      </c>
      <c r="H309" s="19">
        <f t="shared" si="89"/>
        <v>-3.2468827499797448</v>
      </c>
      <c r="I309" s="19">
        <f t="shared" si="90"/>
        <v>-2.0388648005848493</v>
      </c>
      <c r="J309" s="28">
        <f t="shared" si="91"/>
        <v>9.6093582682423521E-3</v>
      </c>
      <c r="K309" s="24">
        <f t="shared" si="92"/>
        <v>1050.5596038314836</v>
      </c>
      <c r="L309" s="32">
        <f t="shared" si="93"/>
        <v>0.5516116471446596</v>
      </c>
      <c r="M309" s="35">
        <f t="shared" si="94"/>
        <v>13.87447144926672</v>
      </c>
      <c r="O309" s="29">
        <f t="shared" si="95"/>
        <v>1046.5528159500864</v>
      </c>
      <c r="T309" s="48">
        <v>0.7430439699074074</v>
      </c>
      <c r="U309" s="29">
        <v>-1215.3464682377385</v>
      </c>
      <c r="V309" s="29">
        <v>4604.329812300698</v>
      </c>
      <c r="W309" s="29">
        <v>4272.9687555758192</v>
      </c>
      <c r="X309" s="4">
        <v>-0.3160429430506545</v>
      </c>
      <c r="Y309" s="4">
        <v>-0.17128809078858598</v>
      </c>
      <c r="Z309" s="4">
        <v>-7.6175808985128809E-2</v>
      </c>
      <c r="AA309" s="3">
        <f t="shared" si="100"/>
        <v>0.36745816873850679</v>
      </c>
      <c r="AB309" s="3">
        <f t="shared" si="103"/>
        <v>0.1181512810219133</v>
      </c>
      <c r="AC309" s="3">
        <f t="shared" si="101"/>
        <v>0.1141482690013839</v>
      </c>
      <c r="AD309" s="48"/>
      <c r="AE309" s="46">
        <f t="shared" si="96"/>
        <v>42.092115350728484</v>
      </c>
      <c r="AF309" s="46">
        <f t="shared" si="97"/>
        <v>-248.54021866040756</v>
      </c>
      <c r="AG309" s="47">
        <f t="shared" si="98"/>
        <v>29490.442667179195</v>
      </c>
      <c r="AH309" s="45" t="str">
        <f t="shared" si="102"/>
        <v>-248.54022,42.09212,29490</v>
      </c>
      <c r="AI309" s="44">
        <f t="shared" si="104"/>
        <v>1021.2793785504747</v>
      </c>
    </row>
    <row r="310" spans="1:35" ht="18" customHeight="1" x14ac:dyDescent="0.25">
      <c r="A310" s="36">
        <f t="shared" si="99"/>
        <v>0.74305565972222221</v>
      </c>
      <c r="B310" s="42">
        <f t="shared" si="84"/>
        <v>42.092118976315916</v>
      </c>
      <c r="C310" s="43">
        <f t="shared" si="85"/>
        <v>111.45980135076572</v>
      </c>
      <c r="D310" s="18">
        <f t="shared" si="86"/>
        <v>29.37587289754083</v>
      </c>
      <c r="E310" s="21" t="str">
        <f t="shared" si="87"/>
        <v>Umbra</v>
      </c>
      <c r="F310" s="23">
        <f>IF($E310&lt;&gt;"Umbra",fracil2($S$2,$S$3,$S$4,$A310,$Q$2,$O$3,$Q$4,$U310,$V310,$W310),0)</f>
        <v>0</v>
      </c>
      <c r="G310" s="19">
        <f t="shared" si="88"/>
        <v>69.296911594565017</v>
      </c>
      <c r="H310" s="19">
        <f t="shared" si="89"/>
        <v>-3.2531044451543951</v>
      </c>
      <c r="I310" s="19">
        <f t="shared" si="90"/>
        <v>-2.0450864957594996</v>
      </c>
      <c r="J310" s="28">
        <f t="shared" si="91"/>
        <v>9.5492533500230476E-3</v>
      </c>
      <c r="K310" s="24">
        <f t="shared" si="92"/>
        <v>1050.5488758799681</v>
      </c>
      <c r="L310" s="32">
        <f t="shared" si="93"/>
        <v>0.55163662412250625</v>
      </c>
      <c r="M310" s="35">
        <f t="shared" si="94"/>
        <v>13.870313429400644</v>
      </c>
      <c r="O310" s="29">
        <f t="shared" si="95"/>
        <v>1046.5545156015346</v>
      </c>
      <c r="T310" s="48">
        <v>0.74305565972222221</v>
      </c>
      <c r="U310" s="29">
        <v>-1215.6654101935678</v>
      </c>
      <c r="V310" s="29">
        <v>4604.1574008037123</v>
      </c>
      <c r="W310" s="29">
        <v>4272.8922568702492</v>
      </c>
      <c r="X310" s="4">
        <v>-0.31607750371493037</v>
      </c>
      <c r="Y310" s="4">
        <v>-0.17042241042469364</v>
      </c>
      <c r="Z310" s="4">
        <v>-7.5441146292435715E-2</v>
      </c>
      <c r="AA310" s="3">
        <f t="shared" si="100"/>
        <v>0.36693344476013801</v>
      </c>
      <c r="AB310" s="3">
        <f t="shared" si="103"/>
        <v>0.11547219674977406</v>
      </c>
      <c r="AC310" s="3">
        <f t="shared" si="101"/>
        <v>0.11300462543644299</v>
      </c>
      <c r="AD310" s="48"/>
      <c r="AE310" s="46">
        <f t="shared" si="96"/>
        <v>42.092118976315916</v>
      </c>
      <c r="AF310" s="46">
        <f t="shared" si="97"/>
        <v>-248.5401986492343</v>
      </c>
      <c r="AG310" s="47">
        <f t="shared" si="98"/>
        <v>29375.87289754083</v>
      </c>
      <c r="AH310" s="45" t="str">
        <f t="shared" si="102"/>
        <v>-248.54020,42.09212,29376</v>
      </c>
      <c r="AI310" s="44">
        <f t="shared" si="104"/>
        <v>1021.2810768047119</v>
      </c>
    </row>
    <row r="311" spans="1:35" ht="18" customHeight="1" x14ac:dyDescent="0.25">
      <c r="A311" s="36">
        <f t="shared" si="99"/>
        <v>0.74306725694444442</v>
      </c>
      <c r="B311" s="42">
        <f t="shared" si="84"/>
        <v>42.092122241747873</v>
      </c>
      <c r="C311" s="43">
        <f t="shared" si="85"/>
        <v>111.45982328629403</v>
      </c>
      <c r="D311" s="18">
        <f t="shared" si="86"/>
        <v>29.263225678922936</v>
      </c>
      <c r="E311" s="21" t="str">
        <f t="shared" si="87"/>
        <v>Umbra</v>
      </c>
      <c r="F311" s="23">
        <f>IF($E311&lt;&gt;"Umbra",fracil2($S$2,$S$3,$S$4,$A311,$Q$2,$O$3,$Q$4,$U311,$V311,$W311),0)</f>
        <v>0</v>
      </c>
      <c r="G311" s="19">
        <f t="shared" si="88"/>
        <v>69.296934466373898</v>
      </c>
      <c r="H311" s="19">
        <f t="shared" si="89"/>
        <v>-3.2592228841286119</v>
      </c>
      <c r="I311" s="19">
        <f t="shared" si="90"/>
        <v>-2.0512049347337165</v>
      </c>
      <c r="J311" s="28">
        <f t="shared" si="91"/>
        <v>9.4909102432361621E-3</v>
      </c>
      <c r="K311" s="24">
        <f t="shared" si="92"/>
        <v>1050.5385145303107</v>
      </c>
      <c r="L311" s="32">
        <f t="shared" si="93"/>
        <v>0.55166128010160909</v>
      </c>
      <c r="M311" s="35">
        <f t="shared" si="94"/>
        <v>13.866221263704482</v>
      </c>
      <c r="O311" s="29">
        <f t="shared" si="95"/>
        <v>1046.5563609683757</v>
      </c>
      <c r="T311" s="48">
        <v>0.74306725694444442</v>
      </c>
      <c r="U311" s="29">
        <v>-1215.9821732880164</v>
      </c>
      <c r="V311" s="29">
        <v>4603.9870412637374</v>
      </c>
      <c r="W311" s="29">
        <v>4272.81701706476</v>
      </c>
      <c r="X311" s="4">
        <v>-0.31612101100287138</v>
      </c>
      <c r="Y311" s="4">
        <v>-0.16958559423890968</v>
      </c>
      <c r="Z311" s="4">
        <v>-7.4724993556558955E-2</v>
      </c>
      <c r="AA311" s="3">
        <f t="shared" si="100"/>
        <v>0.3664363410373887</v>
      </c>
      <c r="AB311" s="3">
        <f t="shared" si="103"/>
        <v>0.11312009829354241</v>
      </c>
      <c r="AC311" s="3">
        <f t="shared" si="101"/>
        <v>0.11189315124120948</v>
      </c>
      <c r="AD311" s="48"/>
      <c r="AE311" s="46">
        <f t="shared" si="96"/>
        <v>42.092122241747873</v>
      </c>
      <c r="AF311" s="46">
        <f t="shared" si="97"/>
        <v>-248.54017671370599</v>
      </c>
      <c r="AG311" s="47">
        <f t="shared" si="98"/>
        <v>29263.225678922936</v>
      </c>
      <c r="AH311" s="45" t="str">
        <f t="shared" si="102"/>
        <v>-248.54018,42.09212,29263</v>
      </c>
      <c r="AI311" s="44">
        <f t="shared" si="104"/>
        <v>1021.282922557859</v>
      </c>
    </row>
    <row r="312" spans="1:35" ht="18" customHeight="1" x14ac:dyDescent="0.25">
      <c r="A312" s="36">
        <f t="shared" si="99"/>
        <v>0.74307869212962963</v>
      </c>
      <c r="B312" s="42">
        <f t="shared" si="84"/>
        <v>42.092125164120937</v>
      </c>
      <c r="C312" s="43">
        <f t="shared" si="85"/>
        <v>111.45984541172247</v>
      </c>
      <c r="D312" s="18">
        <f t="shared" si="86"/>
        <v>29.153167424056846</v>
      </c>
      <c r="E312" s="21" t="str">
        <f t="shared" si="87"/>
        <v>Umbra</v>
      </c>
      <c r="F312" s="23">
        <f>IF($E312&lt;&gt;"Umbra",fracil2($S$2,$S$3,$S$4,$A312,$Q$2,$O$3,$Q$4,$U312,$V312,$W312),0)</f>
        <v>0</v>
      </c>
      <c r="G312" s="19">
        <f t="shared" si="88"/>
        <v>69.29695911177275</v>
      </c>
      <c r="H312" s="19">
        <f t="shared" si="89"/>
        <v>-3.2652011043891358</v>
      </c>
      <c r="I312" s="19">
        <f t="shared" si="90"/>
        <v>-2.0571831549942408</v>
      </c>
      <c r="J312" s="28">
        <f t="shared" si="91"/>
        <v>9.4346200186176243E-3</v>
      </c>
      <c r="K312" s="24">
        <f t="shared" si="92"/>
        <v>1050.5284520525008</v>
      </c>
      <c r="L312" s="32">
        <f t="shared" si="93"/>
        <v>0.55168547028912596</v>
      </c>
      <c r="M312" s="35">
        <f t="shared" si="94"/>
        <v>13.862221055449858</v>
      </c>
      <c r="O312" s="29">
        <f t="shared" si="95"/>
        <v>1046.5582130226007</v>
      </c>
      <c r="T312" s="48">
        <v>0.74307869212962963</v>
      </c>
      <c r="U312" s="29">
        <v>-1216.2947304370105</v>
      </c>
      <c r="V312" s="29">
        <v>4603.8197799862992</v>
      </c>
      <c r="W312" s="29">
        <v>4272.7434842896919</v>
      </c>
      <c r="X312" s="4">
        <v>-0.316172028424893</v>
      </c>
      <c r="Y312" s="4">
        <v>-0.16878139669454131</v>
      </c>
      <c r="Z312" s="4">
        <v>-7.4031269252202991E-2</v>
      </c>
      <c r="AA312" s="3">
        <f t="shared" si="100"/>
        <v>0.36596794976550018</v>
      </c>
      <c r="AB312" s="3">
        <f t="shared" si="103"/>
        <v>0.11081975247867901</v>
      </c>
      <c r="AC312" s="3">
        <f t="shared" si="101"/>
        <v>0.1108194931303154</v>
      </c>
      <c r="AD312" s="48"/>
      <c r="AE312" s="46">
        <f t="shared" si="96"/>
        <v>42.092125164120937</v>
      </c>
      <c r="AF312" s="46">
        <f t="shared" si="97"/>
        <v>-248.54015458827752</v>
      </c>
      <c r="AG312" s="47">
        <f t="shared" si="98"/>
        <v>29153.167424056846</v>
      </c>
      <c r="AH312" s="45" t="str">
        <f t="shared" si="102"/>
        <v>-248.54015,42.09213,29153</v>
      </c>
      <c r="AI312" s="44">
        <f t="shared" si="104"/>
        <v>1021.2847780511959</v>
      </c>
    </row>
    <row r="313" spans="1:35" ht="18" customHeight="1" x14ac:dyDescent="0.25">
      <c r="A313" s="36">
        <f t="shared" si="99"/>
        <v>0.74309032407407416</v>
      </c>
      <c r="B313" s="42">
        <f t="shared" si="84"/>
        <v>42.092127856396004</v>
      </c>
      <c r="C313" s="43">
        <f t="shared" si="85"/>
        <v>111.45986354072812</v>
      </c>
      <c r="D313" s="18">
        <f t="shared" si="86"/>
        <v>29.042360510939943</v>
      </c>
      <c r="E313" s="21" t="str">
        <f t="shared" si="87"/>
        <v>Umbra</v>
      </c>
      <c r="F313" s="23">
        <f>IF($E313&lt;&gt;"Umbra",fracil2($S$2,$S$3,$S$4,$A313,$Q$2,$O$3,$Q$4,$U313,$V313,$W313),0)</f>
        <v>0</v>
      </c>
      <c r="G313" s="19">
        <f t="shared" si="88"/>
        <v>69.296981188519425</v>
      </c>
      <c r="H313" s="19">
        <f t="shared" si="89"/>
        <v>-3.2712180974103591</v>
      </c>
      <c r="I313" s="19">
        <f t="shared" si="90"/>
        <v>-2.063200148015464</v>
      </c>
      <c r="J313" s="28">
        <f t="shared" si="91"/>
        <v>9.3786497442732361E-3</v>
      </c>
      <c r="K313" s="24">
        <f t="shared" si="92"/>
        <v>1050.5179924857059</v>
      </c>
      <c r="L313" s="32">
        <f t="shared" si="93"/>
        <v>0.55170994509679849</v>
      </c>
      <c r="M313" s="35">
        <f t="shared" si="94"/>
        <v>13.858196819534319</v>
      </c>
      <c r="O313" s="29">
        <f t="shared" si="95"/>
        <v>1046.5597379960225</v>
      </c>
      <c r="T313" s="48">
        <v>0.74309032407407416</v>
      </c>
      <c r="U313" s="29">
        <v>-1216.6125180438401</v>
      </c>
      <c r="V313" s="29">
        <v>4603.6505537930061</v>
      </c>
      <c r="W313" s="29">
        <v>4272.6694306097525</v>
      </c>
      <c r="X313" s="4">
        <v>-0.31623130355081491</v>
      </c>
      <c r="Y313" s="4">
        <v>-0.16798475731502113</v>
      </c>
      <c r="Z313" s="4">
        <v>-7.3338826496909676E-2</v>
      </c>
      <c r="AA313" s="3">
        <f t="shared" si="100"/>
        <v>0.36551292659436546</v>
      </c>
      <c r="AB313" s="3">
        <f t="shared" si="103"/>
        <v>0.10845890249653922</v>
      </c>
      <c r="AC313" s="3">
        <f t="shared" si="101"/>
        <v>0.10975062739243666</v>
      </c>
      <c r="AD313" s="48"/>
      <c r="AE313" s="46">
        <f t="shared" si="96"/>
        <v>42.092127856396004</v>
      </c>
      <c r="AF313" s="46">
        <f t="shared" si="97"/>
        <v>-248.54013645927188</v>
      </c>
      <c r="AG313" s="47">
        <f t="shared" si="98"/>
        <v>29042.360510939943</v>
      </c>
      <c r="AH313" s="45" t="str">
        <f t="shared" si="102"/>
        <v>-248.54014,42.09213,29042</v>
      </c>
      <c r="AI313" s="44">
        <f t="shared" si="104"/>
        <v>1021.2863058902241</v>
      </c>
    </row>
    <row r="314" spans="1:35" ht="18" customHeight="1" x14ac:dyDescent="0.25">
      <c r="A314" s="36">
        <f t="shared" si="99"/>
        <v>0.74310195601851847</v>
      </c>
      <c r="B314" s="42">
        <f t="shared" si="84"/>
        <v>42.092130291154511</v>
      </c>
      <c r="C314" s="43">
        <f t="shared" si="85"/>
        <v>111.45987818684524</v>
      </c>
      <c r="D314" s="18">
        <f t="shared" si="86"/>
        <v>28.932664032426146</v>
      </c>
      <c r="E314" s="21" t="str">
        <f t="shared" si="87"/>
        <v>Umbra</v>
      </c>
      <c r="F314" s="23">
        <f>IF($E314&lt;&gt;"Umbra",fracil2($S$2,$S$3,$S$4,$A314,$Q$2,$O$3,$Q$4,$U314,$V314,$W314),0)</f>
        <v>0</v>
      </c>
      <c r="G314" s="19">
        <f t="shared" si="88"/>
        <v>69.297001053269312</v>
      </c>
      <c r="H314" s="19">
        <f t="shared" si="89"/>
        <v>-3.2771733070009086</v>
      </c>
      <c r="I314" s="19">
        <f t="shared" si="90"/>
        <v>-2.0691553576060135</v>
      </c>
      <c r="J314" s="28">
        <f t="shared" si="91"/>
        <v>9.3239244571745421E-3</v>
      </c>
      <c r="K314" s="24">
        <f t="shared" si="92"/>
        <v>1050.5073775519511</v>
      </c>
      <c r="L314" s="32">
        <f t="shared" si="93"/>
        <v>0.55173429175041544</v>
      </c>
      <c r="M314" s="35">
        <f t="shared" si="94"/>
        <v>13.854215269425408</v>
      </c>
      <c r="O314" s="29">
        <f t="shared" si="95"/>
        <v>1046.5609764926153</v>
      </c>
      <c r="T314" s="48">
        <v>0.74310195601851847</v>
      </c>
      <c r="U314" s="29">
        <v>-1216.9302230124749</v>
      </c>
      <c r="V314" s="29">
        <v>4603.4821950157029</v>
      </c>
      <c r="W314" s="29">
        <v>4272.5960999514728</v>
      </c>
      <c r="X314" s="4">
        <v>-0.31629724766580242</v>
      </c>
      <c r="Y314" s="4">
        <v>-0.16720864909947797</v>
      </c>
      <c r="Z314" s="4">
        <v>-7.265928400904835E-2</v>
      </c>
      <c r="AA314" s="3">
        <f t="shared" si="100"/>
        <v>0.36507814611031136</v>
      </c>
      <c r="AB314" s="3">
        <f t="shared" si="103"/>
        <v>0.10617486985935287</v>
      </c>
      <c r="AC314" s="3">
        <f t="shared" si="101"/>
        <v>0.10870427086473851</v>
      </c>
      <c r="AD314" s="48"/>
      <c r="AE314" s="46">
        <f t="shared" si="96"/>
        <v>42.092130291154511</v>
      </c>
      <c r="AF314" s="46">
        <f t="shared" si="97"/>
        <v>-248.54012181315477</v>
      </c>
      <c r="AG314" s="47">
        <f t="shared" si="98"/>
        <v>28932.664032426146</v>
      </c>
      <c r="AH314" s="45" t="str">
        <f t="shared" si="102"/>
        <v>-248.54012,42.09213,28933</v>
      </c>
      <c r="AI314" s="44">
        <f t="shared" si="104"/>
        <v>1021.2875436950694</v>
      </c>
    </row>
    <row r="315" spans="1:35" ht="18" customHeight="1" x14ac:dyDescent="0.25">
      <c r="A315" s="36">
        <f t="shared" si="99"/>
        <v>0.74311351851851848</v>
      </c>
      <c r="B315" s="42">
        <f t="shared" si="84"/>
        <v>42.092132481944901</v>
      </c>
      <c r="C315" s="43">
        <f t="shared" si="85"/>
        <v>111.45989587926447</v>
      </c>
      <c r="D315" s="18">
        <f t="shared" si="86"/>
        <v>28.824534660661811</v>
      </c>
      <c r="E315" s="21" t="str">
        <f t="shared" si="87"/>
        <v>Umbra</v>
      </c>
      <c r="F315" s="23">
        <f>IF($E315&lt;&gt;"Umbra",fracil2($S$2,$S$3,$S$4,$A315,$Q$2,$O$3,$Q$4,$U315,$V315,$W315),0)</f>
        <v>0</v>
      </c>
      <c r="G315" s="19">
        <f t="shared" si="88"/>
        <v>69.297025191793807</v>
      </c>
      <c r="H315" s="19">
        <f t="shared" si="89"/>
        <v>-3.2830450653013163</v>
      </c>
      <c r="I315" s="19">
        <f t="shared" si="90"/>
        <v>-2.0750271159064209</v>
      </c>
      <c r="J315" s="28">
        <f t="shared" si="91"/>
        <v>9.2706347515461879E-3</v>
      </c>
      <c r="K315" s="24">
        <f t="shared" si="92"/>
        <v>1050.4971822727873</v>
      </c>
      <c r="L315" s="32">
        <f t="shared" si="93"/>
        <v>0.55175838200356853</v>
      </c>
      <c r="M315" s="35">
        <f t="shared" si="94"/>
        <v>13.850286015367921</v>
      </c>
      <c r="O315" s="29">
        <f t="shared" si="95"/>
        <v>1046.5624538191064</v>
      </c>
      <c r="T315" s="48">
        <v>0.74311351851851848</v>
      </c>
      <c r="U315" s="29">
        <v>-1217.2464424254349</v>
      </c>
      <c r="V315" s="29">
        <v>4603.315424173019</v>
      </c>
      <c r="W315" s="29">
        <v>4272.5237995564803</v>
      </c>
      <c r="X315" s="4">
        <v>-0.31636880118871641</v>
      </c>
      <c r="Y315" s="4">
        <v>-0.16645553665086232</v>
      </c>
      <c r="Z315" s="4">
        <v>-7.1995281194396035E-2</v>
      </c>
      <c r="AA315" s="3">
        <f t="shared" si="100"/>
        <v>0.36466420795242888</v>
      </c>
      <c r="AB315" s="3">
        <f t="shared" si="103"/>
        <v>0.10412885654577875</v>
      </c>
      <c r="AC315" s="3">
        <f t="shared" si="101"/>
        <v>0.10768420438501733</v>
      </c>
      <c r="AD315" s="48"/>
      <c r="AE315" s="46">
        <f t="shared" si="96"/>
        <v>42.092132481944901</v>
      </c>
      <c r="AF315" s="46">
        <f t="shared" si="97"/>
        <v>-248.54010412073552</v>
      </c>
      <c r="AG315" s="47">
        <f t="shared" si="98"/>
        <v>28824.534660661811</v>
      </c>
      <c r="AH315" s="45" t="str">
        <f t="shared" si="102"/>
        <v>-248.54010,42.09213,28825</v>
      </c>
      <c r="AI315" s="44">
        <f t="shared" si="104"/>
        <v>1021.2890205417149</v>
      </c>
    </row>
    <row r="316" spans="1:35" ht="18" customHeight="1" x14ac:dyDescent="0.25">
      <c r="A316" s="36">
        <f t="shared" si="99"/>
        <v>0.74312500000000004</v>
      </c>
      <c r="B316" s="42">
        <f t="shared" si="84"/>
        <v>42.092134446253013</v>
      </c>
      <c r="C316" s="43">
        <f t="shared" si="85"/>
        <v>111.45990719839192</v>
      </c>
      <c r="D316" s="18">
        <f t="shared" si="86"/>
        <v>28.718286541555244</v>
      </c>
      <c r="E316" s="21" t="str">
        <f t="shared" si="87"/>
        <v>Umbra</v>
      </c>
      <c r="F316" s="23">
        <f>IF($E316&lt;&gt;"Umbra",fracil2($S$2,$S$3,$S$4,$A316,$Q$2,$O$3,$Q$4,$U316,$V316,$W316),0)</f>
        <v>0</v>
      </c>
      <c r="G316" s="19">
        <f t="shared" si="88"/>
        <v>69.297043854904089</v>
      </c>
      <c r="H316" s="19">
        <f t="shared" si="89"/>
        <v>-3.2888118763697478</v>
      </c>
      <c r="I316" s="19">
        <f t="shared" si="90"/>
        <v>-2.0807939269748523</v>
      </c>
      <c r="J316" s="28">
        <f t="shared" si="91"/>
        <v>9.2188984925333801E-3</v>
      </c>
      <c r="K316" s="24">
        <f t="shared" si="92"/>
        <v>1050.4866819932367</v>
      </c>
      <c r="L316" s="32">
        <f t="shared" si="93"/>
        <v>0.55178217690667763</v>
      </c>
      <c r="M316" s="35">
        <f t="shared" si="94"/>
        <v>13.846430636429146</v>
      </c>
      <c r="O316" s="29">
        <f t="shared" si="95"/>
        <v>1046.5634130473929</v>
      </c>
      <c r="T316" s="48">
        <v>0.74312500000000004</v>
      </c>
      <c r="U316" s="29">
        <v>-1217.5601435619101</v>
      </c>
      <c r="V316" s="29">
        <v>4603.1507546233197</v>
      </c>
      <c r="W316" s="29">
        <v>4272.452741453495</v>
      </c>
      <c r="X316" s="4">
        <v>-0.31644496770520453</v>
      </c>
      <c r="Y316" s="4">
        <v>-0.1657267459730693</v>
      </c>
      <c r="Z316" s="4">
        <v>-7.1348485189206168E-2</v>
      </c>
      <c r="AA316" s="3">
        <f t="shared" si="100"/>
        <v>0.36427102307974557</v>
      </c>
      <c r="AB316" s="3">
        <f t="shared" si="103"/>
        <v>0.10192682663399585</v>
      </c>
      <c r="AC316" s="3">
        <f t="shared" si="101"/>
        <v>0.10669270587873365</v>
      </c>
      <c r="AD316" s="48"/>
      <c r="AE316" s="46">
        <f t="shared" si="96"/>
        <v>42.092134446253013</v>
      </c>
      <c r="AF316" s="46">
        <f t="shared" si="97"/>
        <v>-248.54009280160807</v>
      </c>
      <c r="AG316" s="47">
        <f t="shared" si="98"/>
        <v>28718.286541555244</v>
      </c>
      <c r="AH316" s="45" t="str">
        <f t="shared" si="102"/>
        <v>-248.54009,42.09213,28718</v>
      </c>
      <c r="AI316" s="44">
        <f t="shared" si="104"/>
        <v>1021.2899793412249</v>
      </c>
    </row>
    <row r="317" spans="1:35" ht="18" customHeight="1" x14ac:dyDescent="0.25">
      <c r="A317" s="36">
        <f t="shared" si="99"/>
        <v>0.74313688657407406</v>
      </c>
      <c r="B317" s="42">
        <f t="shared" si="84"/>
        <v>42.092136281859737</v>
      </c>
      <c r="C317" s="43">
        <f t="shared" si="85"/>
        <v>111.45992076437516</v>
      </c>
      <c r="D317" s="18">
        <f t="shared" si="86"/>
        <v>28.609235855981751</v>
      </c>
      <c r="E317" s="21" t="str">
        <f t="shared" si="87"/>
        <v>Umbra</v>
      </c>
      <c r="F317" s="23">
        <f>IF($E317&lt;&gt;"Umbra",fracil2($S$2,$S$3,$S$4,$A317,$Q$2,$O$3,$Q$4,$U317,$V317,$W317),0)</f>
        <v>0</v>
      </c>
      <c r="G317" s="19">
        <f t="shared" si="88"/>
        <v>69.297066066691812</v>
      </c>
      <c r="H317" s="19">
        <f t="shared" si="89"/>
        <v>-3.2947318121092115</v>
      </c>
      <c r="I317" s="19">
        <f t="shared" si="90"/>
        <v>-2.0867138627143165</v>
      </c>
      <c r="J317" s="28">
        <f t="shared" si="91"/>
        <v>9.1664298679976428E-3</v>
      </c>
      <c r="K317" s="24">
        <f t="shared" si="92"/>
        <v>1050.4760681699127</v>
      </c>
      <c r="L317" s="32">
        <f t="shared" si="93"/>
        <v>0.55180669794803028</v>
      </c>
      <c r="M317" s="35">
        <f t="shared" si="94"/>
        <v>13.842470504183639</v>
      </c>
      <c r="O317" s="29">
        <f t="shared" si="95"/>
        <v>1046.5645497107835</v>
      </c>
      <c r="T317" s="48">
        <v>0.74313688657407406</v>
      </c>
      <c r="U317" s="29">
        <v>-1217.8852261538264</v>
      </c>
      <c r="V317" s="29">
        <v>4602.9809065027948</v>
      </c>
      <c r="W317" s="29">
        <v>4272.3797940594104</v>
      </c>
      <c r="X317" s="4">
        <v>-0.31652870800834637</v>
      </c>
      <c r="Y317" s="4">
        <v>-0.16498999739175479</v>
      </c>
      <c r="Z317" s="4">
        <v>-7.0690467855472144E-2</v>
      </c>
      <c r="AA317" s="3">
        <f t="shared" si="100"/>
        <v>0.36388083829516193</v>
      </c>
      <c r="AB317" s="3">
        <f t="shared" si="103"/>
        <v>9.9957400176310926E-2</v>
      </c>
      <c r="AC317" s="3">
        <f t="shared" si="101"/>
        <v>0.10568605869142325</v>
      </c>
      <c r="AD317" s="48"/>
      <c r="AE317" s="46">
        <f t="shared" si="96"/>
        <v>42.092136281859737</v>
      </c>
      <c r="AF317" s="46">
        <f t="shared" si="97"/>
        <v>-248.54007923562483</v>
      </c>
      <c r="AG317" s="47">
        <f t="shared" si="98"/>
        <v>28609.235855981751</v>
      </c>
      <c r="AH317" s="45" t="str">
        <f t="shared" si="102"/>
        <v>-248.54008,42.09214,28609</v>
      </c>
      <c r="AI317" s="44">
        <f t="shared" si="104"/>
        <v>1021.2911146022719</v>
      </c>
    </row>
    <row r="318" spans="1:35" ht="18" customHeight="1" x14ac:dyDescent="0.25">
      <c r="A318" s="36">
        <f t="shared" si="99"/>
        <v>0.74314831018518523</v>
      </c>
      <c r="B318" s="42">
        <f t="shared" si="84"/>
        <v>42.09213787197789</v>
      </c>
      <c r="C318" s="43">
        <f t="shared" si="85"/>
        <v>111.45993305234386</v>
      </c>
      <c r="D318" s="18">
        <f t="shared" si="86"/>
        <v>28.505387850001171</v>
      </c>
      <c r="E318" s="21" t="str">
        <f t="shared" si="87"/>
        <v>Umbra</v>
      </c>
      <c r="F318" s="23">
        <f>IF($E318&lt;&gt;"Umbra",fracil2($S$2,$S$3,$S$4,$A318,$Q$2,$O$3,$Q$4,$U318,$V318,$W318),0)</f>
        <v>0</v>
      </c>
      <c r="G318" s="19">
        <f t="shared" si="88"/>
        <v>69.297087515231283</v>
      </c>
      <c r="H318" s="19">
        <f t="shared" si="89"/>
        <v>-3.30036910164818</v>
      </c>
      <c r="I318" s="19">
        <f t="shared" si="90"/>
        <v>-2.0923511522532845</v>
      </c>
      <c r="J318" s="28">
        <f t="shared" si="91"/>
        <v>9.1170516066647524E-3</v>
      </c>
      <c r="K318" s="24">
        <f t="shared" si="92"/>
        <v>1050.4659163946512</v>
      </c>
      <c r="L318" s="32">
        <f t="shared" si="93"/>
        <v>0.55183015216526599</v>
      </c>
      <c r="M318" s="35">
        <f t="shared" si="94"/>
        <v>13.838699122384465</v>
      </c>
      <c r="O318" s="29">
        <f t="shared" si="95"/>
        <v>1046.5655774771813</v>
      </c>
      <c r="T318" s="48">
        <v>0.74314831018518523</v>
      </c>
      <c r="U318" s="29">
        <v>-1218.1977542170089</v>
      </c>
      <c r="V318" s="29">
        <v>4602.8183659947254</v>
      </c>
      <c r="W318" s="29">
        <v>4272.3103138202468</v>
      </c>
      <c r="X318" s="4">
        <v>-0.31661327049995541</v>
      </c>
      <c r="Y318" s="4">
        <v>-0.16429873387677618</v>
      </c>
      <c r="Z318" s="4">
        <v>-7.0069347333665072E-2</v>
      </c>
      <c r="AA318" s="3">
        <f t="shared" si="100"/>
        <v>0.36352132048334584</v>
      </c>
      <c r="AB318" s="3">
        <f t="shared" si="103"/>
        <v>9.7989961550583773E-2</v>
      </c>
      <c r="AC318" s="3">
        <f t="shared" si="101"/>
        <v>0.10473766069277171</v>
      </c>
      <c r="AD318" s="48"/>
      <c r="AE318" s="46">
        <f t="shared" si="96"/>
        <v>42.09213787197789</v>
      </c>
      <c r="AF318" s="46">
        <f t="shared" si="97"/>
        <v>-248.54006694765616</v>
      </c>
      <c r="AG318" s="47">
        <f t="shared" si="98"/>
        <v>28505.387850001171</v>
      </c>
      <c r="AH318" s="45" t="str">
        <f t="shared" si="102"/>
        <v>-248.54007,42.09214,28505</v>
      </c>
      <c r="AI318" s="44">
        <f t="shared" si="104"/>
        <v>1021.2921414845251</v>
      </c>
    </row>
    <row r="319" spans="1:35" ht="18" customHeight="1" x14ac:dyDescent="0.25">
      <c r="A319" s="36">
        <f t="shared" si="99"/>
        <v>0.74315982638888889</v>
      </c>
      <c r="B319" s="42">
        <f t="shared" si="84"/>
        <v>42.092139316827755</v>
      </c>
      <c r="C319" s="43">
        <f t="shared" si="85"/>
        <v>111.45994127021747</v>
      </c>
      <c r="D319" s="18">
        <f t="shared" si="86"/>
        <v>28.401714750567407</v>
      </c>
      <c r="E319" s="21" t="str">
        <f t="shared" si="87"/>
        <v>Umbra</v>
      </c>
      <c r="F319" s="23">
        <f>IF($E319&lt;&gt;"Umbra",fracil2($S$2,$S$3,$S$4,$A319,$Q$2,$O$3,$Q$4,$U319,$V319,$W319),0)</f>
        <v>0</v>
      </c>
      <c r="G319" s="19">
        <f t="shared" si="88"/>
        <v>69.297105652770185</v>
      </c>
      <c r="H319" s="19">
        <f t="shared" si="89"/>
        <v>-3.3059950714700901</v>
      </c>
      <c r="I319" s="19">
        <f t="shared" si="90"/>
        <v>-2.0979771220751946</v>
      </c>
      <c r="J319" s="28">
        <f t="shared" si="91"/>
        <v>9.0683205015330177E-3</v>
      </c>
      <c r="K319" s="24">
        <f t="shared" si="92"/>
        <v>1050.4554622295925</v>
      </c>
      <c r="L319" s="32">
        <f t="shared" si="93"/>
        <v>0.55185368101135635</v>
      </c>
      <c r="M319" s="35">
        <f t="shared" si="94"/>
        <v>13.834937643751383</v>
      </c>
      <c r="O319" s="29">
        <f t="shared" si="95"/>
        <v>1046.5662743612145</v>
      </c>
      <c r="T319" s="48">
        <v>0.74315982638888889</v>
      </c>
      <c r="U319" s="29">
        <v>-1218.5126592495649</v>
      </c>
      <c r="V319" s="29">
        <v>4602.6553160451367</v>
      </c>
      <c r="W319" s="29">
        <v>4272.240938793796</v>
      </c>
      <c r="X319" s="4">
        <v>-0.3167019857515283</v>
      </c>
      <c r="Y319" s="4">
        <v>-0.16361843755702082</v>
      </c>
      <c r="Z319" s="4">
        <v>-6.9454631685054682E-2</v>
      </c>
      <c r="AA319" s="3">
        <f t="shared" si="100"/>
        <v>0.3631736316833431</v>
      </c>
      <c r="AB319" s="3">
        <f t="shared" si="103"/>
        <v>9.6032053844069404E-2</v>
      </c>
      <c r="AC319" s="3">
        <f t="shared" si="101"/>
        <v>0.10380067882438077</v>
      </c>
      <c r="AD319" s="48"/>
      <c r="AE319" s="46">
        <f t="shared" si="96"/>
        <v>42.092139316827755</v>
      </c>
      <c r="AF319" s="46">
        <f t="shared" si="97"/>
        <v>-248.54005872978252</v>
      </c>
      <c r="AG319" s="47">
        <f t="shared" si="98"/>
        <v>28401.714750567407</v>
      </c>
      <c r="AH319" s="45" t="str">
        <f t="shared" si="102"/>
        <v>-248.54006,42.09214,28402</v>
      </c>
      <c r="AI319" s="44">
        <f t="shared" si="104"/>
        <v>1021.2928391136409</v>
      </c>
    </row>
    <row r="320" spans="1:35" ht="18" customHeight="1" x14ac:dyDescent="0.25">
      <c r="A320" s="36">
        <f t="shared" si="99"/>
        <v>0.74317136574074072</v>
      </c>
      <c r="B320" s="42">
        <f t="shared" si="84"/>
        <v>42.09214062138949</v>
      </c>
      <c r="C320" s="43">
        <f t="shared" si="85"/>
        <v>111.45995028622718</v>
      </c>
      <c r="D320" s="18">
        <f t="shared" si="86"/>
        <v>28.29871679255848</v>
      </c>
      <c r="E320" s="21" t="str">
        <f t="shared" si="87"/>
        <v>Umbra</v>
      </c>
      <c r="F320" s="23">
        <f>IF($E320&lt;&gt;"Umbra",fracil2($S$2,$S$3,$S$4,$A320,$Q$2,$O$3,$Q$4,$U320,$V320,$W320),0)</f>
        <v>0</v>
      </c>
      <c r="G320" s="19">
        <f t="shared" si="88"/>
        <v>69.297125317245914</v>
      </c>
      <c r="H320" s="19">
        <f t="shared" si="89"/>
        <v>-3.3115848941051378</v>
      </c>
      <c r="I320" s="19">
        <f t="shared" si="90"/>
        <v>-2.1035669447102423</v>
      </c>
      <c r="J320" s="28">
        <f t="shared" si="91"/>
        <v>9.0204541016828017E-3</v>
      </c>
      <c r="K320" s="24">
        <f t="shared" si="92"/>
        <v>1050.4451514758052</v>
      </c>
      <c r="L320" s="32">
        <f t="shared" si="93"/>
        <v>0.55187715262461834</v>
      </c>
      <c r="M320" s="35">
        <f t="shared" si="94"/>
        <v>13.831199009297556</v>
      </c>
      <c r="O320" s="29">
        <f t="shared" si="95"/>
        <v>1046.5670319088483</v>
      </c>
      <c r="T320" s="48">
        <v>0.74317136574074072</v>
      </c>
      <c r="U320" s="29">
        <v>-1218.8284133048896</v>
      </c>
      <c r="V320" s="29">
        <v>4602.492544352911</v>
      </c>
      <c r="W320" s="29">
        <v>4272.1720047128374</v>
      </c>
      <c r="X320" s="4">
        <v>-0.31679400900515958</v>
      </c>
      <c r="Y320" s="4">
        <v>-0.16295202477901793</v>
      </c>
      <c r="Z320" s="4">
        <v>-6.8849216329632063E-2</v>
      </c>
      <c r="AA320" s="3">
        <f t="shared" si="100"/>
        <v>0.36283883627631053</v>
      </c>
      <c r="AB320" s="3">
        <f t="shared" si="103"/>
        <v>9.423499520475398E-2</v>
      </c>
      <c r="AC320" s="3">
        <f t="shared" si="101"/>
        <v>0.1028793826664936</v>
      </c>
      <c r="AD320" s="48"/>
      <c r="AE320" s="46">
        <f t="shared" si="96"/>
        <v>42.09214062138949</v>
      </c>
      <c r="AF320" s="46">
        <f t="shared" si="97"/>
        <v>-248.54004971377282</v>
      </c>
      <c r="AG320" s="47">
        <f t="shared" si="98"/>
        <v>28298.71679255848</v>
      </c>
      <c r="AH320" s="45" t="str">
        <f t="shared" si="102"/>
        <v>-248.54005,42.09214,28299</v>
      </c>
      <c r="AI320" s="44">
        <f t="shared" si="104"/>
        <v>1021.2936045064814</v>
      </c>
    </row>
    <row r="321" spans="1:35" ht="18" customHeight="1" x14ac:dyDescent="0.25">
      <c r="A321" s="36">
        <f t="shared" si="99"/>
        <v>0.74318288194444448</v>
      </c>
      <c r="B321" s="42">
        <f t="shared" si="84"/>
        <v>42.092141793866304</v>
      </c>
      <c r="C321" s="43">
        <f t="shared" si="85"/>
        <v>111.45996195263946</v>
      </c>
      <c r="D321" s="18">
        <f t="shared" si="86"/>
        <v>28.196746766887372</v>
      </c>
      <c r="E321" s="21" t="str">
        <f t="shared" si="87"/>
        <v>Umbra</v>
      </c>
      <c r="F321" s="23">
        <f>IF($E321&lt;&gt;"Umbra",fracil2($S$2,$S$3,$S$4,$A321,$Q$2,$O$3,$Q$4,$U321,$V321,$W321),0)</f>
        <v>0</v>
      </c>
      <c r="G321" s="19">
        <f t="shared" si="88"/>
        <v>69.297148283124542</v>
      </c>
      <c r="H321" s="19">
        <f t="shared" si="89"/>
        <v>-3.3171203079573233</v>
      </c>
      <c r="I321" s="19">
        <f t="shared" si="90"/>
        <v>-2.1091023585624278</v>
      </c>
      <c r="J321" s="28">
        <f t="shared" si="91"/>
        <v>8.9735936856367576E-3</v>
      </c>
      <c r="K321" s="24">
        <f t="shared" si="92"/>
        <v>1050.4351711459281</v>
      </c>
      <c r="L321" s="32">
        <f t="shared" si="93"/>
        <v>0.55190047821273835</v>
      </c>
      <c r="M321" s="35">
        <f t="shared" si="94"/>
        <v>13.82749406714229</v>
      </c>
      <c r="O321" s="29">
        <f t="shared" si="95"/>
        <v>1046.5679992534392</v>
      </c>
      <c r="T321" s="48">
        <v>0.74318288194444448</v>
      </c>
      <c r="U321" s="29">
        <v>-1219.143889646758</v>
      </c>
      <c r="V321" s="29">
        <v>4602.3306194055785</v>
      </c>
      <c r="W321" s="29">
        <v>4272.1037487416279</v>
      </c>
      <c r="X321" s="4">
        <v>-0.31688858905731704</v>
      </c>
      <c r="Y321" s="4">
        <v>-0.16230131090455893</v>
      </c>
      <c r="Z321" s="4">
        <v>-6.8255036153609672E-2</v>
      </c>
      <c r="AA321" s="3">
        <f t="shared" si="100"/>
        <v>0.36251736973061854</v>
      </c>
      <c r="AB321" s="3">
        <f t="shared" si="103"/>
        <v>9.2530562928451507E-2</v>
      </c>
      <c r="AC321" s="3">
        <f t="shared" si="101"/>
        <v>0.10197656473991276</v>
      </c>
      <c r="AD321" s="48"/>
      <c r="AE321" s="46">
        <f t="shared" si="96"/>
        <v>42.092141793866304</v>
      </c>
      <c r="AF321" s="46">
        <f t="shared" si="97"/>
        <v>-248.54003804736055</v>
      </c>
      <c r="AG321" s="47">
        <f t="shared" si="98"/>
        <v>28196.746766887372</v>
      </c>
      <c r="AH321" s="45" t="str">
        <f t="shared" si="102"/>
        <v>-248.54004,42.09214,28197</v>
      </c>
      <c r="AI321" s="44">
        <f t="shared" si="104"/>
        <v>1021.2945819251967</v>
      </c>
    </row>
    <row r="322" spans="1:35" ht="18" customHeight="1" x14ac:dyDescent="0.25">
      <c r="A322" s="36">
        <f t="shared" si="99"/>
        <v>0.74319444444444438</v>
      </c>
      <c r="B322" s="42">
        <f t="shared" si="84"/>
        <v>42.092142850380483</v>
      </c>
      <c r="C322" s="43">
        <f t="shared" si="85"/>
        <v>111.45996654327611</v>
      </c>
      <c r="D322" s="18">
        <f t="shared" si="86"/>
        <v>28.095415901087108</v>
      </c>
      <c r="E322" s="21" t="str">
        <f t="shared" si="87"/>
        <v>Umbra</v>
      </c>
      <c r="F322" s="23">
        <f>IF($E322&lt;&gt;"Umbra",fracil2($S$2,$S$3,$S$4,$A322,$Q$2,$O$3,$Q$4,$U322,$V322,$W322),0)</f>
        <v>0</v>
      </c>
      <c r="G322" s="19">
        <f t="shared" si="88"/>
        <v>69.297164621832735</v>
      </c>
      <c r="H322" s="19">
        <f t="shared" si="89"/>
        <v>-3.3226178174128567</v>
      </c>
      <c r="I322" s="19">
        <f t="shared" si="90"/>
        <v>-2.1145998680179616</v>
      </c>
      <c r="J322" s="28">
        <f t="shared" si="91"/>
        <v>8.9275431529422834E-3</v>
      </c>
      <c r="K322" s="24">
        <f t="shared" si="92"/>
        <v>1050.4246965156285</v>
      </c>
      <c r="L322" s="32">
        <f t="shared" si="93"/>
        <v>0.55192378156043276</v>
      </c>
      <c r="M322" s="35">
        <f t="shared" si="94"/>
        <v>13.823819211318687</v>
      </c>
      <c r="O322" s="29">
        <f t="shared" si="95"/>
        <v>1046.5683947823486</v>
      </c>
      <c r="T322" s="48">
        <v>0.74319444444444438</v>
      </c>
      <c r="U322" s="29">
        <v>-1219.4602466194956</v>
      </c>
      <c r="V322" s="29">
        <v>4602.1689346797575</v>
      </c>
      <c r="W322" s="29">
        <v>4272.0359116116369</v>
      </c>
      <c r="X322" s="4">
        <v>-0.31698568413286965</v>
      </c>
      <c r="Y322" s="4">
        <v>-0.16166336988937324</v>
      </c>
      <c r="Z322" s="4">
        <v>-6.7669686702016521E-2</v>
      </c>
      <c r="AA322" s="3">
        <f t="shared" si="100"/>
        <v>0.36220733787089515</v>
      </c>
      <c r="AB322" s="3">
        <f t="shared" si="103"/>
        <v>9.066103060921904E-2</v>
      </c>
      <c r="AC322" s="3">
        <f t="shared" si="101"/>
        <v>0.10108843169583295</v>
      </c>
      <c r="AD322" s="48"/>
      <c r="AE322" s="46">
        <f t="shared" si="96"/>
        <v>42.092142850380483</v>
      </c>
      <c r="AF322" s="46">
        <f t="shared" si="97"/>
        <v>-248.5400334567239</v>
      </c>
      <c r="AG322" s="47">
        <f t="shared" si="98"/>
        <v>28095.415901087108</v>
      </c>
      <c r="AH322" s="45" t="str">
        <f t="shared" si="102"/>
        <v>-248.54003,42.09214,28095</v>
      </c>
      <c r="AI322" s="44">
        <f t="shared" si="104"/>
        <v>1021.2949847015547</v>
      </c>
    </row>
    <row r="323" spans="1:35" ht="18" customHeight="1" x14ac:dyDescent="0.25">
      <c r="A323" s="36">
        <f t="shared" si="99"/>
        <v>0.74320612268518527</v>
      </c>
      <c r="B323" s="42">
        <f t="shared" si="84"/>
        <v>42.092143809473953</v>
      </c>
      <c r="C323" s="43">
        <f t="shared" si="85"/>
        <v>111.45997770686961</v>
      </c>
      <c r="D323" s="18">
        <f t="shared" si="86"/>
        <v>27.993788752338332</v>
      </c>
      <c r="E323" s="21" t="str">
        <f t="shared" si="87"/>
        <v>Umbra</v>
      </c>
      <c r="F323" s="23">
        <f>IF($E323&lt;&gt;"Umbra",fracil2($S$2,$S$3,$S$4,$A323,$Q$2,$O$3,$Q$4,$U323,$V323,$W323),0)</f>
        <v>0</v>
      </c>
      <c r="G323" s="19">
        <f t="shared" si="88"/>
        <v>69.297188283767369</v>
      </c>
      <c r="H323" s="19">
        <f t="shared" si="89"/>
        <v>-3.3281345770895707</v>
      </c>
      <c r="I323" s="19">
        <f t="shared" si="90"/>
        <v>-2.1201166276946752</v>
      </c>
      <c r="J323" s="28">
        <f t="shared" si="91"/>
        <v>8.8818618067633397E-3</v>
      </c>
      <c r="K323" s="24">
        <f t="shared" si="92"/>
        <v>1050.4147266243147</v>
      </c>
      <c r="L323" s="32">
        <f t="shared" si="93"/>
        <v>0.55194722781371852</v>
      </c>
      <c r="M323" s="35">
        <f t="shared" si="94"/>
        <v>13.82012598328774</v>
      </c>
      <c r="O323" s="29">
        <f t="shared" si="95"/>
        <v>1046.5693163612571</v>
      </c>
      <c r="T323" s="48">
        <v>0.74320612268518527</v>
      </c>
      <c r="U323" s="29">
        <v>-1219.7804158083022</v>
      </c>
      <c r="V323" s="29">
        <v>4602.0059934012106</v>
      </c>
      <c r="W323" s="29">
        <v>4271.9678678077953</v>
      </c>
      <c r="X323" s="4">
        <v>-0.31708587159039625</v>
      </c>
      <c r="Y323" s="4">
        <v>-0.16103205675321336</v>
      </c>
      <c r="Z323" s="4">
        <v>-6.7087728439327143E-2</v>
      </c>
      <c r="AA323" s="3">
        <f t="shared" si="100"/>
        <v>0.36190542489932409</v>
      </c>
      <c r="AB323" s="3">
        <f t="shared" si="103"/>
        <v>8.9123236887533999E-2</v>
      </c>
      <c r="AC323" s="3">
        <f t="shared" si="101"/>
        <v>0.10020662375275451</v>
      </c>
      <c r="AD323" s="48"/>
      <c r="AE323" s="46">
        <f t="shared" si="96"/>
        <v>42.092143809473953</v>
      </c>
      <c r="AF323" s="46">
        <f t="shared" si="97"/>
        <v>-248.54002229313039</v>
      </c>
      <c r="AG323" s="47">
        <f t="shared" si="98"/>
        <v>27993.788752338332</v>
      </c>
      <c r="AH323" s="45" t="str">
        <f t="shared" si="102"/>
        <v>-248.54002,42.09214,27994</v>
      </c>
      <c r="AI323" s="44">
        <f t="shared" si="104"/>
        <v>1021.2959100163798</v>
      </c>
    </row>
    <row r="324" spans="1:35" ht="18" customHeight="1" x14ac:dyDescent="0.25">
      <c r="A324" s="36">
        <f t="shared" si="99"/>
        <v>0.74321762731481478</v>
      </c>
      <c r="B324" s="42">
        <f t="shared" si="84"/>
        <v>42.092144655123413</v>
      </c>
      <c r="C324" s="43">
        <f t="shared" si="85"/>
        <v>111.45998112208032</v>
      </c>
      <c r="D324" s="18">
        <f t="shared" si="86"/>
        <v>27.894699939837665</v>
      </c>
      <c r="E324" s="21" t="str">
        <f t="shared" si="87"/>
        <v>Umbra</v>
      </c>
      <c r="F324" s="23">
        <f>IF($E324&lt;&gt;"Umbra",fracil2($S$2,$S$3,$S$4,$A324,$Q$2,$O$3,$Q$4,$U324,$V324,$W324),0)</f>
        <v>0</v>
      </c>
      <c r="G324" s="19">
        <f t="shared" si="88"/>
        <v>69.297204282570576</v>
      </c>
      <c r="H324" s="19">
        <f t="shared" si="89"/>
        <v>-3.3335101236448068</v>
      </c>
      <c r="I324" s="19">
        <f t="shared" si="90"/>
        <v>-2.1254921742499118</v>
      </c>
      <c r="J324" s="28">
        <f t="shared" si="91"/>
        <v>8.8378045779185042E-3</v>
      </c>
      <c r="K324" s="24">
        <f t="shared" si="92"/>
        <v>1050.4044114458477</v>
      </c>
      <c r="L324" s="32">
        <f t="shared" si="93"/>
        <v>0.55197021268878699</v>
      </c>
      <c r="M324" s="35">
        <f t="shared" si="94"/>
        <v>13.81653244750107</v>
      </c>
      <c r="O324" s="29">
        <f t="shared" si="95"/>
        <v>1046.5696121077008</v>
      </c>
      <c r="T324" s="48">
        <v>0.74321762731481478</v>
      </c>
      <c r="U324" s="29">
        <v>-1220.095396589574</v>
      </c>
      <c r="V324" s="29">
        <v>4601.8463584076944</v>
      </c>
      <c r="W324" s="29">
        <v>4271.9015161197694</v>
      </c>
      <c r="X324" s="4">
        <v>-0.31718599111418477</v>
      </c>
      <c r="Y324" s="4">
        <v>-0.16042449665140612</v>
      </c>
      <c r="Z324" s="4">
        <v>-6.6525205947821534E-2</v>
      </c>
      <c r="AA324" s="3">
        <f t="shared" si="100"/>
        <v>0.36161937878291978</v>
      </c>
      <c r="AB324" s="3">
        <f t="shared" si="103"/>
        <v>8.733829822256782E-2</v>
      </c>
      <c r="AC324" s="3">
        <f t="shared" si="101"/>
        <v>9.9355323036507029E-2</v>
      </c>
      <c r="AD324" s="48"/>
      <c r="AE324" s="46">
        <f t="shared" si="96"/>
        <v>42.092144655123413</v>
      </c>
      <c r="AF324" s="46">
        <f t="shared" si="97"/>
        <v>-248.54001887791969</v>
      </c>
      <c r="AG324" s="47">
        <f t="shared" si="98"/>
        <v>27894.699939837665</v>
      </c>
      <c r="AH324" s="45" t="str">
        <f t="shared" si="102"/>
        <v>-248.54002,42.09214,27895</v>
      </c>
      <c r="AI324" s="44">
        <f t="shared" si="104"/>
        <v>1021.2962102281512</v>
      </c>
    </row>
    <row r="325" spans="1:35" ht="18" customHeight="1" x14ac:dyDescent="0.25">
      <c r="A325" s="36">
        <f t="shared" si="99"/>
        <v>0.74322915509259257</v>
      </c>
      <c r="B325" s="42">
        <f t="shared" si="84"/>
        <v>42.092145415094983</v>
      </c>
      <c r="C325" s="43">
        <f t="shared" si="85"/>
        <v>111.45998693040659</v>
      </c>
      <c r="D325" s="18">
        <f t="shared" si="86"/>
        <v>27.796182348702132</v>
      </c>
      <c r="E325" s="21" t="str">
        <f t="shared" si="87"/>
        <v>Umbra</v>
      </c>
      <c r="F325" s="23">
        <f>IF($E325&lt;&gt;"Umbra",fracil2($S$2,$S$3,$S$4,$A325,$Q$2,$O$3,$Q$4,$U325,$V325,$W325),0)</f>
        <v>0</v>
      </c>
      <c r="G325" s="19">
        <f t="shared" si="88"/>
        <v>69.29722312598085</v>
      </c>
      <c r="H325" s="19">
        <f t="shared" si="89"/>
        <v>-3.3388559046726138</v>
      </c>
      <c r="I325" s="19">
        <f t="shared" si="90"/>
        <v>-2.1308379552777188</v>
      </c>
      <c r="J325" s="28">
        <f t="shared" si="91"/>
        <v>8.7944636628674664E-3</v>
      </c>
      <c r="K325" s="24">
        <f t="shared" si="92"/>
        <v>1050.3943571547802</v>
      </c>
      <c r="L325" s="32">
        <f t="shared" si="93"/>
        <v>0.55199315149275241</v>
      </c>
      <c r="M325" s="35">
        <f t="shared" si="94"/>
        <v>13.812956534685673</v>
      </c>
      <c r="O325" s="29">
        <f t="shared" si="95"/>
        <v>1046.5700981252132</v>
      </c>
      <c r="T325" s="48">
        <v>0.74322915509259257</v>
      </c>
      <c r="U325" s="29">
        <v>-1220.4113342567314</v>
      </c>
      <c r="V325" s="29">
        <v>4601.6868888875242</v>
      </c>
      <c r="W325" s="29">
        <v>4271.8355402406169</v>
      </c>
      <c r="X325" s="4">
        <v>-0.31728766168822448</v>
      </c>
      <c r="Y325" s="4">
        <v>-0.15982807154199347</v>
      </c>
      <c r="Z325" s="4">
        <v>-6.5970709879966408E-2</v>
      </c>
      <c r="AA325" s="3">
        <f t="shared" si="100"/>
        <v>0.36134278362031869</v>
      </c>
      <c r="AB325" s="3">
        <f t="shared" si="103"/>
        <v>8.5820825218298841E-2</v>
      </c>
      <c r="AC325" s="3">
        <f t="shared" si="101"/>
        <v>9.8517130260463298E-2</v>
      </c>
      <c r="AD325" s="48"/>
      <c r="AE325" s="46">
        <f t="shared" si="96"/>
        <v>42.092145415094983</v>
      </c>
      <c r="AF325" s="46">
        <f t="shared" si="97"/>
        <v>-248.54001306959341</v>
      </c>
      <c r="AG325" s="47">
        <f t="shared" si="98"/>
        <v>27796.182348702132</v>
      </c>
      <c r="AH325" s="45" t="str">
        <f t="shared" si="102"/>
        <v>-248.54001,42.09215,27796</v>
      </c>
      <c r="AI325" s="44">
        <f t="shared" si="104"/>
        <v>1021.296694305088</v>
      </c>
    </row>
    <row r="326" spans="1:35" ht="18" customHeight="1" x14ac:dyDescent="0.25">
      <c r="A326" s="36">
        <f t="shared" si="99"/>
        <v>0.74324083333333324</v>
      </c>
      <c r="B326" s="42">
        <f t="shared" ref="B326:B389" si="105">latitude($U326,$V326,$W326)</f>
        <v>42.092146104393933</v>
      </c>
      <c r="C326" s="43">
        <f t="shared" ref="C326:C389" si="106">longitude($S$2,$S$3,$S$4,$A326,$U326,$V326)</f>
        <v>111.4599966032509</v>
      </c>
      <c r="D326" s="18">
        <f t="shared" ref="D326:D389" si="107">altitude($U326,$V326,$W326)</f>
        <v>27.697121375516872</v>
      </c>
      <c r="E326" s="21" t="str">
        <f t="shared" ref="E326:E389" si="108">illum2($S$2,$S$3,$S$4,$A326,$U326,$V326,$W326)</f>
        <v>Umbra</v>
      </c>
      <c r="F326" s="23">
        <f>IF($E326&lt;&gt;"Umbra",fracil2($S$2,$S$3,$S$4,$A326,$Q$2,$O$3,$Q$4,$U326,$V326,$W326),0)</f>
        <v>0</v>
      </c>
      <c r="G326" s="19">
        <f t="shared" ref="G326:G389" si="109">azimuth($S$2,$S$3,$S$4,$A326,$Q$2,$O$3,$Q$4,$U326,$V326,$W326)</f>
        <v>69.297246420139686</v>
      </c>
      <c r="H326" s="19">
        <f t="shared" ref="H326:H389" si="110">elev($S$2,$S$3,$S$4,$A326,$Q$2,$O$3,$Q$4,$U326,$V326,$W326)</f>
        <v>-3.3442330577881654</v>
      </c>
      <c r="I326" s="19">
        <f t="shared" ref="I326:I389" si="111">elev($S$2,$S$3,$S$4,$A326,$Q$2,$O$3,$Q$4,$U326,$V326,$W326)+DEGREES(ACOS($Q$3/$Q$4))</f>
        <v>-2.1362151083932703</v>
      </c>
      <c r="J326" s="28">
        <f t="shared" ref="J326:J389" si="112">vang($S$2,$S$3,$S$4,$A326,$Q$2,$O$3,$Q$4,$U326,$V326,$W326,$X326,$Y326,$Z326)</f>
        <v>8.7513408657344111E-3</v>
      </c>
      <c r="K326" s="24">
        <f t="shared" ref="K326:K389" si="113">slant_rng($S$2,$S$3,$S$4,$A326,$Q$2,$O$3,$Q$4,$U326,$V326,$W326)</f>
        <v>1050.3845633333615</v>
      </c>
      <c r="L326" s="32">
        <f t="shared" ref="L326:L389" si="114">radec2("ra",$S$2,$S$3,$S$4,$A326,$Q$2,$O$3,$Q$4,$U326,$V326,$W326)/24</f>
        <v>0.5520162993853307</v>
      </c>
      <c r="M326" s="35">
        <f t="shared" ref="M326:M389" si="115">radec2("dec",$S$2,$S$3,$S$4,$A326,$Q$2,$O$3,$Q$4,$U326,$V326,$W326)</f>
        <v>13.809356313871037</v>
      </c>
      <c r="O326" s="29">
        <f t="shared" ref="O326:O389" si="116">DEGREES(ACOS(SIN(RADIANS($B326))*SIN(RADIANS($O$2))+COS(RADIANS($B326))*COS(RADIANS($O$2))*COS(RADIANS($C326-$O$3))))*111.2</f>
        <v>1046.570893094635</v>
      </c>
      <c r="T326" s="48">
        <v>0.74324083333333324</v>
      </c>
      <c r="U326" s="29">
        <v>-1220.731825641222</v>
      </c>
      <c r="V326" s="29">
        <v>4601.5257735611385</v>
      </c>
      <c r="W326" s="29">
        <v>4271.7691942664433</v>
      </c>
      <c r="X326" s="4">
        <v>-0.31739179311030097</v>
      </c>
      <c r="Y326" s="4">
        <v>-0.15923584803093233</v>
      </c>
      <c r="Z326" s="4">
        <v>-6.5417944525575353E-2</v>
      </c>
      <c r="AA326" s="3">
        <f t="shared" si="100"/>
        <v>0.36107217159157184</v>
      </c>
      <c r="AB326" s="3">
        <f t="shared" si="103"/>
        <v>8.4360072465471336E-2</v>
      </c>
      <c r="AC326" s="3">
        <f t="shared" si="101"/>
        <v>9.7682450276036961E-2</v>
      </c>
      <c r="AD326" s="48"/>
      <c r="AE326" s="46">
        <f t="shared" ref="AE326:AE389" si="117">$B326</f>
        <v>42.092146104393933</v>
      </c>
      <c r="AF326" s="46">
        <f t="shared" ref="AF326:AF389" si="118">$C326-360</f>
        <v>-248.54000339674911</v>
      </c>
      <c r="AG326" s="47">
        <f t="shared" ref="AG326:AG389" si="119">$D326*1000</f>
        <v>27697.121375516872</v>
      </c>
      <c r="AH326" s="45" t="str">
        <f t="shared" si="102"/>
        <v>-248.54000,42.09215,27697</v>
      </c>
      <c r="AI326" s="44">
        <f t="shared" si="104"/>
        <v>1021.2974885907767</v>
      </c>
    </row>
    <row r="327" spans="1:35" ht="18" customHeight="1" x14ac:dyDescent="0.25">
      <c r="A327" s="36">
        <f t="shared" ref="A327:A390" si="120">$T327+$S$5/86400</f>
        <v>0.7432523148148148</v>
      </c>
      <c r="B327" s="42">
        <f t="shared" si="105"/>
        <v>42.092146709078655</v>
      </c>
      <c r="C327" s="43">
        <f t="shared" si="106"/>
        <v>111.45999982687457</v>
      </c>
      <c r="D327" s="18">
        <f t="shared" si="107"/>
        <v>27.600678369029083</v>
      </c>
      <c r="E327" s="21" t="str">
        <f t="shared" si="108"/>
        <v>Umbra</v>
      </c>
      <c r="F327" s="23">
        <f>IF($E327&lt;&gt;"Umbra",fracil2($S$2,$S$3,$S$4,$A327,$Q$2,$O$3,$Q$4,$U327,$V327,$W327),0)</f>
        <v>0</v>
      </c>
      <c r="G327" s="19">
        <f t="shared" si="109"/>
        <v>69.297263188373122</v>
      </c>
      <c r="H327" s="19">
        <f t="shared" si="110"/>
        <v>-3.3494652892018331</v>
      </c>
      <c r="I327" s="19">
        <f t="shared" si="111"/>
        <v>-2.1414473398069376</v>
      </c>
      <c r="J327" s="28">
        <f t="shared" si="112"/>
        <v>8.7097950538294871E-3</v>
      </c>
      <c r="K327" s="24">
        <f t="shared" si="113"/>
        <v>1050.3745368716029</v>
      </c>
      <c r="L327" s="32">
        <f t="shared" si="114"/>
        <v>0.55203895264680447</v>
      </c>
      <c r="M327" s="35">
        <f t="shared" si="115"/>
        <v>13.805857421801873</v>
      </c>
      <c r="O327" s="29">
        <f t="shared" si="116"/>
        <v>1046.5711674095126</v>
      </c>
      <c r="T327" s="48">
        <v>0.7432523148148148</v>
      </c>
      <c r="U327" s="29">
        <v>-1221.0465777482941</v>
      </c>
      <c r="V327" s="29">
        <v>4601.368170955152</v>
      </c>
      <c r="W327" s="29">
        <v>4271.7045961742242</v>
      </c>
      <c r="X327" s="4">
        <v>-0.31749478613237769</v>
      </c>
      <c r="Y327" s="4">
        <v>-0.1586663240982534</v>
      </c>
      <c r="Z327" s="4">
        <v>-6.4884380106267014E-2</v>
      </c>
      <c r="AA327" s="3">
        <f t="shared" ref="AA327:AA390" si="121">SQRT($X327*$X327+$Y327*$Y327+$Z327*$Z327)</f>
        <v>0.36081563769586095</v>
      </c>
      <c r="AB327" s="3">
        <f t="shared" si="103"/>
        <v>8.2742860262424042E-2</v>
      </c>
      <c r="AC327" s="3">
        <f t="shared" ref="AC327:AC390" si="122">vrel($S$2,$S$3,$S$4,$A327,$B327,$C327,$U327,$V327,$W327,$X327,$Y327,$Z327)</f>
        <v>9.6877564800200225E-2</v>
      </c>
      <c r="AD327" s="48"/>
      <c r="AE327" s="46">
        <f t="shared" si="117"/>
        <v>42.092146709078655</v>
      </c>
      <c r="AF327" s="46">
        <f t="shared" si="118"/>
        <v>-248.54000017312543</v>
      </c>
      <c r="AG327" s="47">
        <f t="shared" si="119"/>
        <v>27600.678369029083</v>
      </c>
      <c r="AH327" s="45" t="str">
        <f t="shared" ref="AH327:AH390" si="123">CONCATENATE(TEXT($AF327,"00.00000"),",",TEXT($AE327,"00.00000"),",",TEXT($AG327,"00000"))</f>
        <v>-248.54000,42.09215,27601</v>
      </c>
      <c r="AI327" s="44">
        <f t="shared" si="104"/>
        <v>1021.2977571083482</v>
      </c>
    </row>
    <row r="328" spans="1:35" ht="18" customHeight="1" x14ac:dyDescent="0.25">
      <c r="A328" s="36">
        <f t="shared" si="120"/>
        <v>0.7432640625000001</v>
      </c>
      <c r="B328" s="42">
        <f t="shared" si="105"/>
        <v>42.092147261314508</v>
      </c>
      <c r="C328" s="43">
        <f t="shared" si="106"/>
        <v>111.46000445156214</v>
      </c>
      <c r="D328" s="18">
        <f t="shared" si="107"/>
        <v>27.502777324803901</v>
      </c>
      <c r="E328" s="21" t="str">
        <f t="shared" si="108"/>
        <v>Umbra</v>
      </c>
      <c r="F328" s="23">
        <f>IF($E328&lt;&gt;"Umbra",fracil2($S$2,$S$3,$S$4,$A328,$Q$2,$O$3,$Q$4,$U328,$V328,$W328),0)</f>
        <v>0</v>
      </c>
      <c r="G328" s="19">
        <f t="shared" si="109"/>
        <v>69.297281953202571</v>
      </c>
      <c r="H328" s="19">
        <f t="shared" si="110"/>
        <v>-3.3547773468261233</v>
      </c>
      <c r="I328" s="19">
        <f t="shared" si="111"/>
        <v>-2.1467593974312278</v>
      </c>
      <c r="J328" s="28">
        <f t="shared" si="112"/>
        <v>8.6680528142236545E-3</v>
      </c>
      <c r="K328" s="24">
        <f t="shared" si="113"/>
        <v>1050.3644751338693</v>
      </c>
      <c r="L328" s="32">
        <f t="shared" si="114"/>
        <v>0.55206203919369967</v>
      </c>
      <c r="M328" s="35">
        <f t="shared" si="115"/>
        <v>13.802303762135377</v>
      </c>
      <c r="O328" s="29">
        <f t="shared" si="116"/>
        <v>1046.5715530625034</v>
      </c>
      <c r="T328" s="48">
        <v>0.7432640625000001</v>
      </c>
      <c r="U328" s="29">
        <v>-1221.3688664533777</v>
      </c>
      <c r="V328" s="29">
        <v>4601.2074266141526</v>
      </c>
      <c r="W328" s="29">
        <v>4271.6390163796632</v>
      </c>
      <c r="X328" s="4">
        <v>-0.31760075861824694</v>
      </c>
      <c r="Y328" s="4">
        <v>-0.15809513574725431</v>
      </c>
      <c r="Z328" s="4">
        <v>-6.4347357803267377E-2</v>
      </c>
      <c r="AA328" s="3">
        <f t="shared" si="121"/>
        <v>0.36056191739851068</v>
      </c>
      <c r="AB328" s="3">
        <f t="shared" ref="AB328:AB391" si="124">-($AC328-$AC327)/(($A328-$A327)*86400)*1000/9.806</f>
        <v>8.1316778169202353E-2</v>
      </c>
      <c r="AC328" s="3">
        <f t="shared" si="122"/>
        <v>9.6068211588563948E-2</v>
      </c>
      <c r="AD328" s="48"/>
      <c r="AE328" s="46">
        <f t="shared" si="117"/>
        <v>42.092147261314508</v>
      </c>
      <c r="AF328" s="46">
        <f t="shared" si="118"/>
        <v>-248.53999554843784</v>
      </c>
      <c r="AG328" s="47">
        <f t="shared" si="119"/>
        <v>27502.777324803901</v>
      </c>
      <c r="AH328" s="45" t="str">
        <f t="shared" si="123"/>
        <v>-248.54000,42.09215,27503</v>
      </c>
      <c r="AI328" s="44">
        <f t="shared" ref="AI328:AI391" si="125">IFERROR(ACOS(SIN(RADIANS($B327))*SIN(RADIANS($B328))+COS(RADIANS($B327))*COS(RADIANS($B328))*COS(RADIANS($C327-$C328)))*6371,0)+AI327</f>
        <v>1021.2981485366083</v>
      </c>
    </row>
    <row r="329" spans="1:35" ht="18" customHeight="1" x14ac:dyDescent="0.25">
      <c r="A329" s="36">
        <f t="shared" si="120"/>
        <v>0.7432756597222222</v>
      </c>
      <c r="B329" s="42">
        <f t="shared" si="105"/>
        <v>42.09214774698254</v>
      </c>
      <c r="C329" s="43">
        <f t="shared" si="106"/>
        <v>111.46001069282393</v>
      </c>
      <c r="D329" s="18">
        <f t="shared" si="107"/>
        <v>27.406881548729871</v>
      </c>
      <c r="E329" s="21" t="str">
        <f t="shared" si="108"/>
        <v>Umbra</v>
      </c>
      <c r="F329" s="23">
        <f>IF($E329&lt;&gt;"Umbra",fracil2($S$2,$S$3,$S$4,$A329,$Q$2,$O$3,$Q$4,$U329,$V329,$W329),0)</f>
        <v>0</v>
      </c>
      <c r="G329" s="19">
        <f t="shared" si="109"/>
        <v>69.297302404565244</v>
      </c>
      <c r="H329" s="19">
        <f t="shared" si="110"/>
        <v>-3.3599814891564255</v>
      </c>
      <c r="I329" s="19">
        <f t="shared" si="111"/>
        <v>-2.15196353976153</v>
      </c>
      <c r="J329" s="28">
        <f t="shared" si="112"/>
        <v>8.6275812797297451E-3</v>
      </c>
      <c r="K329" s="24">
        <f t="shared" si="113"/>
        <v>1050.3547646426878</v>
      </c>
      <c r="L329" s="32">
        <f t="shared" si="114"/>
        <v>0.55208474094205762</v>
      </c>
      <c r="M329" s="35">
        <f t="shared" si="115"/>
        <v>13.798820668101939</v>
      </c>
      <c r="O329" s="29">
        <f t="shared" si="116"/>
        <v>1046.5720670281851</v>
      </c>
      <c r="T329" s="48">
        <v>0.7432756597222222</v>
      </c>
      <c r="U329" s="29">
        <v>-1221.6872893360357</v>
      </c>
      <c r="V329" s="29">
        <v>4601.0492264583227</v>
      </c>
      <c r="W329" s="29">
        <v>4271.5747752544439</v>
      </c>
      <c r="X329" s="4">
        <v>-0.31770575950155577</v>
      </c>
      <c r="Y329" s="4">
        <v>-0.15754228519940489</v>
      </c>
      <c r="Z329" s="4">
        <v>-6.382581935558275E-2</v>
      </c>
      <c r="AA329" s="3">
        <f t="shared" si="121"/>
        <v>0.36031965872364297</v>
      </c>
      <c r="AB329" s="3">
        <f t="shared" si="124"/>
        <v>7.9927921684076558E-2</v>
      </c>
      <c r="AC329" s="3">
        <f t="shared" si="122"/>
        <v>9.5282870842137837E-2</v>
      </c>
      <c r="AD329" s="48"/>
      <c r="AE329" s="46">
        <f t="shared" si="117"/>
        <v>42.09214774698254</v>
      </c>
      <c r="AF329" s="46">
        <f t="shared" si="118"/>
        <v>-248.53998930717609</v>
      </c>
      <c r="AG329" s="47">
        <f t="shared" si="119"/>
        <v>27406.881548729871</v>
      </c>
      <c r="AH329" s="45" t="str">
        <f t="shared" si="123"/>
        <v>-248.53999,42.09215,27407</v>
      </c>
      <c r="AI329" s="44">
        <f t="shared" si="125"/>
        <v>1021.298659778833</v>
      </c>
    </row>
    <row r="330" spans="1:35" ht="18" customHeight="1" x14ac:dyDescent="0.25">
      <c r="A330" s="36">
        <f t="shared" si="120"/>
        <v>0.7432871875</v>
      </c>
      <c r="B330" s="42">
        <f t="shared" si="105"/>
        <v>42.09214817659565</v>
      </c>
      <c r="C330" s="43">
        <f t="shared" si="106"/>
        <v>111.46001538502851</v>
      </c>
      <c r="D330" s="18">
        <f t="shared" si="107"/>
        <v>27.312359553890019</v>
      </c>
      <c r="E330" s="21" t="str">
        <f t="shared" si="108"/>
        <v>Umbra</v>
      </c>
      <c r="F330" s="23">
        <f>IF($E330&lt;&gt;"Umbra",fracil2($S$2,$S$3,$S$4,$A330,$Q$2,$O$3,$Q$4,$U330,$V330,$W330),0)</f>
        <v>0</v>
      </c>
      <c r="G330" s="19">
        <f t="shared" si="109"/>
        <v>69.29732136913465</v>
      </c>
      <c r="H330" s="19">
        <f t="shared" si="110"/>
        <v>-3.3651104823030757</v>
      </c>
      <c r="I330" s="19">
        <f t="shared" si="111"/>
        <v>-2.1570925329081803</v>
      </c>
      <c r="J330" s="28">
        <f t="shared" si="112"/>
        <v>8.5880870027856254E-3</v>
      </c>
      <c r="K330" s="24">
        <f t="shared" si="113"/>
        <v>1050.3450829842168</v>
      </c>
      <c r="L330" s="32">
        <f t="shared" si="114"/>
        <v>0.55210721514773875</v>
      </c>
      <c r="M330" s="35">
        <f t="shared" si="115"/>
        <v>13.795388670628535</v>
      </c>
      <c r="O330" s="29">
        <f t="shared" si="116"/>
        <v>1046.5724550425668</v>
      </c>
      <c r="T330" s="48">
        <v>0.7432871875</v>
      </c>
      <c r="U330" s="29">
        <v>-1222.0038209692591</v>
      </c>
      <c r="V330" s="29">
        <v>4600.8925613677311</v>
      </c>
      <c r="W330" s="29">
        <v>4271.5114503676714</v>
      </c>
      <c r="X330" s="4">
        <v>-0.31781024746155279</v>
      </c>
      <c r="Y330" s="4">
        <v>-0.1570036373527649</v>
      </c>
      <c r="Z330" s="4">
        <v>-6.3316066794473852E-2</v>
      </c>
      <c r="AA330" s="3">
        <f t="shared" si="121"/>
        <v>0.36008668379696329</v>
      </c>
      <c r="AB330" s="3">
        <f t="shared" si="124"/>
        <v>7.8530261967323614E-2</v>
      </c>
      <c r="AC330" s="3">
        <f t="shared" si="122"/>
        <v>9.4515883364280337E-2</v>
      </c>
      <c r="AD330" s="48"/>
      <c r="AE330" s="46">
        <f t="shared" si="117"/>
        <v>42.09214817659565</v>
      </c>
      <c r="AF330" s="46">
        <f t="shared" si="118"/>
        <v>-248.5399846149715</v>
      </c>
      <c r="AG330" s="47">
        <f t="shared" si="119"/>
        <v>27312.359553890019</v>
      </c>
      <c r="AH330" s="45" t="str">
        <f t="shared" si="123"/>
        <v>-248.53998,42.09215,27312</v>
      </c>
      <c r="AI330" s="44">
        <f t="shared" si="125"/>
        <v>1021.299062555191</v>
      </c>
    </row>
    <row r="331" spans="1:35" ht="18" customHeight="1" x14ac:dyDescent="0.25">
      <c r="A331" s="36">
        <f t="shared" si="120"/>
        <v>0.74329870370370366</v>
      </c>
      <c r="B331" s="42">
        <f t="shared" si="105"/>
        <v>42.092148557991763</v>
      </c>
      <c r="C331" s="43">
        <f t="shared" si="106"/>
        <v>111.46001685799376</v>
      </c>
      <c r="D331" s="18">
        <f t="shared" si="107"/>
        <v>27.218753699150511</v>
      </c>
      <c r="E331" s="21" t="str">
        <f t="shared" si="108"/>
        <v>Umbra</v>
      </c>
      <c r="F331" s="23">
        <f>IF($E331&lt;&gt;"Umbra",fracil2($S$2,$S$3,$S$4,$A331,$Q$2,$O$3,$Q$4,$U331,$V331,$W331),0)</f>
        <v>0</v>
      </c>
      <c r="G331" s="19">
        <f t="shared" si="109"/>
        <v>69.297337181115864</v>
      </c>
      <c r="H331" s="19">
        <f t="shared" si="110"/>
        <v>-3.3701883681212608</v>
      </c>
      <c r="I331" s="19">
        <f t="shared" si="111"/>
        <v>-2.1621704187263653</v>
      </c>
      <c r="J331" s="28">
        <f t="shared" si="112"/>
        <v>8.5493594897410787E-3</v>
      </c>
      <c r="K331" s="24">
        <f t="shared" si="113"/>
        <v>1050.3352468191281</v>
      </c>
      <c r="L331" s="32">
        <f t="shared" si="114"/>
        <v>0.55212957435226373</v>
      </c>
      <c r="M331" s="35">
        <f t="shared" si="115"/>
        <v>13.79199299067203</v>
      </c>
      <c r="O331" s="29">
        <f t="shared" si="116"/>
        <v>1046.5725830136814</v>
      </c>
      <c r="T331" s="48">
        <v>0.74329870370370366</v>
      </c>
      <c r="U331" s="29">
        <v>-1222.3199177786248</v>
      </c>
      <c r="V331" s="29">
        <v>4600.7366929126338</v>
      </c>
      <c r="W331" s="29">
        <v>4271.4487356001137</v>
      </c>
      <c r="X331" s="4">
        <v>-0.31791453694222677</v>
      </c>
      <c r="Y331" s="4">
        <v>-0.15647622664315308</v>
      </c>
      <c r="Z331" s="4">
        <v>-6.2815452825099538E-2</v>
      </c>
      <c r="AA331" s="3">
        <f t="shared" si="121"/>
        <v>0.35986142251885267</v>
      </c>
      <c r="AB331" s="3">
        <f t="shared" si="124"/>
        <v>7.7143762648931871E-2</v>
      </c>
      <c r="AC331" s="3">
        <f t="shared" si="122"/>
        <v>9.3763193986430821E-2</v>
      </c>
      <c r="AD331" s="48"/>
      <c r="AE331" s="46">
        <f t="shared" si="117"/>
        <v>42.092148557991763</v>
      </c>
      <c r="AF331" s="46">
        <f t="shared" si="118"/>
        <v>-248.53998314200624</v>
      </c>
      <c r="AG331" s="47">
        <f t="shared" si="119"/>
        <v>27218.753699150511</v>
      </c>
      <c r="AH331" s="45" t="str">
        <f t="shared" si="123"/>
        <v>-248.53998,42.09215,27219</v>
      </c>
      <c r="AI331" s="44">
        <f t="shared" si="125"/>
        <v>1021.299196813976</v>
      </c>
    </row>
    <row r="332" spans="1:35" ht="18" customHeight="1" x14ac:dyDescent="0.25">
      <c r="A332" s="36">
        <f t="shared" si="120"/>
        <v>0.74331020833333339</v>
      </c>
      <c r="B332" s="42">
        <f t="shared" si="105"/>
        <v>42.092148896515283</v>
      </c>
      <c r="C332" s="43">
        <f t="shared" si="106"/>
        <v>111.46002023210617</v>
      </c>
      <c r="D332" s="18">
        <f t="shared" si="107"/>
        <v>27.125934227581638</v>
      </c>
      <c r="E332" s="21" t="str">
        <f t="shared" si="108"/>
        <v>Umbra</v>
      </c>
      <c r="F332" s="23">
        <f>IF($E332&lt;&gt;"Umbra",fracil2($S$2,$S$3,$S$4,$A332,$Q$2,$O$3,$Q$4,$U332,$V332,$W332),0)</f>
        <v>0</v>
      </c>
      <c r="G332" s="19">
        <f t="shared" si="109"/>
        <v>69.297355044378222</v>
      </c>
      <c r="H332" s="19">
        <f t="shared" si="110"/>
        <v>-3.3752245742289713</v>
      </c>
      <c r="I332" s="19">
        <f t="shared" si="111"/>
        <v>-2.1672066248340762</v>
      </c>
      <c r="J332" s="28">
        <f t="shared" si="112"/>
        <v>8.5113275775105541E-3</v>
      </c>
      <c r="K332" s="24">
        <f t="shared" si="113"/>
        <v>1050.3256545112738</v>
      </c>
      <c r="L332" s="32">
        <f t="shared" si="114"/>
        <v>0.55215182878883728</v>
      </c>
      <c r="M332" s="35">
        <f t="shared" si="115"/>
        <v>13.788623476668208</v>
      </c>
      <c r="O332" s="29">
        <f t="shared" si="116"/>
        <v>1046.5728627707661</v>
      </c>
      <c r="T332" s="48">
        <v>0.74331020833333339</v>
      </c>
      <c r="U332" s="29">
        <v>-1222.6359662759596</v>
      </c>
      <c r="V332" s="29">
        <v>4600.5814184701603</v>
      </c>
      <c r="W332" s="29">
        <v>4271.3865444150433</v>
      </c>
      <c r="X332" s="4">
        <v>-0.31801860819360928</v>
      </c>
      <c r="Y332" s="4">
        <v>-0.15595903593948002</v>
      </c>
      <c r="Z332" s="4">
        <v>-6.2323145397594024E-2</v>
      </c>
      <c r="AA332" s="3">
        <f t="shared" si="121"/>
        <v>0.35964319888025414</v>
      </c>
      <c r="AB332" s="3">
        <f t="shared" si="124"/>
        <v>7.5889037051579816E-2</v>
      </c>
      <c r="AC332" s="3">
        <f t="shared" si="122"/>
        <v>9.3023491096480365E-2</v>
      </c>
      <c r="AD332" s="48"/>
      <c r="AE332" s="46">
        <f t="shared" si="117"/>
        <v>42.092148896515283</v>
      </c>
      <c r="AF332" s="46">
        <f t="shared" si="118"/>
        <v>-248.53997976789384</v>
      </c>
      <c r="AG332" s="47">
        <f t="shared" si="119"/>
        <v>27125.934227581638</v>
      </c>
      <c r="AH332" s="45" t="str">
        <f t="shared" si="123"/>
        <v>-248.53998,42.09215,27126</v>
      </c>
      <c r="AI332" s="44">
        <f t="shared" si="125"/>
        <v>1021.2994970257473</v>
      </c>
    </row>
    <row r="333" spans="1:35" ht="18" customHeight="1" x14ac:dyDescent="0.25">
      <c r="A333" s="36">
        <f t="shared" si="120"/>
        <v>0.74332196759259261</v>
      </c>
      <c r="B333" s="42">
        <f t="shared" si="105"/>
        <v>42.092149202799973</v>
      </c>
      <c r="C333" s="43">
        <f t="shared" si="106"/>
        <v>111.46002225959717</v>
      </c>
      <c r="D333" s="18">
        <f t="shared" si="107"/>
        <v>27.031839169733757</v>
      </c>
      <c r="E333" s="21" t="str">
        <f t="shared" si="108"/>
        <v>Umbra</v>
      </c>
      <c r="F333" s="23">
        <f>IF($E333&lt;&gt;"Umbra",fracil2($S$2,$S$3,$S$4,$A333,$Q$2,$O$3,$Q$4,$U333,$V333,$W333),0)</f>
        <v>0</v>
      </c>
      <c r="G333" s="19">
        <f t="shared" si="109"/>
        <v>69.29737195466997</v>
      </c>
      <c r="H333" s="19">
        <f t="shared" si="110"/>
        <v>-3.3803294299361908</v>
      </c>
      <c r="I333" s="19">
        <f t="shared" si="111"/>
        <v>-2.1723114805412953</v>
      </c>
      <c r="J333" s="28">
        <f t="shared" si="112"/>
        <v>8.4731453060350286E-3</v>
      </c>
      <c r="K333" s="24">
        <f t="shared" si="113"/>
        <v>1050.3158255833205</v>
      </c>
      <c r="L333" s="32">
        <f t="shared" si="114"/>
        <v>0.55217448665848645</v>
      </c>
      <c r="M333" s="35">
        <f t="shared" si="115"/>
        <v>13.785208836992012</v>
      </c>
      <c r="O333" s="29">
        <f t="shared" si="116"/>
        <v>1046.5730334487434</v>
      </c>
      <c r="T333" s="48">
        <v>0.74332196759259261</v>
      </c>
      <c r="U333" s="29">
        <v>-1222.9590282902507</v>
      </c>
      <c r="V333" s="29">
        <v>4600.4232767138592</v>
      </c>
      <c r="W333" s="29">
        <v>4271.3234955032713</v>
      </c>
      <c r="X333" s="4">
        <v>-0.31812464272123969</v>
      </c>
      <c r="Y333" s="4">
        <v>-0.15544050259730724</v>
      </c>
      <c r="Z333" s="4">
        <v>-6.182821559662894E-2</v>
      </c>
      <c r="AA333" s="3">
        <f t="shared" si="121"/>
        <v>0.3594269973138956</v>
      </c>
      <c r="AB333" s="3">
        <f t="shared" si="124"/>
        <v>7.4594456881070068E-2</v>
      </c>
      <c r="AC333" s="3">
        <f t="shared" si="122"/>
        <v>9.2280314280399928E-2</v>
      </c>
      <c r="AD333" s="48"/>
      <c r="AE333" s="46">
        <f t="shared" si="117"/>
        <v>42.092149202799973</v>
      </c>
      <c r="AF333" s="46">
        <f t="shared" si="118"/>
        <v>-248.53997774040283</v>
      </c>
      <c r="AG333" s="47">
        <f t="shared" si="119"/>
        <v>27031.839169733757</v>
      </c>
      <c r="AH333" s="45" t="str">
        <f t="shared" si="123"/>
        <v>-248.53998,42.09215,27032</v>
      </c>
      <c r="AI333" s="44">
        <f t="shared" si="125"/>
        <v>1021.2996868963432</v>
      </c>
    </row>
    <row r="334" spans="1:35" ht="18" customHeight="1" x14ac:dyDescent="0.25">
      <c r="A334" s="36">
        <f t="shared" si="120"/>
        <v>0.74333335648148147</v>
      </c>
      <c r="B334" s="42">
        <f t="shared" si="105"/>
        <v>42.092149465247488</v>
      </c>
      <c r="C334" s="43">
        <f t="shared" si="106"/>
        <v>111.460026136466</v>
      </c>
      <c r="D334" s="18">
        <f t="shared" si="107"/>
        <v>26.941374253757203</v>
      </c>
      <c r="E334" s="21" t="str">
        <f t="shared" si="108"/>
        <v>Umbra</v>
      </c>
      <c r="F334" s="23">
        <f>IF($E334&lt;&gt;"Umbra",fracil2($S$2,$S$3,$S$4,$A334,$Q$2,$O$3,$Q$4,$U334,$V334,$W334),0)</f>
        <v>0</v>
      </c>
      <c r="G334" s="19">
        <f t="shared" si="109"/>
        <v>69.297390365564212</v>
      </c>
      <c r="H334" s="19">
        <f t="shared" si="110"/>
        <v>-3.3852383249136779</v>
      </c>
      <c r="I334" s="19">
        <f t="shared" si="111"/>
        <v>-2.1772203755187824</v>
      </c>
      <c r="J334" s="28">
        <f t="shared" si="112"/>
        <v>8.4367834156444336E-3</v>
      </c>
      <c r="K334" s="24">
        <f t="shared" si="113"/>
        <v>1050.3065381099634</v>
      </c>
      <c r="L334" s="32">
        <f t="shared" si="114"/>
        <v>0.55219635166229086</v>
      </c>
      <c r="M334" s="35">
        <f t="shared" si="115"/>
        <v>13.781923595468697</v>
      </c>
      <c r="O334" s="29">
        <f t="shared" si="116"/>
        <v>1046.5733517261515</v>
      </c>
      <c r="T334" s="48">
        <v>0.74333335648148147</v>
      </c>
      <c r="U334" s="29">
        <v>-1223.2721805530932</v>
      </c>
      <c r="V334" s="29">
        <v>4600.2705338560363</v>
      </c>
      <c r="W334" s="29">
        <v>4271.2628763368502</v>
      </c>
      <c r="X334" s="4">
        <v>-0.3182269739155279</v>
      </c>
      <c r="Y334" s="4">
        <v>-0.15494733608747185</v>
      </c>
      <c r="Z334" s="4">
        <v>-6.1356286194920714E-2</v>
      </c>
      <c r="AA334" s="3">
        <f t="shared" si="121"/>
        <v>0.3592237154527399</v>
      </c>
      <c r="AB334" s="3">
        <f t="shared" si="124"/>
        <v>7.3398711202723801E-2</v>
      </c>
      <c r="AC334" s="3">
        <f t="shared" si="122"/>
        <v>9.1572082482541145E-2</v>
      </c>
      <c r="AD334" s="48"/>
      <c r="AE334" s="46">
        <f t="shared" si="117"/>
        <v>42.092149465247488</v>
      </c>
      <c r="AF334" s="46">
        <f t="shared" si="118"/>
        <v>-248.53997386353399</v>
      </c>
      <c r="AG334" s="47">
        <f t="shared" si="119"/>
        <v>26941.374253757203</v>
      </c>
      <c r="AH334" s="45" t="str">
        <f t="shared" si="123"/>
        <v>-248.53997,42.09215,26941</v>
      </c>
      <c r="AI334" s="44">
        <f t="shared" si="125"/>
        <v>1021.300015761862</v>
      </c>
    </row>
    <row r="335" spans="1:35" ht="18" customHeight="1" x14ac:dyDescent="0.25">
      <c r="A335" s="36">
        <f t="shared" si="120"/>
        <v>0.7433448958333333</v>
      </c>
      <c r="B335" s="42">
        <f t="shared" si="105"/>
        <v>42.09214970012647</v>
      </c>
      <c r="C335" s="43">
        <f t="shared" si="106"/>
        <v>111.46002821211954</v>
      </c>
      <c r="D335" s="18">
        <f t="shared" si="107"/>
        <v>26.850454865310894</v>
      </c>
      <c r="E335" s="21" t="str">
        <f t="shared" si="108"/>
        <v>Umbra</v>
      </c>
      <c r="F335" s="23">
        <f>IF($E335&lt;&gt;"Umbra",fracil2($S$2,$S$3,$S$4,$A335,$Q$2,$O$3,$Q$4,$U335,$V335,$W335),0)</f>
        <v>0</v>
      </c>
      <c r="G335" s="19">
        <f t="shared" si="109"/>
        <v>69.297407187512007</v>
      </c>
      <c r="H335" s="19">
        <f t="shared" si="110"/>
        <v>-3.3901711166632764</v>
      </c>
      <c r="I335" s="19">
        <f t="shared" si="111"/>
        <v>-2.1821531672683809</v>
      </c>
      <c r="J335" s="28">
        <f t="shared" si="112"/>
        <v>8.4005785190906859E-3</v>
      </c>
      <c r="K335" s="24">
        <f t="shared" si="113"/>
        <v>1050.2970644309071</v>
      </c>
      <c r="L335" s="32">
        <f t="shared" si="114"/>
        <v>0.55221842132542276</v>
      </c>
      <c r="M335" s="35">
        <f t="shared" si="115"/>
        <v>13.778623529685179</v>
      </c>
      <c r="O335" s="29">
        <f t="shared" si="116"/>
        <v>1046.5735244904706</v>
      </c>
      <c r="T335" s="48">
        <v>0.7433448958333333</v>
      </c>
      <c r="U335" s="29">
        <v>-1223.5894472048251</v>
      </c>
      <c r="V335" s="29">
        <v>4600.116324358396</v>
      </c>
      <c r="W335" s="29">
        <v>4271.2019502436488</v>
      </c>
      <c r="X335" s="4">
        <v>-0.31833009263955681</v>
      </c>
      <c r="Y335" s="4">
        <v>-0.15445688520975151</v>
      </c>
      <c r="Z335" s="4">
        <v>-6.0885818345025232E-2</v>
      </c>
      <c r="AA335" s="3">
        <f t="shared" si="121"/>
        <v>0.35902375986019447</v>
      </c>
      <c r="AB335" s="3">
        <f t="shared" si="124"/>
        <v>7.217933653022085E-2</v>
      </c>
      <c r="AC335" s="3">
        <f t="shared" si="122"/>
        <v>9.0866415280249163E-2</v>
      </c>
      <c r="AD335" s="48"/>
      <c r="AE335" s="46">
        <f t="shared" si="117"/>
        <v>42.09214970012647</v>
      </c>
      <c r="AF335" s="46">
        <f t="shared" si="118"/>
        <v>-248.53997178788046</v>
      </c>
      <c r="AG335" s="47">
        <f t="shared" si="119"/>
        <v>26850.454865310894</v>
      </c>
      <c r="AH335" s="45" t="str">
        <f t="shared" si="123"/>
        <v>-248.53997,42.09215,26850</v>
      </c>
      <c r="AI335" s="44">
        <f t="shared" si="125"/>
        <v>1021.300205632458</v>
      </c>
    </row>
    <row r="336" spans="1:35" ht="18" customHeight="1" x14ac:dyDescent="0.25">
      <c r="A336" s="36">
        <f t="shared" si="120"/>
        <v>0.74335652777777783</v>
      </c>
      <c r="B336" s="42">
        <f t="shared" si="105"/>
        <v>42.092149908793644</v>
      </c>
      <c r="C336" s="43">
        <f t="shared" si="106"/>
        <v>111.46003378313821</v>
      </c>
      <c r="D336" s="18">
        <f t="shared" si="107"/>
        <v>26.759432732566893</v>
      </c>
      <c r="E336" s="21" t="str">
        <f t="shared" si="108"/>
        <v>Umbra</v>
      </c>
      <c r="F336" s="23">
        <f>IF($E336&lt;&gt;"Umbra",fracil2($S$2,$S$3,$S$4,$A336,$Q$2,$O$3,$Q$4,$U336,$V336,$W336),0)</f>
        <v>0</v>
      </c>
      <c r="G336" s="19">
        <f t="shared" si="109"/>
        <v>69.297427742135326</v>
      </c>
      <c r="H336" s="19">
        <f t="shared" si="110"/>
        <v>-3.395111190965292</v>
      </c>
      <c r="I336" s="19">
        <f t="shared" si="111"/>
        <v>-2.1870932415703965</v>
      </c>
      <c r="J336" s="28">
        <f t="shared" si="112"/>
        <v>8.3646676106818602E-3</v>
      </c>
      <c r="K336" s="24">
        <f t="shared" si="113"/>
        <v>1050.2878684144291</v>
      </c>
      <c r="L336" s="32">
        <f t="shared" si="114"/>
        <v>0.55224059202102993</v>
      </c>
      <c r="M336" s="35">
        <f t="shared" si="115"/>
        <v>13.775315753289458</v>
      </c>
      <c r="O336" s="29">
        <f t="shared" si="116"/>
        <v>1046.5739776377566</v>
      </c>
      <c r="T336" s="48">
        <v>0.74335652777777783</v>
      </c>
      <c r="U336" s="29">
        <v>-1223.9096428948624</v>
      </c>
      <c r="V336" s="29">
        <v>4599.9612326045371</v>
      </c>
      <c r="W336" s="29">
        <v>4271.1409531082281</v>
      </c>
      <c r="X336" s="4">
        <v>-0.3184335006034254</v>
      </c>
      <c r="Y336" s="4">
        <v>-0.15397099878946055</v>
      </c>
      <c r="Z336" s="4">
        <v>-6.0418642956352082E-2</v>
      </c>
      <c r="AA336" s="3">
        <f t="shared" si="121"/>
        <v>0.35882777929176962</v>
      </c>
      <c r="AB336" s="3">
        <f t="shared" si="124"/>
        <v>7.1068850750472867E-2</v>
      </c>
      <c r="AC336" s="3">
        <f t="shared" si="122"/>
        <v>9.0166029624032307E-2</v>
      </c>
      <c r="AD336" s="48"/>
      <c r="AE336" s="46">
        <f t="shared" si="117"/>
        <v>42.092149908793644</v>
      </c>
      <c r="AF336" s="46">
        <f t="shared" si="118"/>
        <v>-248.53996621686179</v>
      </c>
      <c r="AG336" s="47">
        <f t="shared" si="119"/>
        <v>26759.432732566893</v>
      </c>
      <c r="AH336" s="45" t="str">
        <f t="shared" si="123"/>
        <v>-248.53997,42.09215,26759</v>
      </c>
      <c r="AI336" s="44">
        <f t="shared" si="125"/>
        <v>1021.3006707185351</v>
      </c>
    </row>
    <row r="337" spans="1:35" ht="18" customHeight="1" x14ac:dyDescent="0.25">
      <c r="A337" s="36">
        <f t="shared" si="120"/>
        <v>0.74336822916666667</v>
      </c>
      <c r="B337" s="42">
        <f t="shared" si="105"/>
        <v>42.09215009282601</v>
      </c>
      <c r="C337" s="43">
        <f t="shared" si="106"/>
        <v>111.46003447806936</v>
      </c>
      <c r="D337" s="18">
        <f t="shared" si="107"/>
        <v>26.668673254342139</v>
      </c>
      <c r="E337" s="21" t="str">
        <f t="shared" si="108"/>
        <v>Umbra</v>
      </c>
      <c r="F337" s="23">
        <f>IF($E337&lt;&gt;"Umbra",fracil2($S$2,$S$3,$S$4,$A337,$Q$2,$O$3,$Q$4,$U337,$V337,$W337),0)</f>
        <v>0</v>
      </c>
      <c r="G337" s="19">
        <f t="shared" si="109"/>
        <v>69.297443433122083</v>
      </c>
      <c r="H337" s="19">
        <f t="shared" si="110"/>
        <v>-3.4000348352629071</v>
      </c>
      <c r="I337" s="19">
        <f t="shared" si="111"/>
        <v>-2.1920168858680116</v>
      </c>
      <c r="J337" s="28">
        <f t="shared" si="112"/>
        <v>8.3291925535216166E-3</v>
      </c>
      <c r="K337" s="24">
        <f t="shared" si="113"/>
        <v>1050.2783148080011</v>
      </c>
      <c r="L337" s="32">
        <f t="shared" si="114"/>
        <v>0.55226280627631863</v>
      </c>
      <c r="M337" s="35">
        <f t="shared" si="115"/>
        <v>13.772022464408352</v>
      </c>
      <c r="O337" s="29">
        <f t="shared" si="116"/>
        <v>1046.5740381157036</v>
      </c>
      <c r="T337" s="48">
        <v>0.74336822916666667</v>
      </c>
      <c r="U337" s="29">
        <v>-1224.2314940931278</v>
      </c>
      <c r="V337" s="29">
        <v>4599.8058773129014</v>
      </c>
      <c r="W337" s="29">
        <v>4271.0801299971581</v>
      </c>
      <c r="X337" s="4">
        <v>-0.31853668723368883</v>
      </c>
      <c r="Y337" s="4">
        <v>-0.15349152233961863</v>
      </c>
      <c r="Z337" s="4">
        <v>-5.9956601130103759E-2</v>
      </c>
      <c r="AA337" s="3">
        <f t="shared" si="121"/>
        <v>0.35863639324951518</v>
      </c>
      <c r="AB337" s="3">
        <f t="shared" si="124"/>
        <v>6.9839091047258259E-2</v>
      </c>
      <c r="AC337" s="3">
        <f t="shared" si="122"/>
        <v>8.9473654233830843E-2</v>
      </c>
      <c r="AD337" s="48"/>
      <c r="AE337" s="46">
        <f t="shared" si="117"/>
        <v>42.09215009282601</v>
      </c>
      <c r="AF337" s="46">
        <f t="shared" si="118"/>
        <v>-248.53996552193064</v>
      </c>
      <c r="AG337" s="47">
        <f t="shared" si="119"/>
        <v>26668.673254342139</v>
      </c>
      <c r="AH337" s="45" t="str">
        <f t="shared" si="123"/>
        <v>-248.53997,42.09215,26669</v>
      </c>
      <c r="AI337" s="44">
        <f t="shared" si="125"/>
        <v>1021.3006707185351</v>
      </c>
    </row>
    <row r="338" spans="1:35" ht="18" customHeight="1" x14ac:dyDescent="0.25">
      <c r="A338" s="36">
        <f t="shared" si="120"/>
        <v>0.74337973379629629</v>
      </c>
      <c r="B338" s="42">
        <f t="shared" si="105"/>
        <v>42.092150251409009</v>
      </c>
      <c r="C338" s="43">
        <f t="shared" si="106"/>
        <v>111.46003704216659</v>
      </c>
      <c r="D338" s="18">
        <f t="shared" si="107"/>
        <v>26.58007323073889</v>
      </c>
      <c r="E338" s="21" t="str">
        <f t="shared" si="108"/>
        <v>Umbra</v>
      </c>
      <c r="F338" s="23">
        <f>IF($E338&lt;&gt;"Umbra",fracil2($S$2,$S$3,$S$4,$A338,$Q$2,$O$3,$Q$4,$U338,$V338,$W338),0)</f>
        <v>0</v>
      </c>
      <c r="G338" s="19">
        <f t="shared" si="109"/>
        <v>69.297460796033491</v>
      </c>
      <c r="H338" s="19">
        <f t="shared" si="110"/>
        <v>-3.4048422884369023</v>
      </c>
      <c r="I338" s="19">
        <f t="shared" si="111"/>
        <v>-2.1968243390420072</v>
      </c>
      <c r="J338" s="28">
        <f t="shared" si="112"/>
        <v>8.2948750885218393E-3</v>
      </c>
      <c r="K338" s="24">
        <f t="shared" si="113"/>
        <v>1050.2691472900412</v>
      </c>
      <c r="L338" s="32">
        <f t="shared" si="114"/>
        <v>0.55228457176812762</v>
      </c>
      <c r="M338" s="35">
        <f t="shared" si="115"/>
        <v>13.768805295924048</v>
      </c>
      <c r="O338" s="29">
        <f t="shared" si="116"/>
        <v>1046.5742482440621</v>
      </c>
      <c r="T338" s="48">
        <v>0.74337973379629629</v>
      </c>
      <c r="U338" s="29">
        <v>-1224.5481898353983</v>
      </c>
      <c r="V338" s="29">
        <v>4599.6535280079079</v>
      </c>
      <c r="W338" s="29">
        <v>4271.0207523155659</v>
      </c>
      <c r="X338" s="4">
        <v>-0.31863740964215492</v>
      </c>
      <c r="Y338" s="4">
        <v>-0.15302818928338219</v>
      </c>
      <c r="Z338" s="4">
        <v>-5.9509170995955256E-2</v>
      </c>
      <c r="AA338" s="3">
        <f t="shared" si="121"/>
        <v>0.35845329817347049</v>
      </c>
      <c r="AB338" s="3">
        <f t="shared" si="124"/>
        <v>6.8758647758340896E-2</v>
      </c>
      <c r="AC338" s="3">
        <f t="shared" si="122"/>
        <v>8.8803452417712522E-2</v>
      </c>
      <c r="AD338" s="48"/>
      <c r="AE338" s="46">
        <f t="shared" si="117"/>
        <v>42.092150251409009</v>
      </c>
      <c r="AF338" s="46">
        <f t="shared" si="118"/>
        <v>-248.53996295783341</v>
      </c>
      <c r="AG338" s="47">
        <f t="shared" si="119"/>
        <v>26580.07323073889</v>
      </c>
      <c r="AH338" s="45" t="str">
        <f t="shared" si="123"/>
        <v>-248.53996,42.09215,26580</v>
      </c>
      <c r="AI338" s="44">
        <f t="shared" si="125"/>
        <v>1021.3008830003151</v>
      </c>
    </row>
    <row r="339" spans="1:35" ht="18" customHeight="1" x14ac:dyDescent="0.25">
      <c r="A339" s="36">
        <f t="shared" si="120"/>
        <v>0.74339119212962956</v>
      </c>
      <c r="B339" s="42">
        <f t="shared" si="105"/>
        <v>42.092150389608818</v>
      </c>
      <c r="C339" s="43">
        <f t="shared" si="106"/>
        <v>111.46004093330818</v>
      </c>
      <c r="D339" s="18">
        <f t="shared" si="107"/>
        <v>26.492455532535132</v>
      </c>
      <c r="E339" s="21" t="str">
        <f t="shared" si="108"/>
        <v>Umbra</v>
      </c>
      <c r="F339" s="23">
        <f>IF($E339&lt;&gt;"Umbra",fracil2($S$2,$S$3,$S$4,$A339,$Q$2,$O$3,$Q$4,$U339,$V339,$W339),0)</f>
        <v>0</v>
      </c>
      <c r="G339" s="19">
        <f t="shared" si="109"/>
        <v>69.29747945737796</v>
      </c>
      <c r="H339" s="19">
        <f t="shared" si="110"/>
        <v>-3.4095971483606422</v>
      </c>
      <c r="I339" s="19">
        <f t="shared" si="111"/>
        <v>-2.2015791989657467</v>
      </c>
      <c r="J339" s="28">
        <f t="shared" si="112"/>
        <v>8.2612391111554495E-3</v>
      </c>
      <c r="K339" s="24">
        <f t="shared" si="113"/>
        <v>1050.2601973488936</v>
      </c>
      <c r="L339" s="32">
        <f t="shared" si="114"/>
        <v>0.55230617585682473</v>
      </c>
      <c r="M339" s="35">
        <f t="shared" si="115"/>
        <v>13.76562214049989</v>
      </c>
      <c r="O339" s="29">
        <f t="shared" si="116"/>
        <v>1046.574564561216</v>
      </c>
      <c r="T339" s="48">
        <v>0.74339119212962956</v>
      </c>
      <c r="U339" s="29">
        <v>-1224.8638228219681</v>
      </c>
      <c r="V339" s="29">
        <v>4599.5021917411441</v>
      </c>
      <c r="W339" s="29">
        <v>4270.9620314237682</v>
      </c>
      <c r="X339" s="4">
        <v>-0.31873693147600002</v>
      </c>
      <c r="Y339" s="4">
        <v>-0.15257451520423987</v>
      </c>
      <c r="Z339" s="4">
        <v>-5.9070192598733355E-2</v>
      </c>
      <c r="AA339" s="3">
        <f t="shared" si="121"/>
        <v>0.35827573435860349</v>
      </c>
      <c r="AB339" s="3">
        <f t="shared" si="124"/>
        <v>6.7706882961951334E-2</v>
      </c>
      <c r="AC339" s="3">
        <f t="shared" si="122"/>
        <v>8.8146158060334531E-2</v>
      </c>
      <c r="AD339" s="48"/>
      <c r="AE339" s="46">
        <f t="shared" si="117"/>
        <v>42.092150389608818</v>
      </c>
      <c r="AF339" s="46">
        <f t="shared" si="118"/>
        <v>-248.53995906669184</v>
      </c>
      <c r="AG339" s="47">
        <f t="shared" si="119"/>
        <v>26492.455532535132</v>
      </c>
      <c r="AH339" s="45" t="str">
        <f t="shared" si="123"/>
        <v>-248.53996,42.09215,26492</v>
      </c>
      <c r="AI339" s="44">
        <f t="shared" si="125"/>
        <v>1021.3012118658339</v>
      </c>
    </row>
    <row r="340" spans="1:35" ht="18" customHeight="1" x14ac:dyDescent="0.25">
      <c r="A340" s="36">
        <f t="shared" si="120"/>
        <v>0.74340304398148149</v>
      </c>
      <c r="B340" s="42">
        <f t="shared" si="105"/>
        <v>42.092150513866628</v>
      </c>
      <c r="C340" s="43">
        <f t="shared" si="106"/>
        <v>111.460040647055</v>
      </c>
      <c r="D340" s="18">
        <f t="shared" si="107"/>
        <v>26.402595571905294</v>
      </c>
      <c r="E340" s="21" t="str">
        <f t="shared" si="108"/>
        <v>Umbra</v>
      </c>
      <c r="F340" s="23">
        <f>IF($E340&lt;&gt;"Umbra",fracil2($S$2,$S$3,$S$4,$A340,$Q$2,$O$3,$Q$4,$U340,$V340,$W340),0)</f>
        <v>0</v>
      </c>
      <c r="G340" s="19">
        <f t="shared" si="109"/>
        <v>69.297494346582042</v>
      </c>
      <c r="H340" s="19">
        <f t="shared" si="110"/>
        <v>-3.4144717917582188</v>
      </c>
      <c r="I340" s="19">
        <f t="shared" si="111"/>
        <v>-2.2064538423633238</v>
      </c>
      <c r="J340" s="28">
        <f t="shared" si="112"/>
        <v>8.2270512159794643E-3</v>
      </c>
      <c r="K340" s="24">
        <f t="shared" si="113"/>
        <v>1050.2506810922523</v>
      </c>
      <c r="L340" s="32">
        <f t="shared" si="114"/>
        <v>0.55232843716766344</v>
      </c>
      <c r="M340" s="35">
        <f t="shared" si="115"/>
        <v>13.762361872646501</v>
      </c>
      <c r="O340" s="29">
        <f t="shared" si="116"/>
        <v>1046.5745446536287</v>
      </c>
      <c r="T340" s="48">
        <v>0.74340304398148149</v>
      </c>
      <c r="U340" s="29">
        <v>-1225.1900802180244</v>
      </c>
      <c r="V340" s="29">
        <v>4599.3462787448861</v>
      </c>
      <c r="W340" s="29">
        <v>4270.9018063332305</v>
      </c>
      <c r="X340" s="4">
        <v>-0.31883884227433495</v>
      </c>
      <c r="Y340" s="4">
        <v>-0.15211382279238786</v>
      </c>
      <c r="Z340" s="4">
        <v>-5.862355936996802E-2</v>
      </c>
      <c r="AA340" s="3">
        <f t="shared" si="121"/>
        <v>0.3580971155155489</v>
      </c>
      <c r="AB340" s="3">
        <f t="shared" si="124"/>
        <v>6.657691284561422E-2</v>
      </c>
      <c r="AC340" s="3">
        <f t="shared" si="122"/>
        <v>8.7477636375989321E-2</v>
      </c>
      <c r="AD340" s="48"/>
      <c r="AE340" s="46">
        <f t="shared" si="117"/>
        <v>42.092150513866628</v>
      </c>
      <c r="AF340" s="46">
        <f t="shared" si="118"/>
        <v>-248.539959352945</v>
      </c>
      <c r="AG340" s="47">
        <f t="shared" si="119"/>
        <v>26402.595571905294</v>
      </c>
      <c r="AH340" s="45" t="str">
        <f t="shared" si="123"/>
        <v>-248.53996,42.09215,26403</v>
      </c>
      <c r="AI340" s="44">
        <f t="shared" si="125"/>
        <v>1021.3012118658339</v>
      </c>
    </row>
    <row r="341" spans="1:35" ht="18" customHeight="1" x14ac:dyDescent="0.25">
      <c r="A341" s="36">
        <f t="shared" si="120"/>
        <v>0.7434146064814815</v>
      </c>
      <c r="B341" s="42">
        <f t="shared" si="105"/>
        <v>42.092150618966961</v>
      </c>
      <c r="C341" s="43">
        <f t="shared" si="106"/>
        <v>111.46004398704849</v>
      </c>
      <c r="D341" s="18">
        <f t="shared" si="107"/>
        <v>26.315505948624377</v>
      </c>
      <c r="E341" s="21" t="str">
        <f t="shared" si="108"/>
        <v>Umbra</v>
      </c>
      <c r="F341" s="23">
        <f>IF($E341&lt;&gt;"Umbra",fracil2($S$2,$S$3,$S$4,$A341,$Q$2,$O$3,$Q$4,$U341,$V341,$W341),0)</f>
        <v>0</v>
      </c>
      <c r="G341" s="19">
        <f t="shared" si="109"/>
        <v>69.297512550777029</v>
      </c>
      <c r="H341" s="19">
        <f t="shared" si="110"/>
        <v>-3.4191979086833446</v>
      </c>
      <c r="I341" s="19">
        <f t="shared" si="111"/>
        <v>-2.2111799592884491</v>
      </c>
      <c r="J341" s="28">
        <f t="shared" si="112"/>
        <v>8.1942095112913591E-3</v>
      </c>
      <c r="K341" s="24">
        <f t="shared" si="113"/>
        <v>1050.2417563326144</v>
      </c>
      <c r="L341" s="32">
        <f t="shared" si="114"/>
        <v>0.55235008474551417</v>
      </c>
      <c r="M341" s="35">
        <f t="shared" si="115"/>
        <v>13.759198063915605</v>
      </c>
      <c r="O341" s="29">
        <f t="shared" si="116"/>
        <v>1046.5748158287697</v>
      </c>
      <c r="T341" s="48">
        <v>0.7434146064814815</v>
      </c>
      <c r="U341" s="29">
        <v>-1225.5087574691643</v>
      </c>
      <c r="V341" s="29">
        <v>4599.1944871023188</v>
      </c>
      <c r="W341" s="29">
        <v>4270.8434366831107</v>
      </c>
      <c r="X341" s="4">
        <v>-0.31893739543809874</v>
      </c>
      <c r="Y341" s="4">
        <v>-0.1516716962957631</v>
      </c>
      <c r="Z341" s="4">
        <v>-5.8194127182605387E-2</v>
      </c>
      <c r="AA341" s="3">
        <f t="shared" si="121"/>
        <v>0.35792725811904519</v>
      </c>
      <c r="AB341" s="3">
        <f t="shared" si="124"/>
        <v>6.5593605892437304E-2</v>
      </c>
      <c r="AC341" s="3">
        <f t="shared" si="122"/>
        <v>8.6835068687507108E-2</v>
      </c>
      <c r="AD341" s="48"/>
      <c r="AE341" s="46">
        <f t="shared" si="117"/>
        <v>42.092150618966961</v>
      </c>
      <c r="AF341" s="46">
        <f t="shared" si="118"/>
        <v>-248.53995601295151</v>
      </c>
      <c r="AG341" s="47">
        <f t="shared" si="119"/>
        <v>26315.505948624377</v>
      </c>
      <c r="AH341" s="45" t="str">
        <f t="shared" si="123"/>
        <v>-248.53996,42.09215,26316</v>
      </c>
      <c r="AI341" s="44">
        <f t="shared" si="125"/>
        <v>1021.3014803834054</v>
      </c>
    </row>
    <row r="342" spans="1:35" ht="18" customHeight="1" x14ac:dyDescent="0.25">
      <c r="A342" s="36">
        <f t="shared" si="120"/>
        <v>0.74342614583333333</v>
      </c>
      <c r="B342" s="42">
        <f t="shared" si="105"/>
        <v>42.092150709596588</v>
      </c>
      <c r="C342" s="43">
        <f t="shared" si="106"/>
        <v>111.46004670167146</v>
      </c>
      <c r="D342" s="18">
        <f t="shared" si="107"/>
        <v>26.229236516103811</v>
      </c>
      <c r="E342" s="21" t="str">
        <f t="shared" si="108"/>
        <v>Umbra</v>
      </c>
      <c r="F342" s="23">
        <f>IF($E342&lt;&gt;"Umbra",fracil2($S$2,$S$3,$S$4,$A342,$Q$2,$O$3,$Q$4,$U342,$V342,$W342),0)</f>
        <v>0</v>
      </c>
      <c r="G342" s="19">
        <f t="shared" si="109"/>
        <v>69.297530059411358</v>
      </c>
      <c r="H342" s="19">
        <f t="shared" si="110"/>
        <v>-3.4238793182906111</v>
      </c>
      <c r="I342" s="19">
        <f t="shared" si="111"/>
        <v>-2.2158613688957161</v>
      </c>
      <c r="J342" s="28">
        <f t="shared" si="112"/>
        <v>8.1619585056728478E-3</v>
      </c>
      <c r="K342" s="24">
        <f t="shared" si="113"/>
        <v>1050.2328745114526</v>
      </c>
      <c r="L342" s="32">
        <f t="shared" si="114"/>
        <v>0.55237161477553343</v>
      </c>
      <c r="M342" s="35">
        <f t="shared" si="115"/>
        <v>13.756064499269268</v>
      </c>
      <c r="O342" s="29">
        <f t="shared" si="116"/>
        <v>1046.5750363601514</v>
      </c>
      <c r="T342" s="48">
        <v>0.74342614583333333</v>
      </c>
      <c r="U342" s="29">
        <v>-1225.8268551988331</v>
      </c>
      <c r="V342" s="29">
        <v>4599.0434547476452</v>
      </c>
      <c r="W342" s="29">
        <v>4270.7856156294347</v>
      </c>
      <c r="X342" s="4">
        <v>-0.31903475463342701</v>
      </c>
      <c r="Y342" s="4">
        <v>-0.1512378994445033</v>
      </c>
      <c r="Z342" s="4">
        <v>-5.7772043485908496E-2</v>
      </c>
      <c r="AA342" s="3">
        <f t="shared" si="121"/>
        <v>0.35776205206943673</v>
      </c>
      <c r="AB342" s="3">
        <f t="shared" si="124"/>
        <v>6.4581659290910157E-2</v>
      </c>
      <c r="AC342" s="3">
        <f t="shared" si="122"/>
        <v>8.6203680799754642E-2</v>
      </c>
      <c r="AD342" s="48"/>
      <c r="AE342" s="46">
        <f t="shared" si="117"/>
        <v>42.092150709596588</v>
      </c>
      <c r="AF342" s="46">
        <f t="shared" si="118"/>
        <v>-248.53995329832856</v>
      </c>
      <c r="AG342" s="47">
        <f t="shared" si="119"/>
        <v>26229.236516103811</v>
      </c>
      <c r="AH342" s="45" t="str">
        <f t="shared" si="123"/>
        <v>-248.53995,42.09215,26229</v>
      </c>
      <c r="AI342" s="44">
        <f t="shared" si="125"/>
        <v>1021.301712926444</v>
      </c>
    </row>
    <row r="343" spans="1:35" ht="18" customHeight="1" x14ac:dyDescent="0.25">
      <c r="A343" s="36">
        <f t="shared" si="120"/>
        <v>0.74343755787037036</v>
      </c>
      <c r="B343" s="42">
        <f t="shared" si="105"/>
        <v>42.092150786731182</v>
      </c>
      <c r="C343" s="43">
        <f t="shared" si="106"/>
        <v>111.46004839737456</v>
      </c>
      <c r="D343" s="18">
        <f t="shared" si="107"/>
        <v>26.144551760503418</v>
      </c>
      <c r="E343" s="21" t="str">
        <f t="shared" si="108"/>
        <v>Umbra</v>
      </c>
      <c r="F343" s="23">
        <f>IF($E343&lt;&gt;"Umbra",fracil2($S$2,$S$3,$S$4,$A343,$Q$2,$O$3,$Q$4,$U343,$V343,$W343),0)</f>
        <v>0</v>
      </c>
      <c r="G343" s="19">
        <f t="shared" si="109"/>
        <v>69.297546330605783</v>
      </c>
      <c r="H343" s="19">
        <f t="shared" si="110"/>
        <v>-3.4284743625507628</v>
      </c>
      <c r="I343" s="19">
        <f t="shared" si="111"/>
        <v>-2.2204564131558673</v>
      </c>
      <c r="J343" s="28">
        <f t="shared" si="112"/>
        <v>8.1305696722659328E-3</v>
      </c>
      <c r="K343" s="24">
        <f t="shared" si="113"/>
        <v>1050.2240843410875</v>
      </c>
      <c r="L343" s="32">
        <f t="shared" si="114"/>
        <v>0.55239283492847557</v>
      </c>
      <c r="M343" s="35">
        <f t="shared" si="115"/>
        <v>13.752989353099556</v>
      </c>
      <c r="O343" s="29">
        <f t="shared" si="116"/>
        <v>1046.575174629538</v>
      </c>
      <c r="T343" s="48">
        <v>0.74343755787037036</v>
      </c>
      <c r="U343" s="29">
        <v>-1226.1414699345389</v>
      </c>
      <c r="V343" s="29">
        <v>4598.8945430073181</v>
      </c>
      <c r="W343" s="29">
        <v>4270.7288557071661</v>
      </c>
      <c r="X343" s="4">
        <v>-0.31913001697102128</v>
      </c>
      <c r="Y343" s="4">
        <v>-0.1508160479273544</v>
      </c>
      <c r="Z343" s="4">
        <v>-5.7360892929635622E-2</v>
      </c>
      <c r="AA343" s="3">
        <f t="shared" si="121"/>
        <v>0.35760274059637115</v>
      </c>
      <c r="AB343" s="3">
        <f t="shared" si="124"/>
        <v>6.3593778683752197E-2</v>
      </c>
      <c r="AC343" s="3">
        <f t="shared" si="122"/>
        <v>8.5588810614295047E-2</v>
      </c>
      <c r="AD343" s="48"/>
      <c r="AE343" s="46">
        <f t="shared" si="117"/>
        <v>42.092150786731182</v>
      </c>
      <c r="AF343" s="46">
        <f t="shared" si="118"/>
        <v>-248.53995160262542</v>
      </c>
      <c r="AG343" s="47">
        <f t="shared" si="119"/>
        <v>26144.551760503418</v>
      </c>
      <c r="AH343" s="45" t="str">
        <f t="shared" si="123"/>
        <v>-248.53995,42.09215,26145</v>
      </c>
      <c r="AI343" s="44">
        <f t="shared" si="125"/>
        <v>1021.301847185229</v>
      </c>
    </row>
    <row r="344" spans="1:35" ht="18" customHeight="1" x14ac:dyDescent="0.25">
      <c r="A344" s="36">
        <f t="shared" si="120"/>
        <v>0.74344914351851854</v>
      </c>
      <c r="B344" s="42">
        <f t="shared" si="105"/>
        <v>42.092150853714493</v>
      </c>
      <c r="C344" s="43">
        <f t="shared" si="106"/>
        <v>111.46004844988914</v>
      </c>
      <c r="D344" s="18">
        <f t="shared" si="107"/>
        <v>26.059226324339761</v>
      </c>
      <c r="E344" s="21" t="str">
        <f t="shared" si="108"/>
        <v>Umbra</v>
      </c>
      <c r="F344" s="23">
        <f>IF($E344&lt;&gt;"Umbra",fracil2($S$2,$S$3,$S$4,$A344,$Q$2,$O$3,$Q$4,$U344,$V344,$W344),0)</f>
        <v>0</v>
      </c>
      <c r="G344" s="19">
        <f t="shared" si="109"/>
        <v>69.297561103246267</v>
      </c>
      <c r="H344" s="19">
        <f t="shared" si="110"/>
        <v>-3.4331034816865285</v>
      </c>
      <c r="I344" s="19">
        <f t="shared" si="111"/>
        <v>-2.225085532291633</v>
      </c>
      <c r="J344" s="28">
        <f t="shared" si="112"/>
        <v>8.0992106815670189E-3</v>
      </c>
      <c r="K344" s="24">
        <f t="shared" si="113"/>
        <v>1050.2151009052375</v>
      </c>
      <c r="L344" s="32">
        <f t="shared" si="114"/>
        <v>0.55241430452729889</v>
      </c>
      <c r="M344" s="35">
        <f t="shared" si="115"/>
        <v>13.74989253545874</v>
      </c>
      <c r="O344" s="29">
        <f t="shared" si="116"/>
        <v>1046.5751805273494</v>
      </c>
      <c r="T344" s="48">
        <v>0.74344914351851854</v>
      </c>
      <c r="U344" s="29">
        <v>-1226.4608455730388</v>
      </c>
      <c r="V344" s="29">
        <v>4598.7438448151761</v>
      </c>
      <c r="W344" s="29">
        <v>4270.6716654803986</v>
      </c>
      <c r="X344" s="4">
        <v>-0.31922564578998264</v>
      </c>
      <c r="Y344" s="4">
        <v>-0.15039492974977892</v>
      </c>
      <c r="Z344" s="4">
        <v>-5.6949792787347998E-2</v>
      </c>
      <c r="AA344" s="3">
        <f t="shared" si="121"/>
        <v>0.35744499817873276</v>
      </c>
      <c r="AB344" s="3">
        <f t="shared" si="124"/>
        <v>6.2617938449323368E-2</v>
      </c>
      <c r="AC344" s="3">
        <f t="shared" si="122"/>
        <v>8.497416507835473E-2</v>
      </c>
      <c r="AD344" s="48"/>
      <c r="AE344" s="46">
        <f t="shared" si="117"/>
        <v>42.092150853714493</v>
      </c>
      <c r="AF344" s="46">
        <f t="shared" si="118"/>
        <v>-248.53995155011086</v>
      </c>
      <c r="AG344" s="47">
        <f t="shared" si="119"/>
        <v>26059.226324339761</v>
      </c>
      <c r="AH344" s="45" t="str">
        <f t="shared" si="123"/>
        <v>-248.53995,42.09215,26059</v>
      </c>
      <c r="AI344" s="44">
        <f t="shared" si="125"/>
        <v>1021.301847185229</v>
      </c>
    </row>
    <row r="345" spans="1:35" ht="18" customHeight="1" x14ac:dyDescent="0.25">
      <c r="A345" s="36">
        <f t="shared" si="120"/>
        <v>0.74346079861111114</v>
      </c>
      <c r="B345" s="42">
        <f t="shared" si="105"/>
        <v>42.092150910933626</v>
      </c>
      <c r="C345" s="43">
        <f t="shared" si="106"/>
        <v>111.4600521087968</v>
      </c>
      <c r="D345" s="18">
        <f t="shared" si="107"/>
        <v>25.973930917588405</v>
      </c>
      <c r="E345" s="21" t="str">
        <f t="shared" si="108"/>
        <v>Umbra</v>
      </c>
      <c r="F345" s="23">
        <f>IF($E345&lt;&gt;"Umbra",fracil2($S$2,$S$3,$S$4,$A345,$Q$2,$O$3,$Q$4,$U345,$V345,$W345),0)</f>
        <v>0</v>
      </c>
      <c r="G345" s="19">
        <f t="shared" si="109"/>
        <v>69.297579600268435</v>
      </c>
      <c r="H345" s="19">
        <f t="shared" si="110"/>
        <v>-3.4377327135003668</v>
      </c>
      <c r="I345" s="19">
        <f t="shared" si="111"/>
        <v>-2.2297147641054718</v>
      </c>
      <c r="J345" s="28">
        <f t="shared" si="112"/>
        <v>8.068126361125038E-3</v>
      </c>
      <c r="K345" s="24">
        <f t="shared" si="113"/>
        <v>1050.2064175902804</v>
      </c>
      <c r="L345" s="32">
        <f t="shared" si="114"/>
        <v>0.55243583669000096</v>
      </c>
      <c r="M345" s="35">
        <f t="shared" si="115"/>
        <v>13.746792800914639</v>
      </c>
      <c r="O345" s="29">
        <f t="shared" si="116"/>
        <v>1046.5754761465696</v>
      </c>
      <c r="T345" s="48">
        <v>0.74346079861111114</v>
      </c>
      <c r="U345" s="29">
        <v>-1226.7825131360896</v>
      </c>
      <c r="V345" s="29">
        <v>4598.5925327703999</v>
      </c>
      <c r="W345" s="29">
        <v>4270.6144945748511</v>
      </c>
      <c r="X345" s="4">
        <v>-0.31932084331908928</v>
      </c>
      <c r="Y345" s="4">
        <v>-0.14997784276433609</v>
      </c>
      <c r="Z345" s="4">
        <v>-5.6541986056639536E-2</v>
      </c>
      <c r="AA345" s="3">
        <f t="shared" si="121"/>
        <v>0.35729000893600077</v>
      </c>
      <c r="AB345" s="3">
        <f t="shared" si="124"/>
        <v>6.1732346022700536E-2</v>
      </c>
      <c r="AC345" s="3">
        <f t="shared" si="122"/>
        <v>8.4364580261560074E-2</v>
      </c>
      <c r="AD345" s="48"/>
      <c r="AE345" s="46">
        <f t="shared" si="117"/>
        <v>42.092150910933626</v>
      </c>
      <c r="AF345" s="46">
        <f t="shared" si="118"/>
        <v>-248.53994789120321</v>
      </c>
      <c r="AG345" s="47">
        <f t="shared" si="119"/>
        <v>25973.930917588405</v>
      </c>
      <c r="AH345" s="45" t="str">
        <f t="shared" si="123"/>
        <v>-248.53995,42.09215,25974</v>
      </c>
      <c r="AI345" s="44">
        <f t="shared" si="125"/>
        <v>1021.3021473970003</v>
      </c>
    </row>
    <row r="346" spans="1:35" ht="18" customHeight="1" x14ac:dyDescent="0.25">
      <c r="A346" s="36">
        <f t="shared" si="120"/>
        <v>0.74347237268518518</v>
      </c>
      <c r="B346" s="42">
        <f t="shared" si="105"/>
        <v>42.092150958692599</v>
      </c>
      <c r="C346" s="43">
        <f t="shared" si="106"/>
        <v>111.46005114961184</v>
      </c>
      <c r="D346" s="18">
        <f t="shared" si="107"/>
        <v>25.889922240647138</v>
      </c>
      <c r="E346" s="21" t="str">
        <f t="shared" si="108"/>
        <v>Umbra</v>
      </c>
      <c r="F346" s="23">
        <f>IF($E346&lt;&gt;"Umbra",fracil2($S$2,$S$3,$S$4,$A346,$Q$2,$O$3,$Q$4,$U346,$V346,$W346),0)</f>
        <v>0</v>
      </c>
      <c r="G346" s="19">
        <f t="shared" si="109"/>
        <v>69.297593224703874</v>
      </c>
      <c r="H346" s="19">
        <f t="shared" si="110"/>
        <v>-3.4422900799589469</v>
      </c>
      <c r="I346" s="19">
        <f t="shared" si="111"/>
        <v>-2.2342721305640518</v>
      </c>
      <c r="J346" s="28">
        <f t="shared" si="112"/>
        <v>8.0377679812261484E-3</v>
      </c>
      <c r="K346" s="24">
        <f t="shared" si="113"/>
        <v>1050.1975043949271</v>
      </c>
      <c r="L346" s="32">
        <f t="shared" si="114"/>
        <v>0.55245714328171125</v>
      </c>
      <c r="M346" s="35">
        <f t="shared" si="115"/>
        <v>13.743744526867783</v>
      </c>
      <c r="O346" s="29">
        <f t="shared" si="116"/>
        <v>1046.5754002196081</v>
      </c>
      <c r="T346" s="48">
        <v>0.74347237268518518</v>
      </c>
      <c r="U346" s="29">
        <v>-1227.1016935465336</v>
      </c>
      <c r="V346" s="29">
        <v>4598.4428468034539</v>
      </c>
      <c r="W346" s="29">
        <v>4270.5581854133734</v>
      </c>
      <c r="X346" s="4">
        <v>-0.31941417984265669</v>
      </c>
      <c r="Y346" s="4">
        <v>-0.1495707858102216</v>
      </c>
      <c r="Z346" s="4">
        <v>-5.6143381209018454E-2</v>
      </c>
      <c r="AA346" s="3">
        <f t="shared" si="121"/>
        <v>0.35713991306772946</v>
      </c>
      <c r="AB346" s="3">
        <f t="shared" si="124"/>
        <v>6.074935675845005E-2</v>
      </c>
      <c r="AC346" s="3">
        <f t="shared" si="122"/>
        <v>8.3768872069188524E-2</v>
      </c>
      <c r="AD346" s="48"/>
      <c r="AE346" s="46">
        <f t="shared" si="117"/>
        <v>42.092150958692599</v>
      </c>
      <c r="AF346" s="46">
        <f t="shared" si="118"/>
        <v>-248.53994885038816</v>
      </c>
      <c r="AG346" s="47">
        <f t="shared" si="119"/>
        <v>25889.922240647138</v>
      </c>
      <c r="AH346" s="45" t="str">
        <f t="shared" si="123"/>
        <v>-248.53995,42.09215,25890</v>
      </c>
      <c r="AI346" s="44">
        <f t="shared" si="125"/>
        <v>1021.3021473970003</v>
      </c>
    </row>
    <row r="347" spans="1:35" ht="18" customHeight="1" x14ac:dyDescent="0.25">
      <c r="A347" s="36">
        <f t="shared" si="120"/>
        <v>0.74348385416666662</v>
      </c>
      <c r="B347" s="42">
        <f t="shared" si="105"/>
        <v>42.092150998234267</v>
      </c>
      <c r="C347" s="43">
        <f t="shared" si="106"/>
        <v>111.4600528966747</v>
      </c>
      <c r="D347" s="18">
        <f t="shared" si="107"/>
        <v>25.807114552901112</v>
      </c>
      <c r="E347" s="21" t="str">
        <f t="shared" si="108"/>
        <v>Umbra</v>
      </c>
      <c r="F347" s="23">
        <f>IF($E347&lt;&gt;"Umbra",fracil2($S$2,$S$3,$S$4,$A347,$Q$2,$O$3,$Q$4,$U347,$V347,$W347),0)</f>
        <v>0</v>
      </c>
      <c r="G347" s="19">
        <f t="shared" si="109"/>
        <v>69.297609440493005</v>
      </c>
      <c r="H347" s="19">
        <f t="shared" si="110"/>
        <v>-3.446783609401415</v>
      </c>
      <c r="I347" s="19">
        <f t="shared" si="111"/>
        <v>-2.2387656600065196</v>
      </c>
      <c r="J347" s="28">
        <f t="shared" si="112"/>
        <v>8.0080885084945798E-3</v>
      </c>
      <c r="K347" s="24">
        <f t="shared" si="113"/>
        <v>1050.1889417122291</v>
      </c>
      <c r="L347" s="32">
        <f t="shared" si="114"/>
        <v>0.55247821563734056</v>
      </c>
      <c r="M347" s="35">
        <f t="shared" si="115"/>
        <v>13.740736813672211</v>
      </c>
      <c r="O347" s="29">
        <f t="shared" si="116"/>
        <v>1046.5755416781547</v>
      </c>
      <c r="T347" s="48">
        <v>0.74348385416666662</v>
      </c>
      <c r="U347" s="29">
        <v>-1227.4186233420355</v>
      </c>
      <c r="V347" s="29">
        <v>4598.2946584641913</v>
      </c>
      <c r="W347" s="29">
        <v>4270.5026806247824</v>
      </c>
      <c r="X347" s="4">
        <v>-0.31950573573122121</v>
      </c>
      <c r="Y347" s="4">
        <v>-0.14917313268231849</v>
      </c>
      <c r="Z347" s="4">
        <v>-5.5753416860434966E-2</v>
      </c>
      <c r="AA347" s="3">
        <f t="shared" si="121"/>
        <v>0.35699437274419182</v>
      </c>
      <c r="AB347" s="3">
        <f t="shared" si="124"/>
        <v>5.9900723267461951E-2</v>
      </c>
      <c r="AC347" s="3">
        <f t="shared" si="122"/>
        <v>8.3186184668768495E-2</v>
      </c>
      <c r="AD347" s="48"/>
      <c r="AE347" s="46">
        <f t="shared" si="117"/>
        <v>42.092150998234267</v>
      </c>
      <c r="AF347" s="46">
        <f t="shared" si="118"/>
        <v>-248.53994710332529</v>
      </c>
      <c r="AG347" s="47">
        <f t="shared" si="119"/>
        <v>25807.114552901112</v>
      </c>
      <c r="AH347" s="45" t="str">
        <f t="shared" si="123"/>
        <v>-248.53995,42.09215,25807</v>
      </c>
      <c r="AI347" s="44">
        <f t="shared" si="125"/>
        <v>1021.3022816557854</v>
      </c>
    </row>
    <row r="348" spans="1:35" ht="18" customHeight="1" x14ac:dyDescent="0.25">
      <c r="A348" s="36">
        <f t="shared" si="120"/>
        <v>0.7434954050925926</v>
      </c>
      <c r="B348" s="42">
        <f t="shared" si="105"/>
        <v>42.092151031009756</v>
      </c>
      <c r="C348" s="43">
        <f t="shared" si="106"/>
        <v>111.46005569346228</v>
      </c>
      <c r="D348" s="18">
        <f t="shared" si="107"/>
        <v>25.724363378635644</v>
      </c>
      <c r="E348" s="21" t="str">
        <f t="shared" si="108"/>
        <v>Umbra</v>
      </c>
      <c r="F348" s="23">
        <f>IF($E348&lt;&gt;"Umbra",fracil2($S$2,$S$3,$S$4,$A348,$Q$2,$O$3,$Q$4,$U348,$V348,$W348),0)</f>
        <v>0</v>
      </c>
      <c r="G348" s="19">
        <f t="shared" si="109"/>
        <v>69.297626755450779</v>
      </c>
      <c r="H348" s="19">
        <f t="shared" si="110"/>
        <v>-3.4512746281055149</v>
      </c>
      <c r="I348" s="19">
        <f t="shared" si="111"/>
        <v>-2.2432566787106198</v>
      </c>
      <c r="J348" s="28">
        <f t="shared" si="112"/>
        <v>7.9786700877096019E-3</v>
      </c>
      <c r="K348" s="24">
        <f t="shared" si="113"/>
        <v>1050.1804757626626</v>
      </c>
      <c r="L348" s="32">
        <f t="shared" si="114"/>
        <v>0.55249934996755212</v>
      </c>
      <c r="M348" s="35">
        <f t="shared" si="115"/>
        <v>13.737729888691815</v>
      </c>
      <c r="O348" s="29">
        <f t="shared" si="116"/>
        <v>1046.5757673687358</v>
      </c>
      <c r="T348" s="48">
        <v>0.7434954050925926</v>
      </c>
      <c r="U348" s="29">
        <v>-1227.7376451210091</v>
      </c>
      <c r="V348" s="29">
        <v>4598.1459296815065</v>
      </c>
      <c r="W348" s="29">
        <v>4270.4472131585489</v>
      </c>
      <c r="X348" s="4">
        <v>-0.31959675710850799</v>
      </c>
      <c r="Y348" s="4">
        <v>-0.1487792597609765</v>
      </c>
      <c r="Z348" s="4">
        <v>-5.5366613964701522E-2</v>
      </c>
      <c r="AA348" s="3">
        <f t="shared" si="121"/>
        <v>0.35685125364949333</v>
      </c>
      <c r="AB348" s="3">
        <f t="shared" si="124"/>
        <v>5.9047963758855293E-2</v>
      </c>
      <c r="AC348" s="3">
        <f t="shared" si="122"/>
        <v>8.2608318384812002E-2</v>
      </c>
      <c r="AD348" s="48"/>
      <c r="AE348" s="46">
        <f t="shared" si="117"/>
        <v>42.092151031009756</v>
      </c>
      <c r="AF348" s="46">
        <f t="shared" si="118"/>
        <v>-248.53994430653773</v>
      </c>
      <c r="AG348" s="47">
        <f t="shared" si="119"/>
        <v>25724.363378635644</v>
      </c>
      <c r="AH348" s="45" t="str">
        <f t="shared" si="123"/>
        <v>-248.53994,42.09215,25724</v>
      </c>
      <c r="AI348" s="44">
        <f t="shared" si="125"/>
        <v>1021.3025141988239</v>
      </c>
    </row>
    <row r="349" spans="1:35" ht="18" customHeight="1" x14ac:dyDescent="0.25">
      <c r="A349" s="36">
        <f t="shared" si="120"/>
        <v>0.74350700231481481</v>
      </c>
      <c r="B349" s="42">
        <f t="shared" si="105"/>
        <v>42.092151057626623</v>
      </c>
      <c r="C349" s="43">
        <f t="shared" si="106"/>
        <v>111.46005484680285</v>
      </c>
      <c r="D349" s="18">
        <f t="shared" si="107"/>
        <v>25.641927366650634</v>
      </c>
      <c r="E349" s="21" t="str">
        <f t="shared" si="108"/>
        <v>Umbra</v>
      </c>
      <c r="F349" s="23">
        <f>IF($E349&lt;&gt;"Umbra",fracil2($S$2,$S$3,$S$4,$A349,$Q$2,$O$3,$Q$4,$U349,$V349,$W349),0)</f>
        <v>0</v>
      </c>
      <c r="G349" s="19">
        <f t="shared" si="109"/>
        <v>69.297640342525753</v>
      </c>
      <c r="H349" s="19">
        <f t="shared" si="110"/>
        <v>-3.4557469420402951</v>
      </c>
      <c r="I349" s="19">
        <f t="shared" si="111"/>
        <v>-2.2477289926454</v>
      </c>
      <c r="J349" s="28">
        <f t="shared" si="112"/>
        <v>7.9496018172535189E-3</v>
      </c>
      <c r="K349" s="24">
        <f t="shared" si="113"/>
        <v>1050.1717558479866</v>
      </c>
      <c r="L349" s="32">
        <f t="shared" si="114"/>
        <v>0.55252049768729306</v>
      </c>
      <c r="M349" s="35">
        <f t="shared" si="115"/>
        <v>13.73473813786212</v>
      </c>
      <c r="O349" s="29">
        <f t="shared" si="116"/>
        <v>1046.5756999603602</v>
      </c>
      <c r="T349" s="48">
        <v>0.74350700231481481</v>
      </c>
      <c r="U349" s="29">
        <v>-1228.0577609922725</v>
      </c>
      <c r="V349" s="29">
        <v>4597.9971251038405</v>
      </c>
      <c r="W349" s="29">
        <v>4270.3919564437192</v>
      </c>
      <c r="X349" s="4">
        <v>-0.31968693671634463</v>
      </c>
      <c r="Y349" s="4">
        <v>-0.14839032868489535</v>
      </c>
      <c r="Z349" s="4">
        <v>-5.4984138002346798E-2</v>
      </c>
      <c r="AA349" s="3">
        <f t="shared" si="121"/>
        <v>0.35671092299809454</v>
      </c>
      <c r="AB349" s="3">
        <f t="shared" si="124"/>
        <v>5.8145397876146032E-2</v>
      </c>
      <c r="AC349" s="3">
        <f t="shared" si="122"/>
        <v>8.2037004265695726E-2</v>
      </c>
      <c r="AD349" s="48"/>
      <c r="AE349" s="46">
        <f t="shared" si="117"/>
        <v>42.092151057626623</v>
      </c>
      <c r="AF349" s="46">
        <f t="shared" si="118"/>
        <v>-248.53994515319715</v>
      </c>
      <c r="AG349" s="47">
        <f t="shared" si="119"/>
        <v>25641.927366650634</v>
      </c>
      <c r="AH349" s="45" t="str">
        <f t="shared" si="123"/>
        <v>-248.53995,42.09215,25642</v>
      </c>
      <c r="AI349" s="44">
        <f t="shared" si="125"/>
        <v>1021.3025141988239</v>
      </c>
    </row>
    <row r="350" spans="1:35" ht="18" customHeight="1" x14ac:dyDescent="0.25">
      <c r="A350" s="36">
        <f t="shared" si="120"/>
        <v>0.7435185300925925</v>
      </c>
      <c r="B350" s="42">
        <f t="shared" si="105"/>
        <v>42.092151078603784</v>
      </c>
      <c r="C350" s="43">
        <f t="shared" si="106"/>
        <v>111.46005760351972</v>
      </c>
      <c r="D350" s="18">
        <f t="shared" si="107"/>
        <v>25.560476847638711</v>
      </c>
      <c r="E350" s="21" t="str">
        <f t="shared" si="108"/>
        <v>Umbra</v>
      </c>
      <c r="F350" s="23">
        <f>IF($E350&lt;&gt;"Umbra",fracil2($S$2,$S$3,$S$4,$A350,$Q$2,$O$3,$Q$4,$U350,$V350,$W350),0)</f>
        <v>0</v>
      </c>
      <c r="G350" s="19">
        <f t="shared" si="109"/>
        <v>69.297657457054626</v>
      </c>
      <c r="H350" s="19">
        <f t="shared" si="110"/>
        <v>-3.4601675151521407</v>
      </c>
      <c r="I350" s="19">
        <f t="shared" si="111"/>
        <v>-2.2521495657572457</v>
      </c>
      <c r="J350" s="28">
        <f t="shared" si="112"/>
        <v>7.9211099317898579E-3</v>
      </c>
      <c r="K350" s="24">
        <f t="shared" si="113"/>
        <v>1050.1634356141892</v>
      </c>
      <c r="L350" s="32">
        <f t="shared" si="114"/>
        <v>0.55254145843298363</v>
      </c>
      <c r="M350" s="35">
        <f t="shared" si="115"/>
        <v>13.731778192367926</v>
      </c>
      <c r="O350" s="29">
        <f t="shared" si="116"/>
        <v>1046.5759221339988</v>
      </c>
      <c r="T350" s="48">
        <v>0.7435185300925925</v>
      </c>
      <c r="U350" s="29">
        <v>-1228.3763280200812</v>
      </c>
      <c r="V350" s="29">
        <v>4597.8494654190854</v>
      </c>
      <c r="W350" s="29">
        <v>4270.3373598626622</v>
      </c>
      <c r="X350" s="4">
        <v>-0.31977552935203574</v>
      </c>
      <c r="Y350" s="4">
        <v>-0.14800938034985037</v>
      </c>
      <c r="Z350" s="4">
        <v>-5.4609010751234394E-2</v>
      </c>
      <c r="AA350" s="3">
        <f t="shared" si="121"/>
        <v>0.35657441004529444</v>
      </c>
      <c r="AB350" s="3">
        <f t="shared" si="124"/>
        <v>5.7363745951267087E-2</v>
      </c>
      <c r="AC350" s="3">
        <f t="shared" si="122"/>
        <v>8.1476745408473217E-2</v>
      </c>
      <c r="AD350" s="48"/>
      <c r="AE350" s="46">
        <f t="shared" si="117"/>
        <v>42.092151078603784</v>
      </c>
      <c r="AF350" s="46">
        <f t="shared" si="118"/>
        <v>-248.53994239648028</v>
      </c>
      <c r="AG350" s="47">
        <f t="shared" si="119"/>
        <v>25560.476847638711</v>
      </c>
      <c r="AH350" s="45" t="str">
        <f t="shared" si="123"/>
        <v>-248.53994,42.09215,25560</v>
      </c>
      <c r="AI350" s="44">
        <f t="shared" si="125"/>
        <v>1021.3027467418625</v>
      </c>
    </row>
    <row r="351" spans="1:35" ht="18" customHeight="1" x14ac:dyDescent="0.25">
      <c r="A351" s="36">
        <f t="shared" si="120"/>
        <v>0.74353015046296289</v>
      </c>
      <c r="B351" s="42">
        <f t="shared" si="105"/>
        <v>42.092151094831777</v>
      </c>
      <c r="C351" s="43">
        <f t="shared" si="106"/>
        <v>111.46005685321938</v>
      </c>
      <c r="D351" s="18">
        <f t="shared" si="107"/>
        <v>25.479000483966047</v>
      </c>
      <c r="E351" s="21" t="str">
        <f t="shared" si="108"/>
        <v>Umbra</v>
      </c>
      <c r="F351" s="23">
        <f>IF($E351&lt;&gt;"Umbra",fracil2($S$2,$S$3,$S$4,$A351,$Q$2,$O$3,$Q$4,$U351,$V351,$W351),0)</f>
        <v>0</v>
      </c>
      <c r="G351" s="19">
        <f t="shared" si="109"/>
        <v>69.297671034633851</v>
      </c>
      <c r="H351" s="19">
        <f t="shared" si="110"/>
        <v>-3.4645879486052888</v>
      </c>
      <c r="I351" s="19">
        <f t="shared" si="111"/>
        <v>-2.2565699992103934</v>
      </c>
      <c r="J351" s="28">
        <f t="shared" si="112"/>
        <v>7.8928366377527398E-3</v>
      </c>
      <c r="K351" s="24">
        <f t="shared" si="113"/>
        <v>1050.154836461212</v>
      </c>
      <c r="L351" s="32">
        <f t="shared" si="114"/>
        <v>0.55256251825529656</v>
      </c>
      <c r="M351" s="35">
        <f t="shared" si="115"/>
        <v>13.728820903502623</v>
      </c>
      <c r="O351" s="29">
        <f t="shared" si="116"/>
        <v>1046.5758622133478</v>
      </c>
      <c r="T351" s="48">
        <v>0.74353015046296289</v>
      </c>
      <c r="U351" s="29">
        <v>-1228.6972759485689</v>
      </c>
      <c r="V351" s="29">
        <v>4597.70112395455</v>
      </c>
      <c r="W351" s="29">
        <v>4270.2827455642255</v>
      </c>
      <c r="X351" s="4">
        <v>-0.319863622272958</v>
      </c>
      <c r="Y351" s="4">
        <v>-0.1476315895262342</v>
      </c>
      <c r="Z351" s="4">
        <v>-5.4236506771139288E-2</v>
      </c>
      <c r="AA351" s="3">
        <f t="shared" si="121"/>
        <v>0.35643992726174201</v>
      </c>
      <c r="AB351" s="3">
        <f t="shared" si="124"/>
        <v>5.6501536828768774E-2</v>
      </c>
      <c r="AC351" s="3">
        <f t="shared" si="122"/>
        <v>8.0920475122048752E-2</v>
      </c>
      <c r="AD351" s="48"/>
      <c r="AE351" s="46">
        <f t="shared" si="117"/>
        <v>42.092151094831777</v>
      </c>
      <c r="AF351" s="46">
        <f t="shared" si="118"/>
        <v>-248.53994314678062</v>
      </c>
      <c r="AG351" s="47">
        <f t="shared" si="119"/>
        <v>25479.000483966047</v>
      </c>
      <c r="AH351" s="45" t="str">
        <f t="shared" si="123"/>
        <v>-248.53994,42.09215,25479</v>
      </c>
      <c r="AI351" s="44">
        <f t="shared" si="125"/>
        <v>1021.3027467418625</v>
      </c>
    </row>
    <row r="352" spans="1:35" ht="18" customHeight="1" x14ac:dyDescent="0.25">
      <c r="A352" s="36">
        <f t="shared" si="120"/>
        <v>0.7435417129629629</v>
      </c>
      <c r="B352" s="42">
        <f t="shared" si="105"/>
        <v>42.092151106686281</v>
      </c>
      <c r="C352" s="43">
        <f t="shared" si="106"/>
        <v>111.46006115810971</v>
      </c>
      <c r="D352" s="18">
        <f t="shared" si="107"/>
        <v>25.398382101164316</v>
      </c>
      <c r="E352" s="21" t="str">
        <f t="shared" si="108"/>
        <v>Umbra</v>
      </c>
      <c r="F352" s="23">
        <f>IF($E352&lt;&gt;"Umbra",fracil2($S$2,$S$3,$S$4,$A352,$Q$2,$O$3,$Q$4,$U352,$V352,$W352),0)</f>
        <v>0</v>
      </c>
      <c r="G352" s="19">
        <f t="shared" si="109"/>
        <v>69.297689632643511</v>
      </c>
      <c r="H352" s="19">
        <f t="shared" si="110"/>
        <v>-3.4689642206648625</v>
      </c>
      <c r="I352" s="19">
        <f t="shared" si="111"/>
        <v>-2.2609462712699671</v>
      </c>
      <c r="J352" s="28">
        <f t="shared" si="112"/>
        <v>7.8650802992259895E-3</v>
      </c>
      <c r="K352" s="24">
        <f t="shared" si="113"/>
        <v>1050.1467402510082</v>
      </c>
      <c r="L352" s="32">
        <f t="shared" si="114"/>
        <v>0.55258341605258465</v>
      </c>
      <c r="M352" s="35">
        <f t="shared" si="115"/>
        <v>13.725889259315808</v>
      </c>
      <c r="O352" s="29">
        <f t="shared" si="116"/>
        <v>1046.5762086369562</v>
      </c>
      <c r="T352" s="48">
        <v>0.7435417129629629</v>
      </c>
      <c r="U352" s="29">
        <v>-1229.0171025964341</v>
      </c>
      <c r="V352" s="29">
        <v>4597.5537152090355</v>
      </c>
      <c r="W352" s="29">
        <v>4270.2287060298322</v>
      </c>
      <c r="X352" s="4">
        <v>-0.31995024985428616</v>
      </c>
      <c r="Y352" s="4">
        <v>-0.14726096582767151</v>
      </c>
      <c r="Z352" s="4">
        <v>-5.3870602733666763E-2</v>
      </c>
      <c r="AA352" s="3">
        <f t="shared" si="121"/>
        <v>0.35630884956341924</v>
      </c>
      <c r="AB352" s="3">
        <f t="shared" si="124"/>
        <v>5.5771794492500908E-2</v>
      </c>
      <c r="AC352" s="3">
        <f t="shared" si="122"/>
        <v>8.0374123803471781E-2</v>
      </c>
      <c r="AD352" s="48"/>
      <c r="AE352" s="46">
        <f t="shared" si="117"/>
        <v>42.092151106686281</v>
      </c>
      <c r="AF352" s="46">
        <f t="shared" si="118"/>
        <v>-248.53993884189029</v>
      </c>
      <c r="AG352" s="47">
        <f t="shared" si="119"/>
        <v>25398.382101164316</v>
      </c>
      <c r="AH352" s="45" t="str">
        <f t="shared" si="123"/>
        <v>-248.53994,42.09215,25398</v>
      </c>
      <c r="AI352" s="44">
        <f t="shared" si="125"/>
        <v>1021.3031019572204</v>
      </c>
    </row>
    <row r="353" spans="1:35" ht="18" customHeight="1" x14ac:dyDescent="0.25">
      <c r="A353" s="36">
        <f t="shared" si="120"/>
        <v>0.74355340277777771</v>
      </c>
      <c r="B353" s="42">
        <f t="shared" si="105"/>
        <v>42.092151114813873</v>
      </c>
      <c r="C353" s="43">
        <f t="shared" si="106"/>
        <v>111.46006144267261</v>
      </c>
      <c r="D353" s="18">
        <f t="shared" si="107"/>
        <v>25.317504338991057</v>
      </c>
      <c r="E353" s="21" t="str">
        <f t="shared" si="108"/>
        <v>Umbra</v>
      </c>
      <c r="F353" s="23">
        <f>IF($E353&lt;&gt;"Umbra",fracil2($S$2,$S$3,$S$4,$A353,$Q$2,$O$3,$Q$4,$U353,$V353,$W353),0)</f>
        <v>0</v>
      </c>
      <c r="G353" s="19">
        <f t="shared" si="109"/>
        <v>69.297704206472105</v>
      </c>
      <c r="H353" s="19">
        <f t="shared" si="110"/>
        <v>-3.4733527893060239</v>
      </c>
      <c r="I353" s="19">
        <f t="shared" si="111"/>
        <v>-2.2653348399111284</v>
      </c>
      <c r="J353" s="28">
        <f t="shared" si="112"/>
        <v>7.8374543442566585E-3</v>
      </c>
      <c r="K353" s="24">
        <f t="shared" si="113"/>
        <v>1050.1382992697613</v>
      </c>
      <c r="L353" s="32">
        <f t="shared" si="114"/>
        <v>0.55260447521383793</v>
      </c>
      <c r="M353" s="35">
        <f t="shared" si="115"/>
        <v>13.722952343093207</v>
      </c>
      <c r="O353" s="29">
        <f t="shared" si="116"/>
        <v>1046.576231720037</v>
      </c>
      <c r="T353" s="48">
        <v>0.74355340277777771</v>
      </c>
      <c r="U353" s="29">
        <v>-1229.3402297691778</v>
      </c>
      <c r="V353" s="29">
        <v>4597.4051987603871</v>
      </c>
      <c r="W353" s="29">
        <v>4270.1744923185315</v>
      </c>
      <c r="X353" s="4">
        <v>-0.32003660200235001</v>
      </c>
      <c r="Y353" s="4">
        <v>-0.14689230202612144</v>
      </c>
      <c r="Z353" s="4">
        <v>-5.3506177301066098E-2</v>
      </c>
      <c r="AA353" s="3">
        <f t="shared" si="121"/>
        <v>0.35617928915802638</v>
      </c>
      <c r="AB353" s="3">
        <f t="shared" si="124"/>
        <v>5.4935694730597916E-2</v>
      </c>
      <c r="AC353" s="3">
        <f t="shared" si="122"/>
        <v>7.9830037386718566E-2</v>
      </c>
      <c r="AD353" s="48"/>
      <c r="AE353" s="46">
        <f t="shared" si="117"/>
        <v>42.092151114813873</v>
      </c>
      <c r="AF353" s="46">
        <f t="shared" si="118"/>
        <v>-248.53993855732739</v>
      </c>
      <c r="AG353" s="47">
        <f t="shared" si="119"/>
        <v>25317.504338991057</v>
      </c>
      <c r="AH353" s="45" t="str">
        <f t="shared" si="123"/>
        <v>-248.53994,42.09215,25318</v>
      </c>
      <c r="AI353" s="44">
        <f t="shared" si="125"/>
        <v>1021.3031968925184</v>
      </c>
    </row>
    <row r="354" spans="1:35" ht="18" customHeight="1" x14ac:dyDescent="0.25">
      <c r="A354" s="36">
        <f t="shared" si="120"/>
        <v>0.74356482638888888</v>
      </c>
      <c r="B354" s="42">
        <f t="shared" si="105"/>
        <v>42.092151119470856</v>
      </c>
      <c r="C354" s="43">
        <f t="shared" si="106"/>
        <v>111.46006006077123</v>
      </c>
      <c r="D354" s="18">
        <f t="shared" si="107"/>
        <v>25.239026320747143</v>
      </c>
      <c r="E354" s="21" t="str">
        <f t="shared" si="108"/>
        <v>Umbra</v>
      </c>
      <c r="F354" s="23">
        <f>IF($E354&lt;&gt;"Umbra",fracil2($S$2,$S$3,$S$4,$A354,$Q$2,$O$3,$Q$4,$U354,$V354,$W354),0)</f>
        <v>0</v>
      </c>
      <c r="G354" s="19">
        <f t="shared" si="109"/>
        <v>69.297716679567941</v>
      </c>
      <c r="H354" s="19">
        <f t="shared" si="110"/>
        <v>-3.477610450486996</v>
      </c>
      <c r="I354" s="19">
        <f t="shared" si="111"/>
        <v>-2.2695925010921005</v>
      </c>
      <c r="J354" s="28">
        <f t="shared" si="112"/>
        <v>7.8108558364350178E-3</v>
      </c>
      <c r="K354" s="24">
        <f t="shared" si="113"/>
        <v>1050.1299810713049</v>
      </c>
      <c r="L354" s="32">
        <f t="shared" si="114"/>
        <v>0.55262499189778691</v>
      </c>
      <c r="M354" s="35">
        <f t="shared" si="115"/>
        <v>13.720104208410918</v>
      </c>
      <c r="O354" s="29">
        <f t="shared" si="116"/>
        <v>1046.5761207271871</v>
      </c>
      <c r="T354" s="48">
        <v>0.74356482638888888</v>
      </c>
      <c r="U354" s="29">
        <v>-1229.6559577646738</v>
      </c>
      <c r="V354" s="29">
        <v>4597.260478335661</v>
      </c>
      <c r="W354" s="29">
        <v>4270.121886928302</v>
      </c>
      <c r="X354" s="4">
        <v>-0.32011984705482815</v>
      </c>
      <c r="Y354" s="4">
        <v>-0.14653756393990111</v>
      </c>
      <c r="Z354" s="4">
        <v>-5.3155089298607495E-2</v>
      </c>
      <c r="AA354" s="3">
        <f t="shared" si="121"/>
        <v>0.35605538563851286</v>
      </c>
      <c r="AB354" s="3">
        <f t="shared" si="124"/>
        <v>5.4153324684286866E-2</v>
      </c>
      <c r="AC354" s="3">
        <f t="shared" si="122"/>
        <v>7.9305913242385756E-2</v>
      </c>
      <c r="AD354" s="48"/>
      <c r="AE354" s="46">
        <f t="shared" si="117"/>
        <v>42.092151119470856</v>
      </c>
      <c r="AF354" s="46">
        <f t="shared" si="118"/>
        <v>-248.53993993922876</v>
      </c>
      <c r="AG354" s="47">
        <f t="shared" si="119"/>
        <v>25239.026320747143</v>
      </c>
      <c r="AH354" s="45" t="str">
        <f t="shared" si="123"/>
        <v>-248.53994,42.09215,25239</v>
      </c>
      <c r="AI354" s="44">
        <f t="shared" si="125"/>
        <v>1021.3033311513034</v>
      </c>
    </row>
    <row r="355" spans="1:35" ht="18" customHeight="1" x14ac:dyDescent="0.25">
      <c r="A355" s="36">
        <f t="shared" si="120"/>
        <v>0.74357642361111109</v>
      </c>
      <c r="B355" s="42">
        <f t="shared" si="105"/>
        <v>42.092151121285156</v>
      </c>
      <c r="C355" s="43">
        <f t="shared" si="106"/>
        <v>111.46006243017816</v>
      </c>
      <c r="D355" s="18">
        <f t="shared" si="107"/>
        <v>25.159809142256563</v>
      </c>
      <c r="E355" s="21" t="str">
        <f t="shared" si="108"/>
        <v>Umbra</v>
      </c>
      <c r="F355" s="23">
        <f>IF($E355&lt;&gt;"Umbra",fracil2($S$2,$S$3,$S$4,$A355,$Q$2,$O$3,$Q$4,$U355,$V355,$W355),0)</f>
        <v>0</v>
      </c>
      <c r="G355" s="19">
        <f t="shared" si="109"/>
        <v>69.297733119663647</v>
      </c>
      <c r="H355" s="19">
        <f t="shared" si="110"/>
        <v>-3.4819100055573089</v>
      </c>
      <c r="I355" s="19">
        <f t="shared" si="111"/>
        <v>-2.2738920561624134</v>
      </c>
      <c r="J355" s="28">
        <f t="shared" si="112"/>
        <v>7.7842106909549432E-3</v>
      </c>
      <c r="K355" s="24">
        <f t="shared" si="113"/>
        <v>1050.1218933875148</v>
      </c>
      <c r="L355" s="32">
        <f t="shared" si="114"/>
        <v>0.55264576432777224</v>
      </c>
      <c r="M355" s="35">
        <f t="shared" si="115"/>
        <v>13.717225127693803</v>
      </c>
      <c r="O355" s="29">
        <f t="shared" si="116"/>
        <v>1046.5763112805471</v>
      </c>
      <c r="T355" s="48">
        <v>0.74357642361111109</v>
      </c>
      <c r="U355" s="29">
        <v>-1229.9768589752196</v>
      </c>
      <c r="V355" s="29">
        <v>4597.1137807167242</v>
      </c>
      <c r="W355" s="29">
        <v>4270.068785825255</v>
      </c>
      <c r="X355" s="4">
        <v>-0.32020331982466071</v>
      </c>
      <c r="Y355" s="4">
        <v>-0.14618243578371576</v>
      </c>
      <c r="Z355" s="4">
        <v>-5.2803195483066161E-2</v>
      </c>
      <c r="AA355" s="3">
        <f t="shared" si="121"/>
        <v>0.35593208342549992</v>
      </c>
      <c r="AB355" s="3">
        <f t="shared" si="124"/>
        <v>5.3460523542551458E-2</v>
      </c>
      <c r="AC355" s="3">
        <f t="shared" si="122"/>
        <v>7.878063088074011E-2</v>
      </c>
      <c r="AD355" s="48"/>
      <c r="AE355" s="46">
        <f t="shared" si="117"/>
        <v>42.092151121285156</v>
      </c>
      <c r="AF355" s="46">
        <f t="shared" si="118"/>
        <v>-248.53993756982186</v>
      </c>
      <c r="AG355" s="47">
        <f t="shared" si="119"/>
        <v>25159.809142256563</v>
      </c>
      <c r="AH355" s="45" t="str">
        <f t="shared" si="123"/>
        <v>-248.53994,42.09215,25160</v>
      </c>
      <c r="AI355" s="44">
        <f t="shared" si="125"/>
        <v>1021.3035210218993</v>
      </c>
    </row>
    <row r="356" spans="1:35" ht="18" customHeight="1" x14ac:dyDescent="0.25">
      <c r="A356" s="36">
        <f t="shared" si="120"/>
        <v>0.7435880787037038</v>
      </c>
      <c r="B356" s="42">
        <f t="shared" si="105"/>
        <v>42.092151120511268</v>
      </c>
      <c r="C356" s="43">
        <f t="shared" si="106"/>
        <v>111.46006364929484</v>
      </c>
      <c r="D356" s="18">
        <f t="shared" si="107"/>
        <v>25.08074467343522</v>
      </c>
      <c r="E356" s="21" t="str">
        <f t="shared" si="108"/>
        <v>Umbra</v>
      </c>
      <c r="F356" s="23">
        <f>IF($E356&lt;&gt;"Umbra",fracil2($S$2,$S$3,$S$4,$A356,$Q$2,$O$3,$Q$4,$U356,$V356,$W356),0)</f>
        <v>0</v>
      </c>
      <c r="G356" s="19">
        <f t="shared" si="109"/>
        <v>69.297748377438225</v>
      </c>
      <c r="H356" s="19">
        <f t="shared" si="110"/>
        <v>-3.4862008133434776</v>
      </c>
      <c r="I356" s="19">
        <f t="shared" si="111"/>
        <v>-2.2781828639485822</v>
      </c>
      <c r="J356" s="28">
        <f t="shared" si="112"/>
        <v>7.7578205601564702E-3</v>
      </c>
      <c r="K356" s="24">
        <f t="shared" si="113"/>
        <v>1050.1137348856782</v>
      </c>
      <c r="L356" s="32">
        <f t="shared" si="114"/>
        <v>0.55266657818124842</v>
      </c>
      <c r="M356" s="35">
        <f t="shared" si="115"/>
        <v>13.714352695266065</v>
      </c>
      <c r="O356" s="29">
        <f t="shared" si="116"/>
        <v>1046.5764092821112</v>
      </c>
      <c r="T356" s="48">
        <v>0.7435880787037038</v>
      </c>
      <c r="U356" s="29">
        <v>-1230.2993584461935</v>
      </c>
      <c r="V356" s="29">
        <v>4596.966746529637</v>
      </c>
      <c r="W356" s="29">
        <v>4270.0157868731376</v>
      </c>
      <c r="X356" s="4">
        <v>-0.32028606385639191</v>
      </c>
      <c r="Y356" s="4">
        <v>-0.14583091693599656</v>
      </c>
      <c r="Z356" s="4">
        <v>-5.2454464710055611E-2</v>
      </c>
      <c r="AA356" s="3">
        <f t="shared" si="121"/>
        <v>0.35581075012291685</v>
      </c>
      <c r="AB356" s="3">
        <f t="shared" si="124"/>
        <v>5.2712824456595711E-2</v>
      </c>
      <c r="AC356" s="3">
        <f t="shared" si="122"/>
        <v>7.8260110610417113E-2</v>
      </c>
      <c r="AD356" s="48"/>
      <c r="AE356" s="46">
        <f t="shared" si="117"/>
        <v>42.092151120511268</v>
      </c>
      <c r="AF356" s="46">
        <f t="shared" si="118"/>
        <v>-248.53993635070515</v>
      </c>
      <c r="AG356" s="47">
        <f t="shared" si="119"/>
        <v>25080.74467343522</v>
      </c>
      <c r="AH356" s="45" t="str">
        <f t="shared" si="123"/>
        <v>-248.53994,42.09215,25081</v>
      </c>
      <c r="AI356" s="44">
        <f t="shared" si="125"/>
        <v>1021.3036552806843</v>
      </c>
    </row>
    <row r="357" spans="1:35" ht="18" customHeight="1" x14ac:dyDescent="0.25">
      <c r="A357" s="36">
        <f t="shared" si="120"/>
        <v>0.74359953703703707</v>
      </c>
      <c r="B357" s="42">
        <f t="shared" si="105"/>
        <v>42.092151117529838</v>
      </c>
      <c r="C357" s="43">
        <f t="shared" si="106"/>
        <v>111.46006530679281</v>
      </c>
      <c r="D357" s="18">
        <f t="shared" si="107"/>
        <v>25.003513460103932</v>
      </c>
      <c r="E357" s="21" t="str">
        <f t="shared" si="108"/>
        <v>Umbra</v>
      </c>
      <c r="F357" s="23">
        <f>IF($E357&lt;&gt;"Umbra",fracil2($S$2,$S$3,$S$4,$A357,$Q$2,$O$3,$Q$4,$U357,$V357,$W357),0)</f>
        <v>0</v>
      </c>
      <c r="G357" s="19">
        <f t="shared" si="109"/>
        <v>69.297763770026634</v>
      </c>
      <c r="H357" s="19">
        <f t="shared" si="110"/>
        <v>-3.4903924082724767</v>
      </c>
      <c r="I357" s="19">
        <f t="shared" si="111"/>
        <v>-2.2823744588775812</v>
      </c>
      <c r="J357" s="28">
        <f t="shared" si="112"/>
        <v>7.7322366498551532E-3</v>
      </c>
      <c r="K357" s="24">
        <f t="shared" si="113"/>
        <v>1050.10580874992</v>
      </c>
      <c r="L357" s="32">
        <f t="shared" si="114"/>
        <v>0.55268698259338966</v>
      </c>
      <c r="M357" s="35">
        <f t="shared" si="115"/>
        <v>13.711546256048175</v>
      </c>
      <c r="O357" s="29">
        <f t="shared" si="116"/>
        <v>1046.5765424757324</v>
      </c>
      <c r="T357" s="48">
        <v>0.74359953703703707</v>
      </c>
      <c r="U357" s="29">
        <v>-1230.6165314783518</v>
      </c>
      <c r="V357" s="29">
        <v>4596.8225201848418</v>
      </c>
      <c r="W357" s="29">
        <v>4269.9640166152885</v>
      </c>
      <c r="X357" s="4">
        <v>-0.32036633183364693</v>
      </c>
      <c r="Y357" s="4">
        <v>-0.14549034389000795</v>
      </c>
      <c r="Z357" s="4">
        <v>-5.2116200034494901E-2</v>
      </c>
      <c r="AA357" s="3">
        <f t="shared" si="121"/>
        <v>0.3556938642200827</v>
      </c>
      <c r="AB357" s="3">
        <f t="shared" si="124"/>
        <v>5.2005176172474209E-2</v>
      </c>
      <c r="AC357" s="3">
        <f t="shared" si="122"/>
        <v>7.7755247480448111E-2</v>
      </c>
      <c r="AD357" s="48"/>
      <c r="AE357" s="46">
        <f t="shared" si="117"/>
        <v>42.092151117529838</v>
      </c>
      <c r="AF357" s="46">
        <f t="shared" si="118"/>
        <v>-248.53993469320719</v>
      </c>
      <c r="AG357" s="47">
        <f t="shared" si="119"/>
        <v>25003.513460103932</v>
      </c>
      <c r="AH357" s="45" t="str">
        <f t="shared" si="123"/>
        <v>-248.53993,42.09215,25004</v>
      </c>
      <c r="AI357" s="44">
        <f t="shared" si="125"/>
        <v>1021.3037895394693</v>
      </c>
    </row>
    <row r="358" spans="1:35" ht="18" customHeight="1" x14ac:dyDescent="0.25">
      <c r="A358" s="36">
        <f t="shared" si="120"/>
        <v>0.74361126157407409</v>
      </c>
      <c r="B358" s="42">
        <f t="shared" si="105"/>
        <v>42.092151112488786</v>
      </c>
      <c r="C358" s="43">
        <f t="shared" si="106"/>
        <v>111.4600678844555</v>
      </c>
      <c r="D358" s="18">
        <f t="shared" si="107"/>
        <v>24.924985176764494</v>
      </c>
      <c r="E358" s="21" t="str">
        <f t="shared" si="108"/>
        <v>Umbra</v>
      </c>
      <c r="F358" s="23">
        <f>IF($E358&lt;&gt;"Umbra",fracil2($S$2,$S$3,$S$4,$A358,$Q$2,$O$3,$Q$4,$U358,$V358,$W358),0)</f>
        <v>0</v>
      </c>
      <c r="G358" s="19">
        <f t="shared" si="109"/>
        <v>69.297780341773645</v>
      </c>
      <c r="H358" s="19">
        <f t="shared" si="110"/>
        <v>-3.4946548718994408</v>
      </c>
      <c r="I358" s="19">
        <f t="shared" si="111"/>
        <v>-2.2866369225045453</v>
      </c>
      <c r="J358" s="28">
        <f t="shared" si="112"/>
        <v>7.7064179628431231E-3</v>
      </c>
      <c r="K358" s="24">
        <f t="shared" si="113"/>
        <v>1050.0978270434539</v>
      </c>
      <c r="L358" s="32">
        <f t="shared" si="114"/>
        <v>0.55270780272835884</v>
      </c>
      <c r="M358" s="35">
        <f t="shared" si="115"/>
        <v>13.708691622131667</v>
      </c>
      <c r="O358" s="29">
        <f t="shared" si="116"/>
        <v>1046.5767496020578</v>
      </c>
      <c r="T358" s="48">
        <v>0.74361126157407409</v>
      </c>
      <c r="U358" s="29">
        <v>-1230.9412244647106</v>
      </c>
      <c r="V358" s="29">
        <v>4596.6752581183355</v>
      </c>
      <c r="W358" s="29">
        <v>4269.9113767285953</v>
      </c>
      <c r="X358" s="4">
        <v>-0.32044737517960342</v>
      </c>
      <c r="Y358" s="4">
        <v>-0.14514685472038197</v>
      </c>
      <c r="Z358" s="4">
        <v>-5.1774646327706932E-2</v>
      </c>
      <c r="AA358" s="3">
        <f t="shared" si="121"/>
        <v>0.35557663547690577</v>
      </c>
      <c r="AB358" s="3">
        <f t="shared" si="124"/>
        <v>5.1315336697175355E-2</v>
      </c>
      <c r="AC358" s="3">
        <f t="shared" si="122"/>
        <v>7.7245507712305012E-2</v>
      </c>
      <c r="AD358" s="48"/>
      <c r="AE358" s="46">
        <f t="shared" si="117"/>
        <v>42.092151112488786</v>
      </c>
      <c r="AF358" s="46">
        <f t="shared" si="118"/>
        <v>-248.5399321155445</v>
      </c>
      <c r="AG358" s="47">
        <f t="shared" si="119"/>
        <v>24924.985176764494</v>
      </c>
      <c r="AH358" s="45" t="str">
        <f t="shared" si="123"/>
        <v>-248.53993,42.09215,24925</v>
      </c>
      <c r="AI358" s="44">
        <f t="shared" si="125"/>
        <v>1021.3039794100653</v>
      </c>
    </row>
    <row r="359" spans="1:35" ht="18" customHeight="1" x14ac:dyDescent="0.25">
      <c r="A359" s="36">
        <f t="shared" si="120"/>
        <v>0.7436227314814815</v>
      </c>
      <c r="B359" s="42">
        <f t="shared" si="105"/>
        <v>42.092151105866648</v>
      </c>
      <c r="C359" s="43">
        <f t="shared" si="106"/>
        <v>111.4600664186359</v>
      </c>
      <c r="D359" s="18">
        <f t="shared" si="107"/>
        <v>24.848731673806469</v>
      </c>
      <c r="E359" s="21" t="str">
        <f t="shared" si="108"/>
        <v>Umbra</v>
      </c>
      <c r="F359" s="23">
        <f>IF($E359&lt;&gt;"Umbra",fracil2($S$2,$S$3,$S$4,$A359,$Q$2,$O$3,$Q$4,$U359,$V359,$W359),0)</f>
        <v>0</v>
      </c>
      <c r="G359" s="19">
        <f t="shared" si="109"/>
        <v>69.297792403890583</v>
      </c>
      <c r="H359" s="19">
        <f t="shared" si="110"/>
        <v>-3.4987921107596778</v>
      </c>
      <c r="I359" s="19">
        <f t="shared" si="111"/>
        <v>-2.2907741613647827</v>
      </c>
      <c r="J359" s="28">
        <f t="shared" si="112"/>
        <v>7.6815350027331806E-3</v>
      </c>
      <c r="K359" s="24">
        <f t="shared" si="113"/>
        <v>1050.0897625565149</v>
      </c>
      <c r="L359" s="32">
        <f t="shared" si="114"/>
        <v>0.55272810874198419</v>
      </c>
      <c r="M359" s="35">
        <f t="shared" si="115"/>
        <v>13.705923783805869</v>
      </c>
      <c r="O359" s="29">
        <f t="shared" si="116"/>
        <v>1046.5766315797762</v>
      </c>
      <c r="T359" s="48">
        <v>0.7436227314814815</v>
      </c>
      <c r="U359" s="29">
        <v>-1231.2586407679669</v>
      </c>
      <c r="V359" s="29">
        <v>4596.5316660011595</v>
      </c>
      <c r="W359" s="29">
        <v>4269.8602615531863</v>
      </c>
      <c r="X359" s="4">
        <v>-0.32052551119354533</v>
      </c>
      <c r="Y359" s="4">
        <v>-0.14481599687738336</v>
      </c>
      <c r="Z359" s="4">
        <v>-5.144527826948693E-2</v>
      </c>
      <c r="AA359" s="3">
        <f t="shared" si="121"/>
        <v>0.35546433426392982</v>
      </c>
      <c r="AB359" s="3">
        <f t="shared" si="124"/>
        <v>5.0580210635411287E-2</v>
      </c>
      <c r="AC359" s="3">
        <f t="shared" si="122"/>
        <v>7.675398207272334E-2</v>
      </c>
      <c r="AD359" s="48"/>
      <c r="AE359" s="46">
        <f t="shared" si="117"/>
        <v>42.092151105866648</v>
      </c>
      <c r="AF359" s="46">
        <f t="shared" si="118"/>
        <v>-248.5399335813641</v>
      </c>
      <c r="AG359" s="47">
        <f t="shared" si="119"/>
        <v>24848.731673806469</v>
      </c>
      <c r="AH359" s="45" t="str">
        <f t="shared" si="123"/>
        <v>-248.53993,42.09215,24849</v>
      </c>
      <c r="AI359" s="44">
        <f t="shared" si="125"/>
        <v>1021.3040743453632</v>
      </c>
    </row>
    <row r="360" spans="1:35" ht="18" customHeight="1" x14ac:dyDescent="0.25">
      <c r="A360" s="36">
        <f t="shared" si="120"/>
        <v>0.74363428240740737</v>
      </c>
      <c r="B360" s="42">
        <f t="shared" si="105"/>
        <v>42.092151097717583</v>
      </c>
      <c r="C360" s="43">
        <f t="shared" si="106"/>
        <v>111.46006866831374</v>
      </c>
      <c r="D360" s="18">
        <f t="shared" si="107"/>
        <v>24.77235992140686</v>
      </c>
      <c r="E360" s="21" t="str">
        <f t="shared" si="108"/>
        <v>Umbra</v>
      </c>
      <c r="F360" s="23">
        <f>IF($E360&lt;&gt;"Umbra",fracil2($S$2,$S$3,$S$4,$A360,$Q$2,$O$3,$Q$4,$U360,$V360,$W360),0)</f>
        <v>0</v>
      </c>
      <c r="G360" s="19">
        <f t="shared" si="109"/>
        <v>69.297808278658124</v>
      </c>
      <c r="H360" s="19">
        <f t="shared" si="110"/>
        <v>-3.5029375258552506</v>
      </c>
      <c r="I360" s="19">
        <f t="shared" si="111"/>
        <v>-2.2949195764603552</v>
      </c>
      <c r="J360" s="28">
        <f t="shared" si="112"/>
        <v>7.6567950593708668E-3</v>
      </c>
      <c r="K360" s="24">
        <f t="shared" si="113"/>
        <v>1050.0819903114927</v>
      </c>
      <c r="L360" s="32">
        <f t="shared" si="114"/>
        <v>0.55274850601028558</v>
      </c>
      <c r="M360" s="35">
        <f t="shared" si="115"/>
        <v>13.703147599288938</v>
      </c>
      <c r="O360" s="29">
        <f t="shared" si="116"/>
        <v>1046.5768122573238</v>
      </c>
      <c r="T360" s="48">
        <v>0.74363428240740737</v>
      </c>
      <c r="U360" s="29">
        <v>-1231.5786643501374</v>
      </c>
      <c r="V360" s="29">
        <v>4596.3872588420127</v>
      </c>
      <c r="W360" s="29">
        <v>4269.8090669858857</v>
      </c>
      <c r="X360" s="4">
        <v>-0.3206032103127826</v>
      </c>
      <c r="Y360" s="4">
        <v>-0.14448724820829284</v>
      </c>
      <c r="Z360" s="4">
        <v>-5.1117643962642088E-2</v>
      </c>
      <c r="AA360" s="3">
        <f t="shared" si="121"/>
        <v>0.35535334089038556</v>
      </c>
      <c r="AB360" s="3">
        <f t="shared" si="124"/>
        <v>4.9958505068448268E-2</v>
      </c>
      <c r="AC360" s="3">
        <f t="shared" si="122"/>
        <v>7.6265068758226209E-2</v>
      </c>
      <c r="AD360" s="48"/>
      <c r="AE360" s="46">
        <f t="shared" si="117"/>
        <v>42.092151097717583</v>
      </c>
      <c r="AF360" s="46">
        <f t="shared" si="118"/>
        <v>-248.53993133168626</v>
      </c>
      <c r="AG360" s="47">
        <f t="shared" si="119"/>
        <v>24772.35992140686</v>
      </c>
      <c r="AH360" s="45" t="str">
        <f t="shared" si="123"/>
        <v>-248.53993,42.09215,24772</v>
      </c>
      <c r="AI360" s="44">
        <f t="shared" si="125"/>
        <v>1021.3042642159592</v>
      </c>
    </row>
    <row r="361" spans="1:35" ht="18" customHeight="1" x14ac:dyDescent="0.25">
      <c r="A361" s="36">
        <f t="shared" si="120"/>
        <v>0.7436459143518519</v>
      </c>
      <c r="B361" s="42">
        <f t="shared" si="105"/>
        <v>42.092151088220106</v>
      </c>
      <c r="C361" s="43">
        <f t="shared" si="106"/>
        <v>111.46006845525342</v>
      </c>
      <c r="D361" s="18">
        <f t="shared" si="107"/>
        <v>24.695987056543345</v>
      </c>
      <c r="E361" s="21" t="str">
        <f t="shared" si="108"/>
        <v>Umbra</v>
      </c>
      <c r="F361" s="23">
        <f>IF($E361&lt;&gt;"Umbra",fracil2($S$2,$S$3,$S$4,$A361,$Q$2,$O$3,$Q$4,$U361,$V361,$W361),0)</f>
        <v>0</v>
      </c>
      <c r="G361" s="19">
        <f t="shared" si="109"/>
        <v>69.297821654942695</v>
      </c>
      <c r="H361" s="19">
        <f t="shared" si="110"/>
        <v>-3.5070819390756438</v>
      </c>
      <c r="I361" s="19">
        <f t="shared" si="111"/>
        <v>-2.2990639896807483</v>
      </c>
      <c r="J361" s="28">
        <f t="shared" si="112"/>
        <v>7.6322368857805493E-3</v>
      </c>
      <c r="K361" s="24">
        <f t="shared" si="113"/>
        <v>1050.0740251510895</v>
      </c>
      <c r="L361" s="32">
        <f t="shared" si="114"/>
        <v>0.5527689869602983</v>
      </c>
      <c r="M361" s="35">
        <f t="shared" si="115"/>
        <v>13.700373880757814</v>
      </c>
      <c r="O361" s="29">
        <f t="shared" si="116"/>
        <v>1046.576794889025</v>
      </c>
      <c r="T361" s="48">
        <v>0.7436459143518519</v>
      </c>
      <c r="U361" s="29">
        <v>-1231.9008218264794</v>
      </c>
      <c r="V361" s="29">
        <v>4596.2422528787047</v>
      </c>
      <c r="W361" s="29">
        <v>4269.7578715613172</v>
      </c>
      <c r="X361" s="4">
        <v>-0.32068034631077036</v>
      </c>
      <c r="Y361" s="4">
        <v>-0.14416109922160167</v>
      </c>
      <c r="Z361" s="4">
        <v>-5.0792237396700239E-2</v>
      </c>
      <c r="AA361" s="3">
        <f t="shared" si="121"/>
        <v>0.35524380137947348</v>
      </c>
      <c r="AB361" s="3">
        <f t="shared" si="124"/>
        <v>4.9270923449715162E-2</v>
      </c>
      <c r="AC361" s="3">
        <f t="shared" si="122"/>
        <v>7.5779502329497803E-2</v>
      </c>
      <c r="AD361" s="48"/>
      <c r="AE361" s="46">
        <f t="shared" si="117"/>
        <v>42.092151088220106</v>
      </c>
      <c r="AF361" s="46">
        <f t="shared" si="118"/>
        <v>-248.53993154474659</v>
      </c>
      <c r="AG361" s="47">
        <f t="shared" si="119"/>
        <v>24695.987056543345</v>
      </c>
      <c r="AH361" s="45" t="str">
        <f t="shared" si="123"/>
        <v>-248.53993,42.09215,24696</v>
      </c>
      <c r="AI361" s="44">
        <f t="shared" si="125"/>
        <v>1021.3042642159592</v>
      </c>
    </row>
    <row r="362" spans="1:35" ht="18" customHeight="1" x14ac:dyDescent="0.25">
      <c r="A362" s="36">
        <f t="shared" si="120"/>
        <v>0.74365766203703698</v>
      </c>
      <c r="B362" s="42">
        <f t="shared" si="105"/>
        <v>42.092151077481823</v>
      </c>
      <c r="C362" s="43">
        <f t="shared" si="106"/>
        <v>111.46007059830042</v>
      </c>
      <c r="D362" s="18">
        <f t="shared" si="107"/>
        <v>24.619303336864505</v>
      </c>
      <c r="E362" s="21" t="str">
        <f t="shared" si="108"/>
        <v>Umbra</v>
      </c>
      <c r="F362" s="23">
        <f>IF($E362&lt;&gt;"Umbra",fracil2($S$2,$S$3,$S$4,$A362,$Q$2,$O$3,$Q$4,$U362,$V362,$W362),0)</f>
        <v>0</v>
      </c>
      <c r="G362" s="19">
        <f t="shared" si="109"/>
        <v>69.297837492482898</v>
      </c>
      <c r="H362" s="19">
        <f t="shared" si="110"/>
        <v>-3.5112443583877244</v>
      </c>
      <c r="I362" s="19">
        <f t="shared" si="111"/>
        <v>-2.3032264089928294</v>
      </c>
      <c r="J362" s="28">
        <f t="shared" si="112"/>
        <v>7.6077591148592969E-3</v>
      </c>
      <c r="K362" s="24">
        <f t="shared" si="113"/>
        <v>1050.0662228128454</v>
      </c>
      <c r="L362" s="32">
        <f t="shared" si="114"/>
        <v>0.55278961752574507</v>
      </c>
      <c r="M362" s="35">
        <f t="shared" si="115"/>
        <v>13.69758626472151</v>
      </c>
      <c r="O362" s="29">
        <f t="shared" si="116"/>
        <v>1046.5769669283459</v>
      </c>
      <c r="T362" s="48">
        <v>0.74365766203703698</v>
      </c>
      <c r="U362" s="29">
        <v>-1232.2264454799827</v>
      </c>
      <c r="V362" s="29">
        <v>4596.0960524417442</v>
      </c>
      <c r="W362" s="29">
        <v>4269.7064676603504</v>
      </c>
      <c r="X362" s="4">
        <v>-0.32075722435830778</v>
      </c>
      <c r="Y362" s="4">
        <v>-0.14383622074994723</v>
      </c>
      <c r="Z362" s="4">
        <v>-5.0467735908477022E-2</v>
      </c>
      <c r="AA362" s="3">
        <f t="shared" si="121"/>
        <v>0.35513525274942948</v>
      </c>
      <c r="AB362" s="3">
        <f t="shared" si="124"/>
        <v>4.8647756278678275E-2</v>
      </c>
      <c r="AC362" s="3">
        <f t="shared" si="122"/>
        <v>7.5295306832962317E-2</v>
      </c>
      <c r="AD362" s="48"/>
      <c r="AE362" s="46">
        <f t="shared" si="117"/>
        <v>42.092151077481823</v>
      </c>
      <c r="AF362" s="46">
        <f t="shared" si="118"/>
        <v>-248.53992940169957</v>
      </c>
      <c r="AG362" s="47">
        <f t="shared" si="119"/>
        <v>24619.303336864505</v>
      </c>
      <c r="AH362" s="45" t="str">
        <f t="shared" si="123"/>
        <v>-248.53993,42.09215,24619</v>
      </c>
      <c r="AI362" s="44">
        <f t="shared" si="125"/>
        <v>1021.3044540865551</v>
      </c>
    </row>
    <row r="363" spans="1:35" ht="18" customHeight="1" x14ac:dyDescent="0.25">
      <c r="A363" s="36">
        <f t="shared" si="120"/>
        <v>0.74366912037037036</v>
      </c>
      <c r="B363" s="42">
        <f t="shared" si="105"/>
        <v>42.092151066059344</v>
      </c>
      <c r="C363" s="43">
        <f t="shared" si="106"/>
        <v>111.46007165964028</v>
      </c>
      <c r="D363" s="18">
        <f t="shared" si="107"/>
        <v>24.544997019887887</v>
      </c>
      <c r="E363" s="21" t="str">
        <f t="shared" si="108"/>
        <v>Umbra</v>
      </c>
      <c r="F363" s="23">
        <f>IF($E363&lt;&gt;"Umbra",fracil2($S$2,$S$3,$S$4,$A363,$Q$2,$O$3,$Q$4,$U363,$V363,$W363),0)</f>
        <v>0</v>
      </c>
      <c r="G363" s="19">
        <f t="shared" si="109"/>
        <v>69.297851811850876</v>
      </c>
      <c r="H363" s="19">
        <f t="shared" si="110"/>
        <v>-3.5152773277875458</v>
      </c>
      <c r="I363" s="19">
        <f t="shared" si="111"/>
        <v>-2.3072593783926507</v>
      </c>
      <c r="J363" s="28">
        <f t="shared" si="112"/>
        <v>7.5842119593953128E-3</v>
      </c>
      <c r="K363" s="24">
        <f t="shared" si="113"/>
        <v>1050.0585858942902</v>
      </c>
      <c r="L363" s="32">
        <f t="shared" si="114"/>
        <v>0.55280968447592238</v>
      </c>
      <c r="M363" s="35">
        <f t="shared" si="115"/>
        <v>13.69488604759435</v>
      </c>
      <c r="O363" s="29">
        <f t="shared" si="116"/>
        <v>1046.5770519777921</v>
      </c>
      <c r="T363" s="48">
        <v>0.74366912037037036</v>
      </c>
      <c r="U363" s="29">
        <v>-1232.5440459031975</v>
      </c>
      <c r="V363" s="29">
        <v>4595.9538032545834</v>
      </c>
      <c r="W363" s="29">
        <v>4269.6566573351984</v>
      </c>
      <c r="X363" s="4">
        <v>-0.32083116946994761</v>
      </c>
      <c r="Y363" s="4">
        <v>-0.14352387537848393</v>
      </c>
      <c r="Z363" s="4">
        <v>-5.0155408730492519E-2</v>
      </c>
      <c r="AA363" s="3">
        <f t="shared" si="121"/>
        <v>0.35503141710563529</v>
      </c>
      <c r="AB363" s="3">
        <f t="shared" si="124"/>
        <v>4.800322474130532E-2</v>
      </c>
      <c r="AC363" s="3">
        <f t="shared" si="122"/>
        <v>7.4829294407365285E-2</v>
      </c>
      <c r="AD363" s="48"/>
      <c r="AE363" s="46">
        <f t="shared" si="117"/>
        <v>42.092151066059344</v>
      </c>
      <c r="AF363" s="46">
        <f t="shared" si="118"/>
        <v>-248.53992834035972</v>
      </c>
      <c r="AG363" s="47">
        <f t="shared" si="119"/>
        <v>24544.997019887887</v>
      </c>
      <c r="AH363" s="45" t="str">
        <f t="shared" si="123"/>
        <v>-248.53993,42.09215,24545</v>
      </c>
      <c r="AI363" s="44">
        <f t="shared" si="125"/>
        <v>1021.3045883453401</v>
      </c>
    </row>
    <row r="364" spans="1:35" ht="18" customHeight="1" x14ac:dyDescent="0.25">
      <c r="A364" s="36">
        <f t="shared" si="120"/>
        <v>0.74368068287037037</v>
      </c>
      <c r="B364" s="42">
        <f t="shared" si="105"/>
        <v>42.09215105372607</v>
      </c>
      <c r="C364" s="43">
        <f t="shared" si="106"/>
        <v>111.46006943245584</v>
      </c>
      <c r="D364" s="18">
        <f t="shared" si="107"/>
        <v>24.470538281646441</v>
      </c>
      <c r="E364" s="21" t="str">
        <f t="shared" si="108"/>
        <v>Umbra</v>
      </c>
      <c r="F364" s="23">
        <f>IF($E364&lt;&gt;"Umbra",fracil2($S$2,$S$3,$S$4,$A364,$Q$2,$O$3,$Q$4,$U364,$V364,$W364),0)</f>
        <v>0</v>
      </c>
      <c r="G364" s="19">
        <f t="shared" si="109"/>
        <v>69.297862816322166</v>
      </c>
      <c r="H364" s="19">
        <f t="shared" si="110"/>
        <v>-3.5193171306018893</v>
      </c>
      <c r="I364" s="19">
        <f t="shared" si="111"/>
        <v>-2.3112991812069943</v>
      </c>
      <c r="J364" s="28">
        <f t="shared" si="112"/>
        <v>7.5607852367638511E-3</v>
      </c>
      <c r="K364" s="24">
        <f t="shared" si="113"/>
        <v>1050.0506735958095</v>
      </c>
      <c r="L364" s="32">
        <f t="shared" si="114"/>
        <v>0.55282987659956451</v>
      </c>
      <c r="M364" s="35">
        <f t="shared" si="115"/>
        <v>13.692183680635528</v>
      </c>
      <c r="O364" s="29">
        <f t="shared" si="116"/>
        <v>1046.5768725964592</v>
      </c>
      <c r="T364" s="48">
        <v>0.74368068287037037</v>
      </c>
      <c r="U364" s="29">
        <v>-1232.8643553274235</v>
      </c>
      <c r="V364" s="29">
        <v>4595.8106846312403</v>
      </c>
      <c r="W364" s="29">
        <v>4269.6067447629257</v>
      </c>
      <c r="X364" s="4">
        <v>-0.3209047212770173</v>
      </c>
      <c r="Y364" s="4">
        <v>-0.14321329872317934</v>
      </c>
      <c r="Z364" s="4">
        <v>-4.9844512111359991E-2</v>
      </c>
      <c r="AA364" s="3">
        <f t="shared" si="121"/>
        <v>0.35492867516822907</v>
      </c>
      <c r="AB364" s="3">
        <f t="shared" si="124"/>
        <v>4.7351286126075615E-2</v>
      </c>
      <c r="AC364" s="3">
        <f t="shared" si="122"/>
        <v>7.4365432022324485E-2</v>
      </c>
      <c r="AD364" s="48"/>
      <c r="AE364" s="46">
        <f t="shared" si="117"/>
        <v>42.09215105372607</v>
      </c>
      <c r="AF364" s="46">
        <f t="shared" si="118"/>
        <v>-248.53993056754416</v>
      </c>
      <c r="AG364" s="47">
        <f t="shared" si="119"/>
        <v>24470.538281646441</v>
      </c>
      <c r="AH364" s="45" t="str">
        <f t="shared" si="123"/>
        <v>-248.53993,42.09215,24471</v>
      </c>
      <c r="AI364" s="44">
        <f t="shared" si="125"/>
        <v>1021.304778215936</v>
      </c>
    </row>
    <row r="365" spans="1:35" ht="18" customHeight="1" x14ac:dyDescent="0.25">
      <c r="A365" s="36">
        <f t="shared" si="120"/>
        <v>0.74369211805555546</v>
      </c>
      <c r="B365" s="42">
        <f t="shared" si="105"/>
        <v>42.092151040826302</v>
      </c>
      <c r="C365" s="43">
        <f t="shared" si="106"/>
        <v>111.46007107175356</v>
      </c>
      <c r="D365" s="18">
        <f t="shared" si="107"/>
        <v>24.397283758633421</v>
      </c>
      <c r="E365" s="21" t="str">
        <f t="shared" si="108"/>
        <v>Umbra</v>
      </c>
      <c r="F365" s="23">
        <f>IF($E365&lt;&gt;"Umbra",fracil2($S$2,$S$3,$S$4,$A365,$Q$2,$O$3,$Q$4,$U365,$V365,$W365),0)</f>
        <v>0</v>
      </c>
      <c r="G365" s="19">
        <f t="shared" si="109"/>
        <v>69.297877546980345</v>
      </c>
      <c r="H365" s="19">
        <f t="shared" si="110"/>
        <v>-3.5232933997289395</v>
      </c>
      <c r="I365" s="19">
        <f t="shared" si="111"/>
        <v>-2.3152754503340445</v>
      </c>
      <c r="J365" s="28">
        <f t="shared" si="112"/>
        <v>7.5378989636649373E-3</v>
      </c>
      <c r="K365" s="24">
        <f t="shared" si="113"/>
        <v>1050.0432027017939</v>
      </c>
      <c r="L365" s="32">
        <f t="shared" si="114"/>
        <v>0.55284979825767988</v>
      </c>
      <c r="M365" s="35">
        <f t="shared" si="115"/>
        <v>13.689520859246471</v>
      </c>
      <c r="O365" s="29">
        <f t="shared" si="116"/>
        <v>1046.577004078641</v>
      </c>
      <c r="T365" s="48">
        <v>0.74369211805555546</v>
      </c>
      <c r="U365" s="29">
        <v>-1233.1815058432808</v>
      </c>
      <c r="V365" s="29">
        <v>4595.6693128045463</v>
      </c>
      <c r="W365" s="29">
        <v>4269.5576393593483</v>
      </c>
      <c r="X365" s="4">
        <v>-0.32097654930223773</v>
      </c>
      <c r="Y365" s="4">
        <v>-0.14291007972505573</v>
      </c>
      <c r="Z365" s="4">
        <v>-4.9540651889379721E-2</v>
      </c>
      <c r="AA365" s="3">
        <f t="shared" si="121"/>
        <v>0.35482884927612401</v>
      </c>
      <c r="AB365" s="3">
        <f t="shared" si="124"/>
        <v>4.6793451992470869E-2</v>
      </c>
      <c r="AC365" s="3">
        <f t="shared" si="122"/>
        <v>7.3912081711172806E-2</v>
      </c>
      <c r="AD365" s="48"/>
      <c r="AE365" s="46">
        <f t="shared" si="117"/>
        <v>42.092151040826302</v>
      </c>
      <c r="AF365" s="46">
        <f t="shared" si="118"/>
        <v>-248.53992892824644</v>
      </c>
      <c r="AG365" s="47">
        <f t="shared" si="119"/>
        <v>24397.283758633421</v>
      </c>
      <c r="AH365" s="45" t="str">
        <f t="shared" si="123"/>
        <v>-248.53993,42.09215,24397</v>
      </c>
      <c r="AI365" s="44">
        <f t="shared" si="125"/>
        <v>1021.304912474721</v>
      </c>
    </row>
    <row r="366" spans="1:35" ht="18" customHeight="1" x14ac:dyDescent="0.25">
      <c r="A366" s="36">
        <f t="shared" si="120"/>
        <v>0.74370369212962961</v>
      </c>
      <c r="B366" s="42">
        <f t="shared" si="105"/>
        <v>42.092151027174332</v>
      </c>
      <c r="C366" s="43">
        <f t="shared" si="106"/>
        <v>111.46007260055379</v>
      </c>
      <c r="D366" s="18">
        <f t="shared" si="107"/>
        <v>24.323594859795776</v>
      </c>
      <c r="E366" s="21" t="str">
        <f t="shared" si="108"/>
        <v>Umbra</v>
      </c>
      <c r="F366" s="23">
        <f>IF($E366&lt;&gt;"Umbra",fracil2($S$2,$S$3,$S$4,$A366,$Q$2,$O$3,$Q$4,$U366,$V366,$W366),0)</f>
        <v>0</v>
      </c>
      <c r="G366" s="19">
        <f t="shared" si="109"/>
        <v>69.297892246920298</v>
      </c>
      <c r="H366" s="19">
        <f t="shared" si="110"/>
        <v>-3.5272932491486744</v>
      </c>
      <c r="I366" s="19">
        <f t="shared" si="111"/>
        <v>-2.3192752997537793</v>
      </c>
      <c r="J366" s="28">
        <f t="shared" si="112"/>
        <v>7.5150385387271505E-3</v>
      </c>
      <c r="K366" s="24">
        <f t="shared" si="113"/>
        <v>1050.0356829126604</v>
      </c>
      <c r="L366" s="32">
        <f t="shared" si="114"/>
        <v>0.55286990938884928</v>
      </c>
      <c r="M366" s="35">
        <f t="shared" si="115"/>
        <v>13.686842278578904</v>
      </c>
      <c r="O366" s="29">
        <f t="shared" si="116"/>
        <v>1046.5771266576521</v>
      </c>
      <c r="T366" s="48">
        <v>0.74370369212962961</v>
      </c>
      <c r="U366" s="29">
        <v>-1233.5025713092862</v>
      </c>
      <c r="V366" s="29">
        <v>4595.5265308720827</v>
      </c>
      <c r="W366" s="29">
        <v>4269.5082427205925</v>
      </c>
      <c r="X366" s="4">
        <v>-0.32104826677797671</v>
      </c>
      <c r="Y366" s="4">
        <v>-0.14260738245948357</v>
      </c>
      <c r="Z366" s="4">
        <v>-4.9236986398054156E-2</v>
      </c>
      <c r="AA366" s="3">
        <f t="shared" si="121"/>
        <v>0.35472966603126177</v>
      </c>
      <c r="AB366" s="3">
        <f t="shared" si="124"/>
        <v>4.6201049544356922E-2</v>
      </c>
      <c r="AC366" s="3">
        <f t="shared" si="122"/>
        <v>7.3459034219337874E-2</v>
      </c>
      <c r="AD366" s="48"/>
      <c r="AE366" s="46">
        <f t="shared" si="117"/>
        <v>42.092151027174332</v>
      </c>
      <c r="AF366" s="46">
        <f t="shared" si="118"/>
        <v>-248.53992739944621</v>
      </c>
      <c r="AG366" s="47">
        <f t="shared" si="119"/>
        <v>24323.594859795776</v>
      </c>
      <c r="AH366" s="45" t="str">
        <f t="shared" si="123"/>
        <v>-248.53993,42.09215,24324</v>
      </c>
      <c r="AI366" s="44">
        <f t="shared" si="125"/>
        <v>1021.3050467335061</v>
      </c>
    </row>
    <row r="367" spans="1:35" ht="18" customHeight="1" x14ac:dyDescent="0.25">
      <c r="A367" s="36">
        <f t="shared" si="120"/>
        <v>0.74371527777777768</v>
      </c>
      <c r="B367" s="42">
        <f t="shared" si="105"/>
        <v>42.092151002989027</v>
      </c>
      <c r="C367" s="43">
        <f t="shared" si="106"/>
        <v>111.46007443220775</v>
      </c>
      <c r="D367" s="18">
        <f t="shared" si="107"/>
        <v>24.25027771580244</v>
      </c>
      <c r="E367" s="21" t="str">
        <f t="shared" si="108"/>
        <v>Umbra</v>
      </c>
      <c r="F367" s="23">
        <f>IF($E367&lt;&gt;"Umbra",fracil2($S$2,$S$3,$S$4,$A367,$Q$2,$O$3,$Q$4,$U367,$V367,$W367),0)</f>
        <v>0</v>
      </c>
      <c r="G367" s="19">
        <f t="shared" si="109"/>
        <v>69.297907192656865</v>
      </c>
      <c r="H367" s="19">
        <f t="shared" si="110"/>
        <v>-3.5312731172418537</v>
      </c>
      <c r="I367" s="19">
        <f t="shared" si="111"/>
        <v>-2.3232551678469582</v>
      </c>
      <c r="J367" s="28">
        <f t="shared" si="112"/>
        <v>7.4924528403966118E-3</v>
      </c>
      <c r="K367" s="24">
        <f t="shared" si="113"/>
        <v>1050.0282311230635</v>
      </c>
      <c r="L367" s="32">
        <f t="shared" si="114"/>
        <v>0.55288998886839125</v>
      </c>
      <c r="M367" s="35">
        <f t="shared" si="115"/>
        <v>13.68417678582416</v>
      </c>
      <c r="O367" s="29">
        <f t="shared" si="116"/>
        <v>1046.5772733236115</v>
      </c>
      <c r="T367" s="48">
        <v>0.74371527777777768</v>
      </c>
      <c r="U367" s="29">
        <v>-1233.8240534426477</v>
      </c>
      <c r="V367" s="29">
        <v>4595.3838965310679</v>
      </c>
      <c r="W367" s="29">
        <v>4269.4590952376766</v>
      </c>
      <c r="X367" s="4">
        <v>-0.32111908752818924</v>
      </c>
      <c r="Y367" s="4">
        <v>-0.14230850345240922</v>
      </c>
      <c r="Z367" s="4">
        <v>-4.893682555467127E-2</v>
      </c>
      <c r="AA367" s="3">
        <f t="shared" si="121"/>
        <v>0.35463219174966276</v>
      </c>
      <c r="AB367" s="3">
        <f t="shared" si="124"/>
        <v>4.5621093952898845E-2</v>
      </c>
      <c r="AC367" s="3">
        <f t="shared" si="122"/>
        <v>7.3011226411591412E-2</v>
      </c>
      <c r="AD367" s="48"/>
      <c r="AE367" s="46">
        <f t="shared" si="117"/>
        <v>42.092151002989027</v>
      </c>
      <c r="AF367" s="46">
        <f t="shared" si="118"/>
        <v>-248.53992556779224</v>
      </c>
      <c r="AG367" s="47">
        <f t="shared" si="119"/>
        <v>24250.27771580244</v>
      </c>
      <c r="AH367" s="45" t="str">
        <f t="shared" si="123"/>
        <v>-248.53993,42.09215,24250</v>
      </c>
      <c r="AI367" s="44">
        <f t="shared" si="125"/>
        <v>1021.3051809922911</v>
      </c>
    </row>
    <row r="368" spans="1:35" ht="18" customHeight="1" x14ac:dyDescent="0.25">
      <c r="A368" s="36">
        <f t="shared" si="120"/>
        <v>0.74372688657407415</v>
      </c>
      <c r="B368" s="42">
        <f t="shared" si="105"/>
        <v>42.092150988401031</v>
      </c>
      <c r="C368" s="43">
        <f t="shared" si="106"/>
        <v>111.4600742333955</v>
      </c>
      <c r="D368" s="18">
        <f t="shared" si="107"/>
        <v>24.177296079846201</v>
      </c>
      <c r="E368" s="21" t="str">
        <f t="shared" si="108"/>
        <v>Umbra</v>
      </c>
      <c r="F368" s="23">
        <f>IF($E368&lt;&gt;"Umbra",fracil2($S$2,$S$3,$S$4,$A368,$Q$2,$O$3,$Q$4,$U368,$V368,$W368),0)</f>
        <v>0</v>
      </c>
      <c r="G368" s="19">
        <f t="shared" si="109"/>
        <v>69.297920014928565</v>
      </c>
      <c r="H368" s="19">
        <f t="shared" si="110"/>
        <v>-3.5352339112066962</v>
      </c>
      <c r="I368" s="19">
        <f t="shared" si="111"/>
        <v>-2.3272159618118007</v>
      </c>
      <c r="J368" s="28">
        <f t="shared" si="112"/>
        <v>7.4701276142229624E-3</v>
      </c>
      <c r="K368" s="24">
        <f t="shared" si="113"/>
        <v>1050.0206556690725</v>
      </c>
      <c r="L368" s="32">
        <f t="shared" si="114"/>
        <v>0.55291005474881827</v>
      </c>
      <c r="M368" s="35">
        <f t="shared" si="115"/>
        <v>13.681525537780354</v>
      </c>
      <c r="O368" s="29">
        <f t="shared" si="116"/>
        <v>1046.5772569735718</v>
      </c>
      <c r="T368" s="48">
        <v>0.74372688657407415</v>
      </c>
      <c r="U368" s="29">
        <v>-1234.146093240525</v>
      </c>
      <c r="V368" s="29">
        <v>4595.2413439681786</v>
      </c>
      <c r="W368" s="29">
        <v>4269.4101726145373</v>
      </c>
      <c r="X368" s="4">
        <v>-0.32118905427193506</v>
      </c>
      <c r="Y368" s="4">
        <v>-0.14201324272257709</v>
      </c>
      <c r="Z368" s="4">
        <v>-4.8639976373441508E-2</v>
      </c>
      <c r="AA368" s="3">
        <f t="shared" si="121"/>
        <v>0.35453634086548952</v>
      </c>
      <c r="AB368" s="3">
        <f t="shared" si="124"/>
        <v>4.5026799217030816E-2</v>
      </c>
      <c r="AC368" s="3">
        <f t="shared" si="122"/>
        <v>7.2568369020083234E-2</v>
      </c>
      <c r="AD368" s="48"/>
      <c r="AE368" s="46">
        <f t="shared" si="117"/>
        <v>42.092150988401031</v>
      </c>
      <c r="AF368" s="46">
        <f t="shared" si="118"/>
        <v>-248.53992576660448</v>
      </c>
      <c r="AG368" s="47">
        <f t="shared" si="119"/>
        <v>24177.296079846201</v>
      </c>
      <c r="AH368" s="45" t="str">
        <f t="shared" si="123"/>
        <v>-248.53993,42.09215,24177</v>
      </c>
      <c r="AI368" s="44">
        <f t="shared" si="125"/>
        <v>1021.3051809922911</v>
      </c>
    </row>
    <row r="369" spans="1:35" ht="18" customHeight="1" x14ac:dyDescent="0.25">
      <c r="A369" s="36">
        <f t="shared" si="120"/>
        <v>0.7437384953703704</v>
      </c>
      <c r="B369" s="42">
        <f t="shared" si="105"/>
        <v>42.092150973455674</v>
      </c>
      <c r="C369" s="43">
        <f t="shared" si="106"/>
        <v>111.46007427971348</v>
      </c>
      <c r="D369" s="18">
        <f t="shared" si="107"/>
        <v>24.104751323156052</v>
      </c>
      <c r="E369" s="21" t="str">
        <f t="shared" si="108"/>
        <v>Umbra</v>
      </c>
      <c r="F369" s="23">
        <f>IF($E369&lt;&gt;"Umbra",fracil2($S$2,$S$3,$S$4,$A369,$Q$2,$O$3,$Q$4,$U369,$V369,$W369),0)</f>
        <v>0</v>
      </c>
      <c r="G369" s="19">
        <f t="shared" si="109"/>
        <v>69.297933011703407</v>
      </c>
      <c r="H369" s="19">
        <f t="shared" si="110"/>
        <v>-3.539171162468882</v>
      </c>
      <c r="I369" s="19">
        <f t="shared" si="111"/>
        <v>-2.3311532130739865</v>
      </c>
      <c r="J369" s="28">
        <f t="shared" si="112"/>
        <v>7.4480895420936605E-3</v>
      </c>
      <c r="K369" s="24">
        <f t="shared" si="113"/>
        <v>1050.0131501626022</v>
      </c>
      <c r="L369" s="32">
        <f t="shared" si="114"/>
        <v>0.55293006991529781</v>
      </c>
      <c r="M369" s="35">
        <f t="shared" si="115"/>
        <v>13.67888980743238</v>
      </c>
      <c r="O369" s="29">
        <f t="shared" si="116"/>
        <v>1046.5772603238615</v>
      </c>
      <c r="T369" s="48">
        <v>0.7437384953703704</v>
      </c>
      <c r="U369" s="29">
        <v>-1234.4682225649149</v>
      </c>
      <c r="V369" s="29">
        <v>4595.0990767170661</v>
      </c>
      <c r="W369" s="29">
        <v>4269.3615428129624</v>
      </c>
      <c r="X369" s="4">
        <v>-0.32125807811286938</v>
      </c>
      <c r="Y369" s="4">
        <v>-0.14172195794107872</v>
      </c>
      <c r="Z369" s="4">
        <v>-4.8346806286976927E-2</v>
      </c>
      <c r="AA369" s="3">
        <f t="shared" si="121"/>
        <v>0.3544422093847992</v>
      </c>
      <c r="AB369" s="3">
        <f t="shared" si="124"/>
        <v>4.4467864323770166E-2</v>
      </c>
      <c r="AC369" s="3">
        <f t="shared" si="122"/>
        <v>7.2131008986893508E-2</v>
      </c>
      <c r="AD369" s="48"/>
      <c r="AE369" s="46">
        <f t="shared" si="117"/>
        <v>42.092150973455674</v>
      </c>
      <c r="AF369" s="46">
        <f t="shared" si="118"/>
        <v>-248.53992572028653</v>
      </c>
      <c r="AG369" s="47">
        <f t="shared" si="119"/>
        <v>24104.751323156052</v>
      </c>
      <c r="AH369" s="45" t="str">
        <f t="shared" si="123"/>
        <v>-248.53993,42.09215,24105</v>
      </c>
      <c r="AI369" s="44">
        <f t="shared" si="125"/>
        <v>1021.305275927589</v>
      </c>
    </row>
    <row r="370" spans="1:35" ht="18" customHeight="1" x14ac:dyDescent="0.25">
      <c r="A370" s="36">
        <f t="shared" si="120"/>
        <v>0.74375016203703703</v>
      </c>
      <c r="B370" s="42">
        <f t="shared" si="105"/>
        <v>42.092150958132478</v>
      </c>
      <c r="C370" s="43">
        <f t="shared" si="106"/>
        <v>111.46007631571126</v>
      </c>
      <c r="D370" s="18">
        <f t="shared" si="107"/>
        <v>24.032249741278065</v>
      </c>
      <c r="E370" s="21" t="str">
        <f t="shared" si="108"/>
        <v>Umbra</v>
      </c>
      <c r="F370" s="23">
        <f>IF($E370&lt;&gt;"Umbra",fracil2($S$2,$S$3,$S$4,$A370,$Q$2,$O$3,$Q$4,$U370,$V370,$W370),0)</f>
        <v>0</v>
      </c>
      <c r="G370" s="19">
        <f t="shared" si="109"/>
        <v>69.297948028790145</v>
      </c>
      <c r="H370" s="19">
        <f t="shared" si="110"/>
        <v>-3.5431070286940094</v>
      </c>
      <c r="I370" s="19">
        <f t="shared" si="111"/>
        <v>-2.3350890792991139</v>
      </c>
      <c r="J370" s="28">
        <f t="shared" si="112"/>
        <v>7.426215944679522E-3</v>
      </c>
      <c r="K370" s="24">
        <f t="shared" si="113"/>
        <v>1050.0058142395728</v>
      </c>
      <c r="L370" s="32">
        <f t="shared" si="114"/>
        <v>0.55295013615453803</v>
      </c>
      <c r="M370" s="35">
        <f t="shared" si="115"/>
        <v>13.676253444488662</v>
      </c>
      <c r="O370" s="29">
        <f t="shared" si="116"/>
        <v>1046.577423641399</v>
      </c>
      <c r="T370" s="48">
        <v>0.74375016203703703</v>
      </c>
      <c r="U370" s="29">
        <v>-1234.7921809167776</v>
      </c>
      <c r="V370" s="29">
        <v>4594.9563248034228</v>
      </c>
      <c r="W370" s="29">
        <v>4269.3129419213119</v>
      </c>
      <c r="X370" s="4">
        <v>-0.32132653862231186</v>
      </c>
      <c r="Y370" s="4">
        <v>-0.14143303168097721</v>
      </c>
      <c r="Z370" s="4">
        <v>-4.805569290992863E-2</v>
      </c>
      <c r="AA370" s="3">
        <f t="shared" si="121"/>
        <v>0.35434925778745713</v>
      </c>
      <c r="AB370" s="3">
        <f t="shared" si="124"/>
        <v>4.3936093389952573E-2</v>
      </c>
      <c r="AC370" s="3">
        <f t="shared" si="122"/>
        <v>7.1696724956458666E-2</v>
      </c>
      <c r="AD370" s="48"/>
      <c r="AE370" s="46">
        <f t="shared" si="117"/>
        <v>42.092150958132478</v>
      </c>
      <c r="AF370" s="46">
        <f t="shared" si="118"/>
        <v>-248.53992368428874</v>
      </c>
      <c r="AG370" s="47">
        <f t="shared" si="119"/>
        <v>24032.249741278065</v>
      </c>
      <c r="AH370" s="45" t="str">
        <f t="shared" si="123"/>
        <v>-248.53992,42.09215,24032</v>
      </c>
      <c r="AI370" s="44">
        <f t="shared" si="125"/>
        <v>1021.305465798185</v>
      </c>
    </row>
    <row r="371" spans="1:35" ht="18" customHeight="1" x14ac:dyDescent="0.25">
      <c r="A371" s="36">
        <f t="shared" si="120"/>
        <v>0.74376159722222213</v>
      </c>
      <c r="B371" s="42">
        <f t="shared" si="105"/>
        <v>42.092150942882995</v>
      </c>
      <c r="C371" s="43">
        <f t="shared" si="106"/>
        <v>111.46007723301295</v>
      </c>
      <c r="D371" s="18">
        <f t="shared" si="107"/>
        <v>23.961627246375429</v>
      </c>
      <c r="E371" s="21" t="str">
        <f t="shared" si="108"/>
        <v>Umbra</v>
      </c>
      <c r="F371" s="23">
        <f>IF($E371&lt;&gt;"Umbra",fracil2($S$2,$S$3,$S$4,$A371,$Q$2,$O$3,$Q$4,$U371,$V371,$W371),0)</f>
        <v>0</v>
      </c>
      <c r="G371" s="19">
        <f t="shared" si="109"/>
        <v>69.297961573786608</v>
      </c>
      <c r="H371" s="19">
        <f t="shared" si="110"/>
        <v>-3.5469404554837882</v>
      </c>
      <c r="I371" s="19">
        <f t="shared" si="111"/>
        <v>-2.3389225060888927</v>
      </c>
      <c r="J371" s="28">
        <f t="shared" si="112"/>
        <v>7.4050544972850026E-3</v>
      </c>
      <c r="K371" s="24">
        <f t="shared" si="113"/>
        <v>1049.9985873932717</v>
      </c>
      <c r="L371" s="32">
        <f t="shared" si="114"/>
        <v>0.55296975440010454</v>
      </c>
      <c r="M371" s="35">
        <f t="shared" si="115"/>
        <v>13.673686449646331</v>
      </c>
      <c r="O371" s="29">
        <f t="shared" si="116"/>
        <v>1046.5774970139869</v>
      </c>
      <c r="T371" s="48">
        <v>0.74376159722222213</v>
      </c>
      <c r="U371" s="29">
        <v>-1235.1096960249808</v>
      </c>
      <c r="V371" s="29">
        <v>4594.8167221280919</v>
      </c>
      <c r="W371" s="29">
        <v>4269.2656006347943</v>
      </c>
      <c r="X371" s="4">
        <v>-0.32139272282608483</v>
      </c>
      <c r="Y371" s="4">
        <v>-0.14115368057349378</v>
      </c>
      <c r="Z371" s="4">
        <v>-4.777392210623866E-2</v>
      </c>
      <c r="AA371" s="3">
        <f t="shared" si="121"/>
        <v>0.35425977962283756</v>
      </c>
      <c r="AB371" s="3">
        <f t="shared" si="124"/>
        <v>4.3386234086192237E-2</v>
      </c>
      <c r="AC371" s="3">
        <f t="shared" si="122"/>
        <v>7.1276384889950223E-2</v>
      </c>
      <c r="AD371" s="48"/>
      <c r="AE371" s="46">
        <f t="shared" si="117"/>
        <v>42.092150942882995</v>
      </c>
      <c r="AF371" s="46">
        <f t="shared" si="118"/>
        <v>-248.53992276698705</v>
      </c>
      <c r="AG371" s="47">
        <f t="shared" si="119"/>
        <v>23961.627246375429</v>
      </c>
      <c r="AH371" s="45" t="str">
        <f t="shared" si="123"/>
        <v>-248.53992,42.09215,23962</v>
      </c>
      <c r="AI371" s="44">
        <f t="shared" si="125"/>
        <v>1021.3055607334829</v>
      </c>
    </row>
    <row r="372" spans="1:35" ht="18" customHeight="1" x14ac:dyDescent="0.25">
      <c r="A372" s="36">
        <f t="shared" si="120"/>
        <v>0.74377319444444445</v>
      </c>
      <c r="B372" s="42">
        <f t="shared" si="105"/>
        <v>42.092150927221603</v>
      </c>
      <c r="C372" s="43">
        <f t="shared" si="106"/>
        <v>111.46007979532281</v>
      </c>
      <c r="D372" s="18">
        <f t="shared" si="107"/>
        <v>23.890397796189063</v>
      </c>
      <c r="E372" s="21" t="str">
        <f t="shared" si="108"/>
        <v>Umbra</v>
      </c>
      <c r="F372" s="23">
        <f>IF($E372&lt;&gt;"Umbra",fracil2($S$2,$S$3,$S$4,$A372,$Q$2,$O$3,$Q$4,$U372,$V372,$W372),0)</f>
        <v>0</v>
      </c>
      <c r="G372" s="19">
        <f t="shared" si="109"/>
        <v>69.297976903676442</v>
      </c>
      <c r="H372" s="19">
        <f t="shared" si="110"/>
        <v>-3.5508076227425982</v>
      </c>
      <c r="I372" s="19">
        <f t="shared" si="111"/>
        <v>-2.3427896733477027</v>
      </c>
      <c r="J372" s="28">
        <f t="shared" si="112"/>
        <v>7.3838544633127558E-3</v>
      </c>
      <c r="K372" s="24">
        <f t="shared" si="113"/>
        <v>1049.9914349774115</v>
      </c>
      <c r="L372" s="32">
        <f t="shared" si="114"/>
        <v>0.55298960355520321</v>
      </c>
      <c r="M372" s="35">
        <f t="shared" si="115"/>
        <v>13.671095570233817</v>
      </c>
      <c r="O372" s="29">
        <f t="shared" si="116"/>
        <v>1046.5777026402734</v>
      </c>
      <c r="T372" s="48">
        <v>0.74377319444444445</v>
      </c>
      <c r="U372" s="29">
        <v>-1235.4319030863442</v>
      </c>
      <c r="V372" s="29">
        <v>4594.6753659138303</v>
      </c>
      <c r="W372" s="29">
        <v>4269.2178524569199</v>
      </c>
      <c r="X372" s="4">
        <v>-0.32145897507943699</v>
      </c>
      <c r="Y372" s="4">
        <v>-0.14087399872010772</v>
      </c>
      <c r="Z372" s="4">
        <v>-4.7491512489211532E-2</v>
      </c>
      <c r="AA372" s="3">
        <f t="shared" si="121"/>
        <v>0.35417058027598503</v>
      </c>
      <c r="AB372" s="3">
        <f t="shared" si="124"/>
        <v>4.2876417584840176E-2</v>
      </c>
      <c r="AC372" s="3">
        <f t="shared" si="122"/>
        <v>7.0855097846807838E-2</v>
      </c>
      <c r="AD372" s="48"/>
      <c r="AE372" s="46">
        <f t="shared" si="117"/>
        <v>42.092150927221603</v>
      </c>
      <c r="AF372" s="46">
        <f t="shared" si="118"/>
        <v>-248.53992020467717</v>
      </c>
      <c r="AG372" s="47">
        <f t="shared" si="119"/>
        <v>23890.397796189063</v>
      </c>
      <c r="AH372" s="45" t="str">
        <f t="shared" si="123"/>
        <v>-248.53992,42.09215,23890</v>
      </c>
      <c r="AI372" s="44">
        <f t="shared" si="125"/>
        <v>1021.3057932765215</v>
      </c>
    </row>
    <row r="373" spans="1:35" ht="18" customHeight="1" x14ac:dyDescent="0.25">
      <c r="A373" s="36">
        <f t="shared" si="120"/>
        <v>0.7437848958333334</v>
      </c>
      <c r="B373" s="42">
        <f t="shared" si="105"/>
        <v>42.092150911278971</v>
      </c>
      <c r="C373" s="43">
        <f t="shared" si="106"/>
        <v>111.46007948592889</v>
      </c>
      <c r="D373" s="18">
        <f t="shared" si="107"/>
        <v>23.819002589521915</v>
      </c>
      <c r="E373" s="21" t="str">
        <f t="shared" si="108"/>
        <v>Umbra</v>
      </c>
      <c r="F373" s="23">
        <f>IF($E373&lt;&gt;"Umbra",fracil2($S$2,$S$3,$S$4,$A373,$Q$2,$O$3,$Q$4,$U373,$V373,$W373),0)</f>
        <v>0</v>
      </c>
      <c r="G373" s="19">
        <f t="shared" si="109"/>
        <v>69.297989341612748</v>
      </c>
      <c r="H373" s="19">
        <f t="shared" si="110"/>
        <v>-3.5546825399429496</v>
      </c>
      <c r="I373" s="19">
        <f t="shared" si="111"/>
        <v>-2.3466645905480545</v>
      </c>
      <c r="J373" s="28">
        <f t="shared" si="112"/>
        <v>7.3627497353438197E-3</v>
      </c>
      <c r="K373" s="24">
        <f t="shared" si="113"/>
        <v>1049.9840390563663</v>
      </c>
      <c r="L373" s="32">
        <f t="shared" si="114"/>
        <v>0.55300957904658443</v>
      </c>
      <c r="M373" s="35">
        <f t="shared" si="115"/>
        <v>13.668501617720414</v>
      </c>
      <c r="O373" s="29">
        <f t="shared" si="116"/>
        <v>1046.5776773652215</v>
      </c>
      <c r="T373" s="48">
        <v>0.7437848958333334</v>
      </c>
      <c r="U373" s="29">
        <v>-1235.7568492054415</v>
      </c>
      <c r="V373" s="29">
        <v>4594.5331193078728</v>
      </c>
      <c r="W373" s="29">
        <v>4269.1699931450939</v>
      </c>
      <c r="X373" s="4">
        <v>-0.3215248770290498</v>
      </c>
      <c r="Y373" s="4">
        <v>-0.14059574046526918</v>
      </c>
      <c r="Z373" s="4">
        <v>-4.7210232076467226E-2</v>
      </c>
      <c r="AA373" s="3">
        <f t="shared" si="121"/>
        <v>0.35408221474431162</v>
      </c>
      <c r="AB373" s="3">
        <f t="shared" si="124"/>
        <v>4.2324267933422845E-2</v>
      </c>
      <c r="AC373" s="3">
        <f t="shared" si="122"/>
        <v>7.0435500725965536E-2</v>
      </c>
      <c r="AD373" s="48"/>
      <c r="AE373" s="46">
        <f t="shared" si="117"/>
        <v>42.092150911278971</v>
      </c>
      <c r="AF373" s="46">
        <f t="shared" si="118"/>
        <v>-248.53992051407113</v>
      </c>
      <c r="AG373" s="47">
        <f t="shared" si="119"/>
        <v>23819.002589521915</v>
      </c>
      <c r="AH373" s="45" t="str">
        <f t="shared" si="123"/>
        <v>-248.53992,42.09215,23819</v>
      </c>
      <c r="AI373" s="44">
        <f t="shared" si="125"/>
        <v>1021.3057932765215</v>
      </c>
    </row>
    <row r="374" spans="1:35" ht="18" customHeight="1" x14ac:dyDescent="0.25">
      <c r="A374" s="36">
        <f t="shared" si="120"/>
        <v>0.74379637731481474</v>
      </c>
      <c r="B374" s="42">
        <f t="shared" si="105"/>
        <v>42.092150895523069</v>
      </c>
      <c r="C374" s="43">
        <f t="shared" si="106"/>
        <v>111.46007949648624</v>
      </c>
      <c r="D374" s="18">
        <f t="shared" si="107"/>
        <v>23.749353473032897</v>
      </c>
      <c r="E374" s="21" t="str">
        <f t="shared" si="108"/>
        <v>Umbra</v>
      </c>
      <c r="F374" s="23">
        <f>IF($E374&lt;&gt;"Umbra",fracil2($S$2,$S$3,$S$4,$A374,$Q$2,$O$3,$Q$4,$U374,$V374,$W374),0)</f>
        <v>0</v>
      </c>
      <c r="G374" s="19">
        <f t="shared" si="109"/>
        <v>69.29800179483523</v>
      </c>
      <c r="H374" s="19">
        <f t="shared" si="110"/>
        <v>-3.5584628833171914</v>
      </c>
      <c r="I374" s="19">
        <f t="shared" si="111"/>
        <v>-2.3504449339222964</v>
      </c>
      <c r="J374" s="28">
        <f t="shared" si="112"/>
        <v>7.3422986503601292E-3</v>
      </c>
      <c r="K374" s="24">
        <f t="shared" si="113"/>
        <v>1049.9768537850323</v>
      </c>
      <c r="L374" s="32">
        <f t="shared" si="114"/>
        <v>0.55302913211475724</v>
      </c>
      <c r="M374" s="35">
        <f t="shared" si="115"/>
        <v>13.665970686483011</v>
      </c>
      <c r="O374" s="29">
        <f t="shared" si="116"/>
        <v>1046.5776778199661</v>
      </c>
      <c r="T374" s="48">
        <v>0.74379637731481474</v>
      </c>
      <c r="U374" s="29">
        <v>-1236.0757778088446</v>
      </c>
      <c r="V374" s="29">
        <v>4594.3938066605806</v>
      </c>
      <c r="W374" s="29">
        <v>4269.1233042966696</v>
      </c>
      <c r="X374" s="4">
        <v>-0.32158868239209398</v>
      </c>
      <c r="Y374" s="4">
        <v>-0.14032627217896895</v>
      </c>
      <c r="Z374" s="4">
        <v>-4.6937539265400174E-2</v>
      </c>
      <c r="AA374" s="3">
        <f t="shared" si="121"/>
        <v>0.35399699984409494</v>
      </c>
      <c r="AB374" s="3">
        <f t="shared" si="124"/>
        <v>4.1817505294046521E-2</v>
      </c>
      <c r="AC374" s="3">
        <f t="shared" si="122"/>
        <v>7.0028718768712625E-2</v>
      </c>
      <c r="AD374" s="48"/>
      <c r="AE374" s="46">
        <f t="shared" si="117"/>
        <v>42.092150895523069</v>
      </c>
      <c r="AF374" s="46">
        <f t="shared" si="118"/>
        <v>-248.53992050351377</v>
      </c>
      <c r="AG374" s="47">
        <f t="shared" si="119"/>
        <v>23749.353473032897</v>
      </c>
      <c r="AH374" s="45" t="str">
        <f t="shared" si="123"/>
        <v>-248.53992,42.09215,23749</v>
      </c>
      <c r="AI374" s="44">
        <f t="shared" si="125"/>
        <v>1021.3057932765215</v>
      </c>
    </row>
    <row r="375" spans="1:35" ht="18" customHeight="1" x14ac:dyDescent="0.25">
      <c r="A375" s="36">
        <f t="shared" si="120"/>
        <v>0.7438078935185185</v>
      </c>
      <c r="B375" s="42">
        <f t="shared" si="105"/>
        <v>42.092150879644713</v>
      </c>
      <c r="C375" s="43">
        <f t="shared" si="106"/>
        <v>111.460078070295</v>
      </c>
      <c r="D375" s="18">
        <f t="shared" si="107"/>
        <v>23.679920402340031</v>
      </c>
      <c r="E375" s="21" t="str">
        <f t="shared" si="108"/>
        <v>Umbra</v>
      </c>
      <c r="F375" s="23">
        <f>IF($E375&lt;&gt;"Umbra",fracil2($S$2,$S$3,$S$4,$A375,$Q$2,$O$3,$Q$4,$U375,$V375,$W375),0)</f>
        <v>0</v>
      </c>
      <c r="G375" s="19">
        <f t="shared" si="109"/>
        <v>69.298012748193187</v>
      </c>
      <c r="H375" s="19">
        <f t="shared" si="110"/>
        <v>-3.5622309026070083</v>
      </c>
      <c r="I375" s="19">
        <f t="shared" si="111"/>
        <v>-2.3542129532121132</v>
      </c>
      <c r="J375" s="28">
        <f t="shared" si="112"/>
        <v>7.3220457907787169E-3</v>
      </c>
      <c r="K375" s="24">
        <f t="shared" si="113"/>
        <v>1049.9695796934302</v>
      </c>
      <c r="L375" s="32">
        <f t="shared" si="114"/>
        <v>0.55304869642314525</v>
      </c>
      <c r="M375" s="35">
        <f t="shared" si="115"/>
        <v>13.663449040080959</v>
      </c>
      <c r="O375" s="29">
        <f t="shared" si="116"/>
        <v>1046.5775627523983</v>
      </c>
      <c r="T375" s="48">
        <v>0.7438078935185185</v>
      </c>
      <c r="U375" s="29">
        <v>-1236.3956242384932</v>
      </c>
      <c r="V375" s="29">
        <v>4594.2543872614215</v>
      </c>
      <c r="W375" s="29">
        <v>4269.0767602590449</v>
      </c>
      <c r="X375" s="4">
        <v>-0.32165181364651962</v>
      </c>
      <c r="Y375" s="4">
        <v>-0.14005958057616208</v>
      </c>
      <c r="Z375" s="4">
        <v>-4.6667362609938978E-2</v>
      </c>
      <c r="AA375" s="3">
        <f t="shared" si="121"/>
        <v>0.35391300917913904</v>
      </c>
      <c r="AB375" s="3">
        <f t="shared" si="124"/>
        <v>4.1306307174754392E-2</v>
      </c>
      <c r="AC375" s="3">
        <f t="shared" si="122"/>
        <v>6.9625694368795607E-2</v>
      </c>
      <c r="AD375" s="48"/>
      <c r="AE375" s="46">
        <f t="shared" si="117"/>
        <v>42.092150879644713</v>
      </c>
      <c r="AF375" s="46">
        <f t="shared" si="118"/>
        <v>-248.539921929705</v>
      </c>
      <c r="AG375" s="47">
        <f t="shared" si="119"/>
        <v>23679.920402340031</v>
      </c>
      <c r="AH375" s="45" t="str">
        <f t="shared" si="123"/>
        <v>-248.53992,42.09215,23680</v>
      </c>
      <c r="AI375" s="44">
        <f t="shared" si="125"/>
        <v>1021.3059275353065</v>
      </c>
    </row>
    <row r="376" spans="1:35" ht="18" customHeight="1" x14ac:dyDescent="0.25">
      <c r="A376" s="36">
        <f t="shared" si="120"/>
        <v>0.74381943287037033</v>
      </c>
      <c r="B376" s="42">
        <f t="shared" si="105"/>
        <v>42.092150863662745</v>
      </c>
      <c r="C376" s="43">
        <f t="shared" si="106"/>
        <v>111.46008128190456</v>
      </c>
      <c r="D376" s="18">
        <f t="shared" si="107"/>
        <v>23.610670399514675</v>
      </c>
      <c r="E376" s="21" t="str">
        <f t="shared" si="108"/>
        <v>Umbra</v>
      </c>
      <c r="F376" s="23">
        <f>IF($E376&lt;&gt;"Umbra",fracil2($S$2,$S$3,$S$4,$A376,$Q$2,$O$3,$Q$4,$U376,$V376,$W376),0)</f>
        <v>0</v>
      </c>
      <c r="G376" s="19">
        <f t="shared" si="109"/>
        <v>69.298028391078347</v>
      </c>
      <c r="H376" s="19">
        <f t="shared" si="110"/>
        <v>-3.5659911317817357</v>
      </c>
      <c r="I376" s="19">
        <f t="shared" si="111"/>
        <v>-2.3579731823868402</v>
      </c>
      <c r="J376" s="28">
        <f t="shared" si="112"/>
        <v>7.301977867123546E-3</v>
      </c>
      <c r="K376" s="24">
        <f t="shared" si="113"/>
        <v>1049.9627023358394</v>
      </c>
      <c r="L376" s="32">
        <f t="shared" si="114"/>
        <v>0.55306825825990891</v>
      </c>
      <c r="M376" s="35">
        <f t="shared" si="115"/>
        <v>13.660929054253998</v>
      </c>
      <c r="O376" s="29">
        <f t="shared" si="116"/>
        <v>1046.5778205764643</v>
      </c>
      <c r="T376" s="48">
        <v>0.74381943287037033</v>
      </c>
      <c r="U376" s="29">
        <v>-1236.71653414755</v>
      </c>
      <c r="V376" s="29">
        <v>4594.1147963498606</v>
      </c>
      <c r="W376" s="29">
        <v>4269.0303389278515</v>
      </c>
      <c r="X376" s="4">
        <v>-0.32171430624351516</v>
      </c>
      <c r="Y376" s="4">
        <v>-0.13979550945839092</v>
      </c>
      <c r="Z376" s="4">
        <v>-4.6399547701279138E-2</v>
      </c>
      <c r="AA376" s="3">
        <f t="shared" si="121"/>
        <v>0.35383018149016149</v>
      </c>
      <c r="AB376" s="3">
        <f t="shared" si="124"/>
        <v>4.0862711430541161E-2</v>
      </c>
      <c r="AC376" s="3">
        <f t="shared" si="122"/>
        <v>6.922619671975333E-2</v>
      </c>
      <c r="AD376" s="48"/>
      <c r="AE376" s="46">
        <f t="shared" si="117"/>
        <v>42.092150863662745</v>
      </c>
      <c r="AF376" s="46">
        <f t="shared" si="118"/>
        <v>-248.53991871809544</v>
      </c>
      <c r="AG376" s="47">
        <f t="shared" si="119"/>
        <v>23610.670399514675</v>
      </c>
      <c r="AH376" s="45" t="str">
        <f t="shared" si="123"/>
        <v>-248.53992,42.09215,23611</v>
      </c>
      <c r="AI376" s="44">
        <f t="shared" si="125"/>
        <v>1021.306196052878</v>
      </c>
    </row>
    <row r="377" spans="1:35" ht="18" customHeight="1" x14ac:dyDescent="0.25">
      <c r="A377" s="36">
        <f t="shared" si="120"/>
        <v>0.74383103009259255</v>
      </c>
      <c r="B377" s="42">
        <f t="shared" si="105"/>
        <v>42.092150847580555</v>
      </c>
      <c r="C377" s="43">
        <f t="shared" si="106"/>
        <v>111.46008169784641</v>
      </c>
      <c r="D377" s="18">
        <f t="shared" si="107"/>
        <v>23.541518452819219</v>
      </c>
      <c r="E377" s="21" t="str">
        <f t="shared" si="108"/>
        <v>Umbra</v>
      </c>
      <c r="F377" s="23">
        <f>IF($E377&lt;&gt;"Umbra",fracil2($S$2,$S$3,$S$4,$A377,$Q$2,$O$3,$Q$4,$U377,$V377,$W377),0)</f>
        <v>0</v>
      </c>
      <c r="G377" s="19">
        <f t="shared" si="109"/>
        <v>69.29804117155507</v>
      </c>
      <c r="H377" s="19">
        <f t="shared" si="110"/>
        <v>-3.56974482601998</v>
      </c>
      <c r="I377" s="19">
        <f t="shared" si="111"/>
        <v>-2.3617268766250845</v>
      </c>
      <c r="J377" s="28">
        <f t="shared" si="112"/>
        <v>7.282070459136804E-3</v>
      </c>
      <c r="K377" s="24">
        <f t="shared" si="113"/>
        <v>1049.9556145407046</v>
      </c>
      <c r="L377" s="32">
        <f t="shared" si="114"/>
        <v>0.55308786949224531</v>
      </c>
      <c r="M377" s="35">
        <f t="shared" si="115"/>
        <v>13.658415504719715</v>
      </c>
      <c r="O377" s="29">
        <f t="shared" si="116"/>
        <v>1046.5778536172725</v>
      </c>
      <c r="T377" s="48">
        <v>0.74383103009259255</v>
      </c>
      <c r="U377" s="29">
        <v>-1237.0389000438643</v>
      </c>
      <c r="V377" s="29">
        <v>4593.9748626588407</v>
      </c>
      <c r="W377" s="29">
        <v>4268.983983317873</v>
      </c>
      <c r="X377" s="4">
        <v>-0.32177624071615524</v>
      </c>
      <c r="Y377" s="4">
        <v>-0.13953371246666935</v>
      </c>
      <c r="Z377" s="4">
        <v>-4.6133746081158285E-2</v>
      </c>
      <c r="AA377" s="3">
        <f t="shared" si="121"/>
        <v>0.35374839721422485</v>
      </c>
      <c r="AB377" s="3">
        <f t="shared" si="124"/>
        <v>4.0352815100918614E-2</v>
      </c>
      <c r="AC377" s="3">
        <f t="shared" si="122"/>
        <v>6.8829705615464212E-2</v>
      </c>
      <c r="AD377" s="48"/>
      <c r="AE377" s="46">
        <f t="shared" si="117"/>
        <v>42.092150847580555</v>
      </c>
      <c r="AF377" s="46">
        <f t="shared" si="118"/>
        <v>-248.53991830215358</v>
      </c>
      <c r="AG377" s="47">
        <f t="shared" si="119"/>
        <v>23541.518452819219</v>
      </c>
      <c r="AH377" s="45" t="str">
        <f t="shared" si="123"/>
        <v>-248.53992,42.09215,23542</v>
      </c>
      <c r="AI377" s="44">
        <f t="shared" si="125"/>
        <v>1021.306196052878</v>
      </c>
    </row>
    <row r="378" spans="1:35" ht="18" customHeight="1" x14ac:dyDescent="0.25">
      <c r="A378" s="36">
        <f t="shared" si="120"/>
        <v>0.74384261574074084</v>
      </c>
      <c r="B378" s="42">
        <f t="shared" si="105"/>
        <v>42.092150831499623</v>
      </c>
      <c r="C378" s="43">
        <f t="shared" si="106"/>
        <v>111.46008327412208</v>
      </c>
      <c r="D378" s="18">
        <f t="shared" si="107"/>
        <v>23.472810723169459</v>
      </c>
      <c r="E378" s="21" t="str">
        <f t="shared" si="108"/>
        <v>Umbra</v>
      </c>
      <c r="F378" s="23">
        <f>IF($E378&lt;&gt;"Umbra",fracil2($S$2,$S$3,$S$4,$A378,$Q$2,$O$3,$Q$4,$U378,$V378,$W378),0)</f>
        <v>0</v>
      </c>
      <c r="G378" s="19">
        <f t="shared" si="109"/>
        <v>69.298055054693933</v>
      </c>
      <c r="H378" s="19">
        <f t="shared" si="110"/>
        <v>-3.5734749820339418</v>
      </c>
      <c r="I378" s="19">
        <f t="shared" si="111"/>
        <v>-2.3654570326390463</v>
      </c>
      <c r="J378" s="28">
        <f t="shared" si="112"/>
        <v>7.2624196477206896E-3</v>
      </c>
      <c r="K378" s="24">
        <f t="shared" si="113"/>
        <v>1049.9486703555046</v>
      </c>
      <c r="L378" s="32">
        <f t="shared" si="114"/>
        <v>0.55310741667400232</v>
      </c>
      <c r="M378" s="35">
        <f t="shared" si="115"/>
        <v>13.65591678778644</v>
      </c>
      <c r="O378" s="29">
        <f t="shared" si="116"/>
        <v>1046.5779799527181</v>
      </c>
      <c r="T378" s="48">
        <v>0.74384261574074084</v>
      </c>
      <c r="U378" s="29">
        <v>-1237.3610958716263</v>
      </c>
      <c r="V378" s="29">
        <v>4593.8352898526864</v>
      </c>
      <c r="W378" s="29">
        <v>4268.9379254778269</v>
      </c>
      <c r="X378" s="4">
        <v>-0.32183731446279484</v>
      </c>
      <c r="Y378" s="4">
        <v>-0.13927546435564864</v>
      </c>
      <c r="Z378" s="4">
        <v>-4.5871256639952146E-2</v>
      </c>
      <c r="AA378" s="3">
        <f t="shared" si="121"/>
        <v>0.35366804229083776</v>
      </c>
      <c r="AB378" s="3">
        <f t="shared" si="124"/>
        <v>3.9889481747127926E-2</v>
      </c>
      <c r="AC378" s="3">
        <f t="shared" si="122"/>
        <v>6.8438158201188953E-2</v>
      </c>
      <c r="AD378" s="48"/>
      <c r="AE378" s="46">
        <f t="shared" si="117"/>
        <v>42.092150831499623</v>
      </c>
      <c r="AF378" s="46">
        <f t="shared" si="118"/>
        <v>-248.5399167258779</v>
      </c>
      <c r="AG378" s="47">
        <f t="shared" si="119"/>
        <v>23472.810723169459</v>
      </c>
      <c r="AH378" s="45" t="str">
        <f t="shared" si="123"/>
        <v>-248.53992,42.09215,23473</v>
      </c>
      <c r="AI378" s="44">
        <f t="shared" si="125"/>
        <v>1021.306330311663</v>
      </c>
    </row>
    <row r="379" spans="1:35" ht="18" customHeight="1" x14ac:dyDescent="0.25">
      <c r="A379" s="36">
        <f t="shared" si="120"/>
        <v>0.74385430555555565</v>
      </c>
      <c r="B379" s="42">
        <f t="shared" si="105"/>
        <v>42.092150815283709</v>
      </c>
      <c r="C379" s="43">
        <f t="shared" si="106"/>
        <v>111.46008425398217</v>
      </c>
      <c r="D379" s="18">
        <f t="shared" si="107"/>
        <v>23.403890059533296</v>
      </c>
      <c r="E379" s="21" t="str">
        <f t="shared" si="108"/>
        <v>Umbra</v>
      </c>
      <c r="F379" s="23">
        <f>IF($E379&lt;&gt;"Umbra",fracil2($S$2,$S$3,$S$4,$A379,$Q$2,$O$3,$Q$4,$U379,$V379,$W379),0)</f>
        <v>0</v>
      </c>
      <c r="G379" s="19">
        <f t="shared" si="109"/>
        <v>69.298068369526675</v>
      </c>
      <c r="H379" s="19">
        <f t="shared" si="110"/>
        <v>-3.5772164767791703</v>
      </c>
      <c r="I379" s="19">
        <f t="shared" si="111"/>
        <v>-2.3691985273842748</v>
      </c>
      <c r="J379" s="28">
        <f t="shared" si="112"/>
        <v>7.2428362109575803E-3</v>
      </c>
      <c r="K379" s="24">
        <f t="shared" si="113"/>
        <v>1049.9416607123762</v>
      </c>
      <c r="L379" s="32">
        <f t="shared" si="114"/>
        <v>0.55312709343434607</v>
      </c>
      <c r="M379" s="35">
        <f t="shared" si="115"/>
        <v>13.653410878948664</v>
      </c>
      <c r="O379" s="29">
        <f t="shared" si="116"/>
        <v>1046.5780583310393</v>
      </c>
      <c r="T379" s="48">
        <v>0.74385430555555565</v>
      </c>
      <c r="U379" s="29">
        <v>-1237.6862037876083</v>
      </c>
      <c r="V379" s="29">
        <v>4593.6947425301032</v>
      </c>
      <c r="W379" s="29">
        <v>4268.8917248916687</v>
      </c>
      <c r="X379" s="4">
        <v>-0.32189811606691221</v>
      </c>
      <c r="Y379" s="4">
        <v>-0.13901827208988657</v>
      </c>
      <c r="Z379" s="4">
        <v>-4.5609547996248889E-2</v>
      </c>
      <c r="AA379" s="3">
        <f t="shared" si="121"/>
        <v>0.35358833121400818</v>
      </c>
      <c r="AB379" s="3">
        <f t="shared" si="124"/>
        <v>3.9416161803924578E-2</v>
      </c>
      <c r="AC379" s="3">
        <f t="shared" si="122"/>
        <v>6.8047778169713399E-2</v>
      </c>
      <c r="AD379" s="48"/>
      <c r="AE379" s="46">
        <f t="shared" si="117"/>
        <v>42.092150815283709</v>
      </c>
      <c r="AF379" s="46">
        <f t="shared" si="118"/>
        <v>-248.53991574601781</v>
      </c>
      <c r="AG379" s="47">
        <f t="shared" si="119"/>
        <v>23403.890059533296</v>
      </c>
      <c r="AH379" s="45" t="str">
        <f t="shared" si="123"/>
        <v>-248.53992,42.09215,23404</v>
      </c>
      <c r="AI379" s="44">
        <f t="shared" si="125"/>
        <v>1021.306425246961</v>
      </c>
    </row>
    <row r="380" spans="1:35" ht="18" customHeight="1" x14ac:dyDescent="0.25">
      <c r="A380" s="36">
        <f t="shared" si="120"/>
        <v>0.74386581018518516</v>
      </c>
      <c r="B380" s="42">
        <f t="shared" si="105"/>
        <v>42.092150799357654</v>
      </c>
      <c r="C380" s="43">
        <f t="shared" si="106"/>
        <v>111.46008240901976</v>
      </c>
      <c r="D380" s="18">
        <f t="shared" si="107"/>
        <v>23.336489344574147</v>
      </c>
      <c r="E380" s="21" t="str">
        <f t="shared" si="108"/>
        <v>Umbra</v>
      </c>
      <c r="F380" s="23">
        <f>IF($E380&lt;&gt;"Umbra",fracil2($S$2,$S$3,$S$4,$A380,$Q$2,$O$3,$Q$4,$U380,$V380,$W380),0)</f>
        <v>0</v>
      </c>
      <c r="G380" s="19">
        <f t="shared" si="109"/>
        <v>69.298078537826015</v>
      </c>
      <c r="H380" s="19">
        <f t="shared" si="110"/>
        <v>-3.5808742436893932</v>
      </c>
      <c r="I380" s="19">
        <f t="shared" si="111"/>
        <v>-2.3728562942944977</v>
      </c>
      <c r="J380" s="28">
        <f t="shared" si="112"/>
        <v>7.2238087944518255E-3</v>
      </c>
      <c r="K380" s="24">
        <f t="shared" si="113"/>
        <v>1049.9345843334499</v>
      </c>
      <c r="L380" s="32">
        <f t="shared" si="114"/>
        <v>0.553146411771264</v>
      </c>
      <c r="M380" s="35">
        <f t="shared" si="115"/>
        <v>13.650963116085018</v>
      </c>
      <c r="O380" s="29">
        <f t="shared" si="116"/>
        <v>1046.5779095917126</v>
      </c>
      <c r="T380" s="48">
        <v>0.74386581018518516</v>
      </c>
      <c r="U380" s="29">
        <v>-1238.0060052626332</v>
      </c>
      <c r="V380" s="29">
        <v>4593.5567667328178</v>
      </c>
      <c r="W380" s="29">
        <v>4268.8465431891345</v>
      </c>
      <c r="X380" s="4">
        <v>-0.32195713058237169</v>
      </c>
      <c r="Y380" s="4">
        <v>-0.13876854198013097</v>
      </c>
      <c r="Z380" s="4">
        <v>-4.5355147869836625E-2</v>
      </c>
      <c r="AA380" s="3">
        <f t="shared" si="121"/>
        <v>0.3535112326566448</v>
      </c>
      <c r="AB380" s="3">
        <f t="shared" si="124"/>
        <v>3.8931925098935082E-2</v>
      </c>
      <c r="AC380" s="3">
        <f t="shared" si="122"/>
        <v>6.7668302310942285E-2</v>
      </c>
      <c r="AD380" s="48"/>
      <c r="AE380" s="46">
        <f t="shared" si="117"/>
        <v>42.092150799357654</v>
      </c>
      <c r="AF380" s="46">
        <f t="shared" si="118"/>
        <v>-248.53991759098022</v>
      </c>
      <c r="AG380" s="47">
        <f t="shared" si="119"/>
        <v>23336.489344574147</v>
      </c>
      <c r="AH380" s="45" t="str">
        <f t="shared" si="123"/>
        <v>-248.53992,42.09215,23336</v>
      </c>
      <c r="AI380" s="44">
        <f t="shared" si="125"/>
        <v>1021.3066151175569</v>
      </c>
    </row>
    <row r="381" spans="1:35" ht="18" customHeight="1" x14ac:dyDescent="0.25">
      <c r="A381" s="36">
        <f t="shared" si="120"/>
        <v>0.74387731481481489</v>
      </c>
      <c r="B381" s="42">
        <f t="shared" si="105"/>
        <v>42.092150783456795</v>
      </c>
      <c r="C381" s="43">
        <f t="shared" si="106"/>
        <v>111.46008311367135</v>
      </c>
      <c r="D381" s="18">
        <f t="shared" si="107"/>
        <v>23.26942228660937</v>
      </c>
      <c r="E381" s="21" t="str">
        <f t="shared" si="108"/>
        <v>Umbra</v>
      </c>
      <c r="F381" s="23">
        <f>IF($E381&lt;&gt;"Umbra",fracil2($S$2,$S$3,$S$4,$A381,$Q$2,$O$3,$Q$4,$U381,$V381,$W381),0)</f>
        <v>0</v>
      </c>
      <c r="G381" s="19">
        <f t="shared" si="109"/>
        <v>69.298091242459648</v>
      </c>
      <c r="H381" s="19">
        <f t="shared" si="110"/>
        <v>-3.5845150959479897</v>
      </c>
      <c r="I381" s="19">
        <f t="shared" si="111"/>
        <v>-2.3764971465530946</v>
      </c>
      <c r="J381" s="28">
        <f t="shared" si="112"/>
        <v>7.2049952722445442E-3</v>
      </c>
      <c r="K381" s="24">
        <f t="shared" si="113"/>
        <v>1049.9277517349412</v>
      </c>
      <c r="L381" s="32">
        <f t="shared" si="114"/>
        <v>0.55316568907212971</v>
      </c>
      <c r="M381" s="35">
        <f t="shared" si="115"/>
        <v>13.648524704664702</v>
      </c>
      <c r="O381" s="29">
        <f t="shared" si="116"/>
        <v>1046.5779658502606</v>
      </c>
      <c r="T381" s="48">
        <v>0.74387731481481489</v>
      </c>
      <c r="U381" s="29">
        <v>-1238.3260620919593</v>
      </c>
      <c r="V381" s="29">
        <v>4593.418952663902</v>
      </c>
      <c r="W381" s="29">
        <v>4268.8015851473438</v>
      </c>
      <c r="X381" s="4">
        <v>-0.32201541667609951</v>
      </c>
      <c r="Y381" s="4">
        <v>-0.13852179447627391</v>
      </c>
      <c r="Z381" s="4">
        <v>-4.5103505483457033E-2</v>
      </c>
      <c r="AA381" s="3">
        <f t="shared" si="121"/>
        <v>0.35343534391583603</v>
      </c>
      <c r="AB381" s="3">
        <f t="shared" si="124"/>
        <v>3.850968127391783E-2</v>
      </c>
      <c r="AC381" s="3">
        <f t="shared" si="122"/>
        <v>6.7292942131974315E-2</v>
      </c>
      <c r="AD381" s="48"/>
      <c r="AE381" s="46">
        <f t="shared" si="117"/>
        <v>42.092150783456795</v>
      </c>
      <c r="AF381" s="46">
        <f t="shared" si="118"/>
        <v>-248.53991688632865</v>
      </c>
      <c r="AG381" s="47">
        <f t="shared" si="119"/>
        <v>23269.42228660937</v>
      </c>
      <c r="AH381" s="45" t="str">
        <f t="shared" si="123"/>
        <v>-248.53992,42.09215,23269</v>
      </c>
      <c r="AI381" s="44">
        <f t="shared" si="125"/>
        <v>1021.3066151175569</v>
      </c>
    </row>
    <row r="382" spans="1:35" ht="18" customHeight="1" x14ac:dyDescent="0.25">
      <c r="A382" s="36">
        <f t="shared" si="120"/>
        <v>0.74388896990740738</v>
      </c>
      <c r="B382" s="42">
        <f t="shared" si="105"/>
        <v>42.092150767386705</v>
      </c>
      <c r="C382" s="43">
        <f t="shared" si="106"/>
        <v>111.4600858778935</v>
      </c>
      <c r="D382" s="18">
        <f t="shared" si="107"/>
        <v>23.201823444895126</v>
      </c>
      <c r="E382" s="21" t="str">
        <f t="shared" si="108"/>
        <v>Umbra</v>
      </c>
      <c r="F382" s="23">
        <f>IF($E382&lt;&gt;"Umbra",fracil2($S$2,$S$3,$S$4,$A382,$Q$2,$O$3,$Q$4,$U382,$V382,$W382),0)</f>
        <v>0</v>
      </c>
      <c r="G382" s="19">
        <f t="shared" si="109"/>
        <v>69.29810613920101</v>
      </c>
      <c r="H382" s="19">
        <f t="shared" si="110"/>
        <v>-3.5881857889870568</v>
      </c>
      <c r="I382" s="19">
        <f t="shared" si="111"/>
        <v>-2.3801678395921613</v>
      </c>
      <c r="J382" s="28">
        <f t="shared" si="112"/>
        <v>7.1861524986388346E-3</v>
      </c>
      <c r="K382" s="24">
        <f t="shared" si="113"/>
        <v>1049.9210345863087</v>
      </c>
      <c r="L382" s="32">
        <f t="shared" si="114"/>
        <v>0.55318517658818978</v>
      </c>
      <c r="M382" s="35">
        <f t="shared" si="115"/>
        <v>13.646064707677267</v>
      </c>
      <c r="O382" s="29">
        <f t="shared" si="116"/>
        <v>1046.5781877007355</v>
      </c>
      <c r="T382" s="48">
        <v>0.74388896990740738</v>
      </c>
      <c r="U382" s="29">
        <v>-1238.6505221309535</v>
      </c>
      <c r="V382" s="29">
        <v>4593.279516602187</v>
      </c>
      <c r="W382" s="29">
        <v>4268.7562706236358</v>
      </c>
      <c r="X382" s="4">
        <v>-0.32207372701378617</v>
      </c>
      <c r="Y382" s="4">
        <v>-0.13827483994743192</v>
      </c>
      <c r="Z382" s="4">
        <v>-4.4851367630831016E-2</v>
      </c>
      <c r="AA382" s="3">
        <f t="shared" si="121"/>
        <v>0.35335967819403891</v>
      </c>
      <c r="AB382" s="3">
        <f t="shared" si="124"/>
        <v>3.8087184584777063E-2</v>
      </c>
      <c r="AC382" s="3">
        <f t="shared" si="122"/>
        <v>6.6916844819415081E-2</v>
      </c>
      <c r="AD382" s="48"/>
      <c r="AE382" s="46">
        <f t="shared" si="117"/>
        <v>42.092150767386705</v>
      </c>
      <c r="AF382" s="46">
        <f t="shared" si="118"/>
        <v>-248.5399141221065</v>
      </c>
      <c r="AG382" s="47">
        <f t="shared" si="119"/>
        <v>23201.823444895126</v>
      </c>
      <c r="AH382" s="45" t="str">
        <f t="shared" si="123"/>
        <v>-248.53991,42.09215,23202</v>
      </c>
      <c r="AI382" s="44">
        <f t="shared" si="125"/>
        <v>1021.3068476605955</v>
      </c>
    </row>
    <row r="383" spans="1:35" ht="18" customHeight="1" x14ac:dyDescent="0.25">
      <c r="A383" s="36">
        <f t="shared" si="120"/>
        <v>0.74390050925925921</v>
      </c>
      <c r="B383" s="42">
        <f t="shared" si="105"/>
        <v>42.092150751535378</v>
      </c>
      <c r="C383" s="43">
        <f t="shared" si="106"/>
        <v>111.46008767846098</v>
      </c>
      <c r="D383" s="18">
        <f t="shared" si="107"/>
        <v>23.135281872032465</v>
      </c>
      <c r="E383" s="21" t="str">
        <f t="shared" si="108"/>
        <v>Umbra</v>
      </c>
      <c r="F383" s="23">
        <f>IF($E383&lt;&gt;"Umbra",fracil2($S$2,$S$3,$S$4,$A383,$Q$2,$O$3,$Q$4,$U383,$V383,$W383),0)</f>
        <v>0</v>
      </c>
      <c r="G383" s="19">
        <f t="shared" si="109"/>
        <v>69.298119866442292</v>
      </c>
      <c r="H383" s="19">
        <f t="shared" si="110"/>
        <v>-3.591798703143946</v>
      </c>
      <c r="I383" s="19">
        <f t="shared" si="111"/>
        <v>-2.3837807537490505</v>
      </c>
      <c r="J383" s="28">
        <f t="shared" si="112"/>
        <v>7.1677220645988467E-3</v>
      </c>
      <c r="K383" s="24">
        <f t="shared" si="113"/>
        <v>1049.9143526092114</v>
      </c>
      <c r="L383" s="32">
        <f t="shared" si="114"/>
        <v>0.55320442691043537</v>
      </c>
      <c r="M383" s="35">
        <f t="shared" si="115"/>
        <v>13.643644079798422</v>
      </c>
      <c r="O383" s="29">
        <f t="shared" si="116"/>
        <v>1046.5783320757164</v>
      </c>
      <c r="T383" s="48">
        <v>0.74390050925925921</v>
      </c>
      <c r="U383" s="29">
        <v>-1238.9717460656948</v>
      </c>
      <c r="V383" s="29">
        <v>4593.1417394461305</v>
      </c>
      <c r="W383" s="29">
        <v>4268.7116648318097</v>
      </c>
      <c r="X383" s="4">
        <v>-0.32213069711955955</v>
      </c>
      <c r="Y383" s="4">
        <v>-0.13803345531128694</v>
      </c>
      <c r="Z383" s="4">
        <v>-4.4604636270035039E-2</v>
      </c>
      <c r="AA383" s="3">
        <f t="shared" si="121"/>
        <v>0.35328599517768688</v>
      </c>
      <c r="AB383" s="3">
        <f t="shared" si="124"/>
        <v>3.7644146858221768E-2</v>
      </c>
      <c r="AC383" s="3">
        <f t="shared" si="122"/>
        <v>6.654881373083632E-2</v>
      </c>
      <c r="AD383" s="48"/>
      <c r="AE383" s="46">
        <f t="shared" si="117"/>
        <v>42.092150751535378</v>
      </c>
      <c r="AF383" s="46">
        <f t="shared" si="118"/>
        <v>-248.53991232153902</v>
      </c>
      <c r="AG383" s="47">
        <f t="shared" si="119"/>
        <v>23135.281872032465</v>
      </c>
      <c r="AH383" s="45" t="str">
        <f t="shared" si="123"/>
        <v>-248.53991,42.09215,23135</v>
      </c>
      <c r="AI383" s="44">
        <f t="shared" si="125"/>
        <v>1021.3069819193805</v>
      </c>
    </row>
    <row r="384" spans="1:35" ht="18" customHeight="1" x14ac:dyDescent="0.25">
      <c r="A384" s="36">
        <f t="shared" si="120"/>
        <v>0.74391204861111104</v>
      </c>
      <c r="B384" s="42">
        <f t="shared" si="105"/>
        <v>42.092150735756825</v>
      </c>
      <c r="C384" s="43">
        <f t="shared" si="106"/>
        <v>111.46008695278958</v>
      </c>
      <c r="D384" s="18">
        <f t="shared" si="107"/>
        <v>23.06914517189125</v>
      </c>
      <c r="E384" s="21" t="str">
        <f t="shared" si="108"/>
        <v>Umbra</v>
      </c>
      <c r="F384" s="23">
        <f>IF($E384&lt;&gt;"Umbra",fracil2($S$2,$S$3,$S$4,$A384,$Q$2,$O$3,$Q$4,$U384,$V384,$W384),0)</f>
        <v>0</v>
      </c>
      <c r="G384" s="19">
        <f t="shared" si="109"/>
        <v>69.298130950102419</v>
      </c>
      <c r="H384" s="19">
        <f t="shared" si="110"/>
        <v>-3.5953885498505831</v>
      </c>
      <c r="I384" s="19">
        <f t="shared" si="111"/>
        <v>-2.3873706004556876</v>
      </c>
      <c r="J384" s="28">
        <f t="shared" si="112"/>
        <v>7.1495190445707638E-3</v>
      </c>
      <c r="K384" s="24">
        <f t="shared" si="113"/>
        <v>1049.9075129518753</v>
      </c>
      <c r="L384" s="32">
        <f t="shared" si="114"/>
        <v>0.55322363293761778</v>
      </c>
      <c r="M384" s="35">
        <f t="shared" si="115"/>
        <v>13.641240759489516</v>
      </c>
      <c r="O384" s="29">
        <f t="shared" si="116"/>
        <v>1046.5782733347019</v>
      </c>
      <c r="T384" s="48">
        <v>0.74391204861111104</v>
      </c>
      <c r="U384" s="29">
        <v>-1239.292832265736</v>
      </c>
      <c r="V384" s="29">
        <v>4593.0042845680182</v>
      </c>
      <c r="W384" s="29">
        <v>4268.6673304423421</v>
      </c>
      <c r="X384" s="4">
        <v>-0.32218690116134163</v>
      </c>
      <c r="Y384" s="4">
        <v>-0.13779520879900503</v>
      </c>
      <c r="Z384" s="4">
        <v>-4.4360835565928999E-2</v>
      </c>
      <c r="AA384" s="3">
        <f t="shared" si="121"/>
        <v>0.35321353680177225</v>
      </c>
      <c r="AB384" s="3">
        <f t="shared" si="124"/>
        <v>3.7196854628015058E-2</v>
      </c>
      <c r="AC384" s="3">
        <f t="shared" si="122"/>
        <v>6.6185155631424131E-2</v>
      </c>
      <c r="AD384" s="48"/>
      <c r="AE384" s="46">
        <f t="shared" si="117"/>
        <v>42.092150735756825</v>
      </c>
      <c r="AF384" s="46">
        <f t="shared" si="118"/>
        <v>-248.5399130472104</v>
      </c>
      <c r="AG384" s="47">
        <f t="shared" si="119"/>
        <v>23069.14517189125</v>
      </c>
      <c r="AH384" s="45" t="str">
        <f t="shared" si="123"/>
        <v>-248.53991,42.09215,23069</v>
      </c>
      <c r="AI384" s="44">
        <f t="shared" si="125"/>
        <v>1021.3069819193805</v>
      </c>
    </row>
    <row r="385" spans="1:35" ht="18" customHeight="1" x14ac:dyDescent="0.25">
      <c r="A385" s="36">
        <f t="shared" si="120"/>
        <v>0.74392369212962961</v>
      </c>
      <c r="B385" s="42">
        <f t="shared" si="105"/>
        <v>42.092150719896388</v>
      </c>
      <c r="C385" s="43">
        <f t="shared" si="106"/>
        <v>111.46008894881268</v>
      </c>
      <c r="D385" s="18">
        <f t="shared" si="107"/>
        <v>23.0027336952935</v>
      </c>
      <c r="E385" s="21" t="str">
        <f t="shared" si="108"/>
        <v>Umbra</v>
      </c>
      <c r="F385" s="23">
        <f>IF($E385&lt;&gt;"Umbra",fracil2($S$2,$S$3,$S$4,$A385,$Q$2,$O$3,$Q$4,$U385,$V385,$W385),0)</f>
        <v>0</v>
      </c>
      <c r="G385" s="19">
        <f t="shared" si="109"/>
        <v>69.29814485377787</v>
      </c>
      <c r="H385" s="19">
        <f t="shared" si="110"/>
        <v>-3.5989945817785429</v>
      </c>
      <c r="I385" s="19">
        <f t="shared" si="111"/>
        <v>-2.3909766323836479</v>
      </c>
      <c r="J385" s="28">
        <f t="shared" si="112"/>
        <v>7.1313538748478339E-3</v>
      </c>
      <c r="K385" s="24">
        <f t="shared" si="113"/>
        <v>1049.9008683532288</v>
      </c>
      <c r="L385" s="32">
        <f t="shared" si="114"/>
        <v>0.55324297244006848</v>
      </c>
      <c r="M385" s="35">
        <f t="shared" si="115"/>
        <v>13.638824497974332</v>
      </c>
      <c r="O385" s="29">
        <f t="shared" si="116"/>
        <v>1046.5784334247326</v>
      </c>
      <c r="T385" s="48">
        <v>0.74392369212962961</v>
      </c>
      <c r="U385" s="29">
        <v>-1239.6170843255859</v>
      </c>
      <c r="V385" s="29">
        <v>4592.8657379947126</v>
      </c>
      <c r="W385" s="29">
        <v>4268.6228118566005</v>
      </c>
      <c r="X385" s="4">
        <v>-0.32224292026104784</v>
      </c>
      <c r="Y385" s="4">
        <v>-0.13755763553262926</v>
      </c>
      <c r="Z385" s="4">
        <v>-4.4117444726877147E-2</v>
      </c>
      <c r="AA385" s="3">
        <f t="shared" si="121"/>
        <v>0.35314154624020772</v>
      </c>
      <c r="AB385" s="3">
        <f t="shared" si="124"/>
        <v>3.6801961787048316E-2</v>
      </c>
      <c r="AC385" s="3">
        <f t="shared" si="122"/>
        <v>6.5822110313915119E-2</v>
      </c>
      <c r="AD385" s="48"/>
      <c r="AE385" s="46">
        <f t="shared" si="117"/>
        <v>42.092150719896388</v>
      </c>
      <c r="AF385" s="46">
        <f t="shared" si="118"/>
        <v>-248.53991105118732</v>
      </c>
      <c r="AG385" s="47">
        <f t="shared" si="119"/>
        <v>23002.7336952935</v>
      </c>
      <c r="AH385" s="45" t="str">
        <f t="shared" si="123"/>
        <v>-248.53991,42.09215,23003</v>
      </c>
      <c r="AI385" s="44">
        <f t="shared" si="125"/>
        <v>1021.3071463521399</v>
      </c>
    </row>
    <row r="386" spans="1:35" ht="18" customHeight="1" x14ac:dyDescent="0.25">
      <c r="A386" s="36">
        <f t="shared" si="120"/>
        <v>0.74393520833333326</v>
      </c>
      <c r="B386" s="42">
        <f t="shared" si="105"/>
        <v>42.092150704293481</v>
      </c>
      <c r="C386" s="43">
        <f t="shared" si="106"/>
        <v>111.46008867552538</v>
      </c>
      <c r="D386" s="18">
        <f t="shared" si="107"/>
        <v>22.937440871771287</v>
      </c>
      <c r="E386" s="21" t="str">
        <f t="shared" si="108"/>
        <v>Umbra</v>
      </c>
      <c r="F386" s="23">
        <f>IF($E386&lt;&gt;"Umbra",fracil2($S$2,$S$3,$S$4,$A386,$Q$2,$O$3,$Q$4,$U386,$V386,$W386),0)</f>
        <v>0</v>
      </c>
      <c r="G386" s="19">
        <f t="shared" si="109"/>
        <v>69.29815624772786</v>
      </c>
      <c r="H386" s="19">
        <f t="shared" si="110"/>
        <v>-3.6025389138643078</v>
      </c>
      <c r="I386" s="19">
        <f t="shared" si="111"/>
        <v>-2.3945209644694128</v>
      </c>
      <c r="J386" s="28">
        <f t="shared" si="112"/>
        <v>7.1136062381519927E-3</v>
      </c>
      <c r="K386" s="24">
        <f t="shared" si="113"/>
        <v>1049.8941597665137</v>
      </c>
      <c r="L386" s="32">
        <f t="shared" si="114"/>
        <v>0.55326205734276346</v>
      </c>
      <c r="M386" s="35">
        <f t="shared" si="115"/>
        <v>13.636451221236717</v>
      </c>
      <c r="O386" s="29">
        <f t="shared" si="116"/>
        <v>1046.5784110612669</v>
      </c>
      <c r="T386" s="48">
        <v>0.74393520833333326</v>
      </c>
      <c r="U386" s="29">
        <v>-1239.9376732049877</v>
      </c>
      <c r="V386" s="29">
        <v>4592.7290136766633</v>
      </c>
      <c r="W386" s="29">
        <v>4268.5790431533269</v>
      </c>
      <c r="X386" s="4">
        <v>-0.32229758759609073</v>
      </c>
      <c r="Y386" s="4">
        <v>-0.13732568364979031</v>
      </c>
      <c r="Z386" s="4">
        <v>-4.3879538515246293E-2</v>
      </c>
      <c r="AA386" s="3">
        <f t="shared" si="121"/>
        <v>0.35307151153902666</v>
      </c>
      <c r="AB386" s="3">
        <f t="shared" si="124"/>
        <v>3.6370214618819237E-2</v>
      </c>
      <c r="AC386" s="3">
        <f t="shared" si="122"/>
        <v>6.5467247220987262E-2</v>
      </c>
      <c r="AD386" s="48"/>
      <c r="AE386" s="46">
        <f t="shared" si="117"/>
        <v>42.092150704293481</v>
      </c>
      <c r="AF386" s="46">
        <f t="shared" si="118"/>
        <v>-248.53991132447462</v>
      </c>
      <c r="AG386" s="47">
        <f t="shared" si="119"/>
        <v>22937.440871771287</v>
      </c>
      <c r="AH386" s="45" t="str">
        <f t="shared" si="123"/>
        <v>-248.53991,42.09215,22937</v>
      </c>
      <c r="AI386" s="44">
        <f t="shared" si="125"/>
        <v>1021.3071463521399</v>
      </c>
    </row>
    <row r="387" spans="1:35" ht="18" customHeight="1" x14ac:dyDescent="0.25">
      <c r="A387" s="36">
        <f t="shared" si="120"/>
        <v>0.74394690972222222</v>
      </c>
      <c r="B387" s="42">
        <f t="shared" si="105"/>
        <v>42.092150688516362</v>
      </c>
      <c r="C387" s="43">
        <f t="shared" si="106"/>
        <v>111.46008973569732</v>
      </c>
      <c r="D387" s="18">
        <f t="shared" si="107"/>
        <v>22.871436741764228</v>
      </c>
      <c r="E387" s="21" t="str">
        <f t="shared" si="108"/>
        <v>Umbra</v>
      </c>
      <c r="F387" s="23">
        <f>IF($E387&lt;&gt;"Umbra",fracil2($S$2,$S$3,$S$4,$A387,$Q$2,$O$3,$Q$4,$U387,$V387,$W387),0)</f>
        <v>0</v>
      </c>
      <c r="G387" s="19">
        <f t="shared" si="109"/>
        <v>69.298169126496958</v>
      </c>
      <c r="H387" s="19">
        <f t="shared" si="110"/>
        <v>-3.6061225036686029</v>
      </c>
      <c r="I387" s="19">
        <f t="shared" si="111"/>
        <v>-2.3981045542737078</v>
      </c>
      <c r="J387" s="28">
        <f t="shared" si="112"/>
        <v>7.095775957171294E-3</v>
      </c>
      <c r="K387" s="24">
        <f t="shared" si="113"/>
        <v>1049.8874897561602</v>
      </c>
      <c r="L387" s="32">
        <f t="shared" si="114"/>
        <v>0.55328140870893272</v>
      </c>
      <c r="M387" s="35">
        <f t="shared" si="115"/>
        <v>13.634050601490722</v>
      </c>
      <c r="O387" s="29">
        <f t="shared" si="116"/>
        <v>1046.5784959079017</v>
      </c>
      <c r="T387" s="48">
        <v>0.74394690972222222</v>
      </c>
      <c r="U387" s="29">
        <v>-1240.2635763951112</v>
      </c>
      <c r="V387" s="29">
        <v>4592.5902815210839</v>
      </c>
      <c r="W387" s="29">
        <v>4268.5347976291441</v>
      </c>
      <c r="X387" s="4">
        <v>-0.32235244143883712</v>
      </c>
      <c r="Y387" s="4">
        <v>-0.13709282602296785</v>
      </c>
      <c r="Z387" s="4">
        <v>-4.3640425478831138E-2</v>
      </c>
      <c r="AA387" s="3">
        <f t="shared" si="121"/>
        <v>0.35300145351615209</v>
      </c>
      <c r="AB387" s="3">
        <f t="shared" si="124"/>
        <v>3.5976078233534721E-2</v>
      </c>
      <c r="AC387" s="3">
        <f t="shared" si="122"/>
        <v>6.5110585202172569E-2</v>
      </c>
      <c r="AD387" s="48"/>
      <c r="AE387" s="46">
        <f t="shared" si="117"/>
        <v>42.092150688516362</v>
      </c>
      <c r="AF387" s="46">
        <f t="shared" si="118"/>
        <v>-248.53991026430268</v>
      </c>
      <c r="AG387" s="47">
        <f t="shared" si="119"/>
        <v>22871.436741764228</v>
      </c>
      <c r="AH387" s="45" t="str">
        <f t="shared" si="123"/>
        <v>-248.53991,42.09215,22871</v>
      </c>
      <c r="AI387" s="44">
        <f t="shared" si="125"/>
        <v>1021.3072412874378</v>
      </c>
    </row>
    <row r="388" spans="1:35" ht="18" customHeight="1" x14ac:dyDescent="0.25">
      <c r="A388" s="36">
        <f t="shared" si="120"/>
        <v>0.74395834490740731</v>
      </c>
      <c r="B388" s="42">
        <f t="shared" si="105"/>
        <v>42.092150673184165</v>
      </c>
      <c r="C388" s="43">
        <f t="shared" si="106"/>
        <v>111.46009010842771</v>
      </c>
      <c r="D388" s="18">
        <f t="shared" si="107"/>
        <v>22.807290885258226</v>
      </c>
      <c r="E388" s="21" t="str">
        <f t="shared" si="108"/>
        <v>Umbra</v>
      </c>
      <c r="F388" s="23">
        <f>IF($E388&lt;&gt;"Umbra",fracil2($S$2,$S$3,$S$4,$A388,$Q$2,$O$3,$Q$4,$U388,$V388,$W388),0)</f>
        <v>0</v>
      </c>
      <c r="G388" s="19">
        <f t="shared" si="109"/>
        <v>69.298180973508394</v>
      </c>
      <c r="H388" s="19">
        <f t="shared" si="110"/>
        <v>-3.6096049503077281</v>
      </c>
      <c r="I388" s="19">
        <f t="shared" si="111"/>
        <v>-2.4015870009128326</v>
      </c>
      <c r="J388" s="28">
        <f t="shared" si="112"/>
        <v>7.0785540032896116E-3</v>
      </c>
      <c r="K388" s="24">
        <f t="shared" si="113"/>
        <v>1049.880958533538</v>
      </c>
      <c r="L388" s="32">
        <f t="shared" si="114"/>
        <v>0.55330027928411007</v>
      </c>
      <c r="M388" s="35">
        <f t="shared" si="115"/>
        <v>13.631718188440621</v>
      </c>
      <c r="O388" s="29">
        <f t="shared" si="116"/>
        <v>1046.5785254931302</v>
      </c>
      <c r="T388" s="48">
        <v>0.74395834490740731</v>
      </c>
      <c r="U388" s="29">
        <v>-1240.5820679738763</v>
      </c>
      <c r="V388" s="29">
        <v>4592.4549530685044</v>
      </c>
      <c r="W388" s="29">
        <v>4268.4917977889963</v>
      </c>
      <c r="X388" s="4">
        <v>-0.32240535881398075</v>
      </c>
      <c r="Y388" s="4">
        <v>-0.13686807656899008</v>
      </c>
      <c r="Z388" s="4">
        <v>-4.3409369414839853E-2</v>
      </c>
      <c r="AA388" s="3">
        <f t="shared" si="121"/>
        <v>0.35293407192939114</v>
      </c>
      <c r="AB388" s="3">
        <f t="shared" si="124"/>
        <v>3.5573026283529603E-2</v>
      </c>
      <c r="AC388" s="3">
        <f t="shared" si="122"/>
        <v>6.4765942055587875E-2</v>
      </c>
      <c r="AD388" s="48"/>
      <c r="AE388" s="46">
        <f t="shared" si="117"/>
        <v>42.092150673184165</v>
      </c>
      <c r="AF388" s="46">
        <f t="shared" si="118"/>
        <v>-248.53990989157228</v>
      </c>
      <c r="AG388" s="47">
        <f t="shared" si="119"/>
        <v>22807.290885258226</v>
      </c>
      <c r="AH388" s="45" t="str">
        <f t="shared" si="123"/>
        <v>-248.53991,42.09215,22807</v>
      </c>
      <c r="AI388" s="44">
        <f t="shared" si="125"/>
        <v>1021.3072412874378</v>
      </c>
    </row>
    <row r="389" spans="1:35" ht="18" customHeight="1" x14ac:dyDescent="0.25">
      <c r="A389" s="36">
        <f t="shared" si="120"/>
        <v>0.74397001157407405</v>
      </c>
      <c r="B389" s="42">
        <f t="shared" si="105"/>
        <v>42.092150657626341</v>
      </c>
      <c r="C389" s="43">
        <f t="shared" si="106"/>
        <v>111.46009145625752</v>
      </c>
      <c r="D389" s="18">
        <f t="shared" si="107"/>
        <v>22.742180507585545</v>
      </c>
      <c r="E389" s="21" t="str">
        <f t="shared" si="108"/>
        <v>Umbra</v>
      </c>
      <c r="F389" s="23">
        <f>IF($E389&lt;&gt;"Umbra",fracil2($S$2,$S$3,$S$4,$A389,$Q$2,$O$3,$Q$4,$U389,$V389,$W389),0)</f>
        <v>0</v>
      </c>
      <c r="G389" s="19">
        <f t="shared" si="109"/>
        <v>69.298193985755802</v>
      </c>
      <c r="H389" s="19">
        <f t="shared" si="110"/>
        <v>-3.6131402389065173</v>
      </c>
      <c r="I389" s="19">
        <f t="shared" si="111"/>
        <v>-2.4051222895116222</v>
      </c>
      <c r="J389" s="28">
        <f t="shared" si="112"/>
        <v>7.0611792965505175E-3</v>
      </c>
      <c r="K389" s="24">
        <f t="shared" si="113"/>
        <v>1049.8744111099006</v>
      </c>
      <c r="L389" s="32">
        <f t="shared" si="114"/>
        <v>0.5533194923247815</v>
      </c>
      <c r="M389" s="35">
        <f t="shared" si="115"/>
        <v>13.629349606170036</v>
      </c>
      <c r="O389" s="29">
        <f t="shared" si="116"/>
        <v>1046.5786334738784</v>
      </c>
      <c r="T389" s="48">
        <v>0.74397001157407405</v>
      </c>
      <c r="U389" s="29">
        <v>-1240.9071354872217</v>
      </c>
      <c r="V389" s="29">
        <v>4592.3170807382849</v>
      </c>
      <c r="W389" s="29">
        <v>4268.4481513875508</v>
      </c>
      <c r="X389" s="4">
        <v>-0.32245867799599714</v>
      </c>
      <c r="Y389" s="4">
        <v>-0.13664150524058882</v>
      </c>
      <c r="Z389" s="4">
        <v>-4.317616757766634E-2</v>
      </c>
      <c r="AA389" s="3">
        <f t="shared" si="121"/>
        <v>0.35286637898223566</v>
      </c>
      <c r="AB389" s="3">
        <f t="shared" si="124"/>
        <v>3.5190916987701326E-2</v>
      </c>
      <c r="AC389" s="3">
        <f t="shared" si="122"/>
        <v>6.4418099266548345E-2</v>
      </c>
      <c r="AD389" s="48"/>
      <c r="AE389" s="46">
        <f t="shared" si="117"/>
        <v>42.092150657626341</v>
      </c>
      <c r="AF389" s="46">
        <f t="shared" si="118"/>
        <v>-248.53990854374248</v>
      </c>
      <c r="AG389" s="47">
        <f t="shared" si="119"/>
        <v>22742.180507585545</v>
      </c>
      <c r="AH389" s="45" t="str">
        <f t="shared" si="123"/>
        <v>-248.53991,42.09215,22742</v>
      </c>
      <c r="AI389" s="44">
        <f t="shared" si="125"/>
        <v>1021.3073755462228</v>
      </c>
    </row>
    <row r="390" spans="1:35" ht="18" customHeight="1" x14ac:dyDescent="0.25">
      <c r="A390" s="36">
        <f t="shared" si="120"/>
        <v>0.74398153935185185</v>
      </c>
      <c r="B390" s="42">
        <f t="shared" ref="B390:B453" si="126">latitude($U390,$V390,$W390)</f>
        <v>42.092150642356046</v>
      </c>
      <c r="C390" s="43">
        <f t="shared" ref="C390:C453" si="127">longitude($S$2,$S$3,$S$4,$A390,$U390,$V390)</f>
        <v>111.4600893922963</v>
      </c>
      <c r="D390" s="18">
        <f t="shared" ref="D390:D453" si="128">altitude($U390,$V390,$W390)</f>
        <v>22.678239814835251</v>
      </c>
      <c r="E390" s="21" t="str">
        <f t="shared" ref="E390:E453" si="129">illum2($S$2,$S$3,$S$4,$A390,$U390,$V390,$W390)</f>
        <v>Umbra</v>
      </c>
      <c r="F390" s="23">
        <f>IF($E390&lt;&gt;"Umbra",fracil2($S$2,$S$3,$S$4,$A390,$Q$2,$O$3,$Q$4,$U390,$V390,$W390),0)</f>
        <v>0</v>
      </c>
      <c r="G390" s="19">
        <f t="shared" ref="G390:G453" si="130">azimuth($S$2,$S$3,$S$4,$A390,$Q$2,$O$3,$Q$4,$U390,$V390,$W390)</f>
        <v>69.298203316047349</v>
      </c>
      <c r="H390" s="19">
        <f t="shared" ref="H390:H453" si="131">elev($S$2,$S$3,$S$4,$A390,$Q$2,$O$3,$Q$4,$U390,$V390,$W390)</f>
        <v>-3.6166105436081453</v>
      </c>
      <c r="I390" s="19">
        <f t="shared" ref="I390:I453" si="132">elev($S$2,$S$3,$S$4,$A390,$Q$2,$O$3,$Q$4,$U390,$V390,$W390)+DEGREES(ACOS($Q$3/$Q$4))</f>
        <v>-2.4085925942132498</v>
      </c>
      <c r="J390" s="28">
        <f t="shared" ref="J390:J453" si="133">vang($S$2,$S$3,$S$4,$A390,$Q$2,$O$3,$Q$4,$U390,$V390,$W390,$X390,$Y390,$Z390)</f>
        <v>7.0442211259553241E-3</v>
      </c>
      <c r="K390" s="24">
        <f t="shared" ref="K390:K453" si="134">slant_rng($S$2,$S$3,$S$4,$A390,$Q$2,$O$3,$Q$4,$U390,$V390,$W390)</f>
        <v>1049.8677125167014</v>
      </c>
      <c r="L390" s="32">
        <f t="shared" ref="L390:L453" si="135">radec2("ra",$S$2,$S$3,$S$4,$A390,$Q$2,$O$3,$Q$4,$U390,$V390,$W390)/24</f>
        <v>0.55333843440167252</v>
      </c>
      <c r="M390" s="35">
        <f t="shared" ref="M390:M453" si="136">radec2("dec",$S$2,$S$3,$S$4,$A390,$Q$2,$O$3,$Q$4,$U390,$V390,$W390)</f>
        <v>13.627027075576489</v>
      </c>
      <c r="O390" s="29">
        <f t="shared" ref="O390:O453" si="137">DEGREES(ACOS(SIN(RADIANS($B390))*SIN(RADIANS($O$2))+COS(RADIANS($B390))*COS(RADIANS($O$2))*COS(RADIANS($C390-$O$3))))*111.2</f>
        <v>1046.5784671427357</v>
      </c>
      <c r="T390" s="48">
        <v>0.74398153935185185</v>
      </c>
      <c r="U390" s="29">
        <v>-1241.2281240536231</v>
      </c>
      <c r="V390" s="29">
        <v>4592.1811833844004</v>
      </c>
      <c r="W390" s="29">
        <v>4268.4052890789762</v>
      </c>
      <c r="X390" s="4">
        <v>-0.32251065497815196</v>
      </c>
      <c r="Y390" s="4">
        <v>-0.13642052256086892</v>
      </c>
      <c r="Z390" s="4">
        <v>-4.294844906770956E-2</v>
      </c>
      <c r="AA390" s="3">
        <f t="shared" si="121"/>
        <v>0.35280058223809491</v>
      </c>
      <c r="AB390" s="3">
        <f t="shared" si="124"/>
        <v>3.4777389615850696E-2</v>
      </c>
      <c r="AC390" s="3">
        <f t="shared" si="122"/>
        <v>6.4078436292305016E-2</v>
      </c>
      <c r="AD390" s="48"/>
      <c r="AE390" s="46">
        <f t="shared" ref="AE390:AE453" si="138">$B390</f>
        <v>42.092150642356046</v>
      </c>
      <c r="AF390" s="46">
        <f t="shared" ref="AF390:AF453" si="139">$C390-360</f>
        <v>-248.53991060770369</v>
      </c>
      <c r="AG390" s="47">
        <f t="shared" ref="AG390:AG453" si="140">$D390*1000</f>
        <v>22678.239814835251</v>
      </c>
      <c r="AH390" s="45" t="str">
        <f t="shared" si="123"/>
        <v>-248.53991,42.09215,22678</v>
      </c>
      <c r="AI390" s="44">
        <f t="shared" si="125"/>
        <v>1021.3075654168188</v>
      </c>
    </row>
    <row r="391" spans="1:35" ht="18" customHeight="1" x14ac:dyDescent="0.25">
      <c r="A391" s="36">
        <f t="shared" ref="A391:A454" si="141">$T391+$S$5/86400</f>
        <v>0.74399306712962965</v>
      </c>
      <c r="B391" s="42">
        <f t="shared" si="126"/>
        <v>42.09215062716973</v>
      </c>
      <c r="C391" s="43">
        <f t="shared" si="127"/>
        <v>111.46008938565703</v>
      </c>
      <c r="D391" s="18">
        <f t="shared" si="128"/>
        <v>22.61460393733887</v>
      </c>
      <c r="E391" s="21" t="str">
        <f t="shared" si="129"/>
        <v>Umbra</v>
      </c>
      <c r="F391" s="23">
        <f>IF($E391&lt;&gt;"Umbra",fracil2($S$2,$S$3,$S$4,$A391,$Q$2,$O$3,$Q$4,$U391,$V391,$W391),0)</f>
        <v>0</v>
      </c>
      <c r="G391" s="19">
        <f t="shared" si="130"/>
        <v>69.298214686250716</v>
      </c>
      <c r="H391" s="19">
        <f t="shared" si="131"/>
        <v>-3.620065264889067</v>
      </c>
      <c r="I391" s="19">
        <f t="shared" si="132"/>
        <v>-2.4120473154941715</v>
      </c>
      <c r="J391" s="28">
        <f t="shared" si="133"/>
        <v>7.0274445730471244E-3</v>
      </c>
      <c r="K391" s="24">
        <f t="shared" si="134"/>
        <v>1049.8612144939227</v>
      </c>
      <c r="L391" s="32">
        <f t="shared" si="135"/>
        <v>0.55335733924680408</v>
      </c>
      <c r="M391" s="35">
        <f t="shared" si="136"/>
        <v>13.62471338348303</v>
      </c>
      <c r="O391" s="29">
        <f t="shared" si="137"/>
        <v>1046.5784662290532</v>
      </c>
      <c r="T391" s="48">
        <v>0.74399306712962965</v>
      </c>
      <c r="U391" s="29">
        <v>-1241.5493233503075</v>
      </c>
      <c r="V391" s="29">
        <v>4592.0454373950797</v>
      </c>
      <c r="W391" s="29">
        <v>4268.3626311026637</v>
      </c>
      <c r="X391" s="4">
        <v>-0.3225620079485218</v>
      </c>
      <c r="Y391" s="4">
        <v>-0.13620207839352802</v>
      </c>
      <c r="Z391" s="4">
        <v>-4.2723080519668097E-2</v>
      </c>
      <c r="AA391" s="3">
        <f t="shared" ref="AA391:AA454" si="142">SQRT($X391*$X391+$Y391*$Y391+$Z391*$Z391)</f>
        <v>0.35273576050577726</v>
      </c>
      <c r="AB391" s="3">
        <f t="shared" si="124"/>
        <v>3.4418415220798186E-2</v>
      </c>
      <c r="AC391" s="3">
        <f t="shared" ref="AC391:AC454" si="143">vrel($S$2,$S$3,$S$4,$A391,$B391,$C391,$U391,$V391,$W391,$X391,$Y391,$Z391)</f>
        <v>6.3742279340567906E-2</v>
      </c>
      <c r="AD391" s="48"/>
      <c r="AE391" s="46">
        <f t="shared" si="138"/>
        <v>42.09215062716973</v>
      </c>
      <c r="AF391" s="46">
        <f t="shared" si="139"/>
        <v>-248.53991061434297</v>
      </c>
      <c r="AG391" s="47">
        <f t="shared" si="140"/>
        <v>22614.60393733887</v>
      </c>
      <c r="AH391" s="45" t="str">
        <f t="shared" ref="AH391:AH454" si="144">CONCATENATE(TEXT($AF391,"00.00000"),",",TEXT($AE391,"00.00000"),",",TEXT($AG391,"00000"))</f>
        <v>-248.53991,42.09215,22615</v>
      </c>
      <c r="AI391" s="44">
        <f t="shared" si="125"/>
        <v>1021.3076603521167</v>
      </c>
    </row>
    <row r="392" spans="1:35" ht="18" customHeight="1" x14ac:dyDescent="0.25">
      <c r="A392" s="36">
        <f t="shared" si="141"/>
        <v>0.74400475694444446</v>
      </c>
      <c r="B392" s="42">
        <f t="shared" si="126"/>
        <v>42.092150611865343</v>
      </c>
      <c r="C392" s="43">
        <f t="shared" si="127"/>
        <v>111.46008925317115</v>
      </c>
      <c r="D392" s="18">
        <f t="shared" si="128"/>
        <v>22.550415421709658</v>
      </c>
      <c r="E392" s="21" t="str">
        <f t="shared" si="129"/>
        <v>Umbra</v>
      </c>
      <c r="F392" s="23">
        <f>IF($E392&lt;&gt;"Umbra",fracil2($S$2,$S$3,$S$4,$A392,$Q$2,$O$3,$Q$4,$U392,$V392,$W392),0)</f>
        <v>0</v>
      </c>
      <c r="G392" s="19">
        <f t="shared" si="130"/>
        <v>69.298226027297559</v>
      </c>
      <c r="H392" s="19">
        <f t="shared" si="131"/>
        <v>-3.6235499753489284</v>
      </c>
      <c r="I392" s="19">
        <f t="shared" si="132"/>
        <v>-2.4155320259540334</v>
      </c>
      <c r="J392" s="28">
        <f t="shared" si="133"/>
        <v>7.0106240599840516E-3</v>
      </c>
      <c r="K392" s="24">
        <f t="shared" si="134"/>
        <v>1049.8546537818966</v>
      </c>
      <c r="L392" s="32">
        <f t="shared" si="135"/>
        <v>0.55337647046068195</v>
      </c>
      <c r="M392" s="35">
        <f t="shared" si="136"/>
        <v>13.622379657574587</v>
      </c>
      <c r="O392" s="29">
        <f t="shared" si="137"/>
        <v>1046.5784551939473</v>
      </c>
      <c r="T392" s="48">
        <v>0.74400475694444446</v>
      </c>
      <c r="U392" s="29">
        <v>-1241.8750801919045</v>
      </c>
      <c r="V392" s="29">
        <v>4591.9080080130079</v>
      </c>
      <c r="W392" s="29">
        <v>4268.3196026694486</v>
      </c>
      <c r="X392" s="4">
        <v>-0.32261342819731814</v>
      </c>
      <c r="Y392" s="4">
        <v>-0.13598323067112769</v>
      </c>
      <c r="Z392" s="4">
        <v>-4.2497025311373345E-2</v>
      </c>
      <c r="AA392" s="3">
        <f t="shared" si="142"/>
        <v>0.35267103685630152</v>
      </c>
      <c r="AB392" s="3">
        <f t="shared" ref="AB392:AB455" si="145">-($AC392-$AC391)/(($A392-$A391)*86400)*1000/9.806</f>
        <v>3.4044661067212593E-2</v>
      </c>
      <c r="AC392" s="3">
        <f t="shared" si="143"/>
        <v>6.3405098974678761E-2</v>
      </c>
      <c r="AD392" s="48"/>
      <c r="AE392" s="46">
        <f t="shared" si="138"/>
        <v>42.092150611865343</v>
      </c>
      <c r="AF392" s="46">
        <f t="shared" si="139"/>
        <v>-248.53991074682887</v>
      </c>
      <c r="AG392" s="47">
        <f t="shared" si="140"/>
        <v>22550.415421709658</v>
      </c>
      <c r="AH392" s="45" t="str">
        <f t="shared" si="144"/>
        <v>-248.53991,42.09215,22550</v>
      </c>
      <c r="AI392" s="44">
        <f t="shared" ref="AI392:AI455" si="146">IFERROR(ACOS(SIN(RADIANS($B391))*SIN(RADIANS($B392))+COS(RADIANS($B391))*COS(RADIANS($B392))*COS(RADIANS($C391-$C392)))*6371,0)+AI391</f>
        <v>1021.3076603521167</v>
      </c>
    </row>
    <row r="393" spans="1:35" ht="18" customHeight="1" x14ac:dyDescent="0.25">
      <c r="A393" s="36">
        <f t="shared" si="141"/>
        <v>0.74401629629629629</v>
      </c>
      <c r="B393" s="42">
        <f t="shared" si="126"/>
        <v>42.092150596845563</v>
      </c>
      <c r="C393" s="43">
        <f t="shared" si="127"/>
        <v>111.46009116462838</v>
      </c>
      <c r="D393" s="18">
        <f t="shared" si="128"/>
        <v>22.487354363462146</v>
      </c>
      <c r="E393" s="21" t="str">
        <f t="shared" si="129"/>
        <v>Umbra</v>
      </c>
      <c r="F393" s="23">
        <f>IF($E393&lt;&gt;"Umbra",fracil2($S$2,$S$3,$S$4,$A393,$Q$2,$O$3,$Q$4,$U393,$V393,$W393),0)</f>
        <v>0</v>
      </c>
      <c r="G393" s="19">
        <f t="shared" si="130"/>
        <v>69.298239247523938</v>
      </c>
      <c r="H393" s="19">
        <f t="shared" si="131"/>
        <v>-3.6269744324016702</v>
      </c>
      <c r="I393" s="19">
        <f t="shared" si="132"/>
        <v>-2.4189564830067747</v>
      </c>
      <c r="J393" s="28">
        <f t="shared" si="133"/>
        <v>6.9941972868710353E-3</v>
      </c>
      <c r="K393" s="24">
        <f t="shared" si="134"/>
        <v>1049.8483764258976</v>
      </c>
      <c r="L393" s="32">
        <f t="shared" si="135"/>
        <v>0.55339531861983426</v>
      </c>
      <c r="M393" s="35">
        <f t="shared" si="136"/>
        <v>13.62008469807753</v>
      </c>
      <c r="O393" s="29">
        <f t="shared" si="137"/>
        <v>1046.578608505635</v>
      </c>
      <c r="T393" s="48">
        <v>0.74401629629629629</v>
      </c>
      <c r="U393" s="29">
        <v>-1242.1968529220565</v>
      </c>
      <c r="V393" s="29">
        <v>4591.7724964138779</v>
      </c>
      <c r="W393" s="29">
        <v>4268.2773300226836</v>
      </c>
      <c r="X393" s="4">
        <v>-0.32266357689826741</v>
      </c>
      <c r="Y393" s="4">
        <v>-0.13576967869806411</v>
      </c>
      <c r="Z393" s="4">
        <v>-4.2276174515760885E-2</v>
      </c>
      <c r="AA393" s="3">
        <f t="shared" si="142"/>
        <v>0.35260808901987312</v>
      </c>
      <c r="AB393" s="3">
        <f t="shared" si="145"/>
        <v>3.3694475800683694E-2</v>
      </c>
      <c r="AC393" s="3">
        <f t="shared" si="143"/>
        <v>6.3075682169066977E-2</v>
      </c>
      <c r="AD393" s="48"/>
      <c r="AE393" s="46">
        <f t="shared" si="138"/>
        <v>42.092150596845563</v>
      </c>
      <c r="AF393" s="46">
        <f t="shared" si="139"/>
        <v>-248.53990883537162</v>
      </c>
      <c r="AG393" s="47">
        <f t="shared" si="140"/>
        <v>22487.354363462146</v>
      </c>
      <c r="AH393" s="45" t="str">
        <f t="shared" si="144"/>
        <v>-248.53991,42.09215,22487</v>
      </c>
      <c r="AI393" s="44">
        <f t="shared" si="146"/>
        <v>1021.3078247848761</v>
      </c>
    </row>
    <row r="394" spans="1:35" ht="18" customHeight="1" x14ac:dyDescent="0.25">
      <c r="A394" s="36">
        <f t="shared" si="141"/>
        <v>0.74402784722222215</v>
      </c>
      <c r="B394" s="42">
        <f t="shared" si="126"/>
        <v>42.092150581909351</v>
      </c>
      <c r="C394" s="43">
        <f t="shared" si="127"/>
        <v>111.46009221867378</v>
      </c>
      <c r="D394" s="18">
        <f t="shared" si="128"/>
        <v>22.424570169905564</v>
      </c>
      <c r="E394" s="21" t="str">
        <f t="shared" si="129"/>
        <v>Umbra</v>
      </c>
      <c r="F394" s="23">
        <f>IF($E394&lt;&gt;"Umbra",fracil2($S$2,$S$3,$S$4,$A394,$Q$2,$O$3,$Q$4,$U394,$V394,$W394),0)</f>
        <v>0</v>
      </c>
      <c r="G394" s="19">
        <f t="shared" si="130"/>
        <v>69.298251545565449</v>
      </c>
      <c r="H394" s="19">
        <f t="shared" si="131"/>
        <v>-3.630383516104132</v>
      </c>
      <c r="I394" s="19">
        <f t="shared" si="132"/>
        <v>-2.422365566709237</v>
      </c>
      <c r="J394" s="28">
        <f t="shared" si="133"/>
        <v>6.977939703999755E-3</v>
      </c>
      <c r="K394" s="24">
        <f t="shared" si="134"/>
        <v>1049.8420620132724</v>
      </c>
      <c r="L394" s="32">
        <f t="shared" si="135"/>
        <v>0.55341414724303861</v>
      </c>
      <c r="M394" s="35">
        <f t="shared" si="136"/>
        <v>13.617800639400169</v>
      </c>
      <c r="O394" s="29">
        <f t="shared" si="137"/>
        <v>1046.5786928807097</v>
      </c>
      <c r="T394" s="48">
        <v>0.74402784722222215</v>
      </c>
      <c r="U394" s="29">
        <v>-1242.5189322890824</v>
      </c>
      <c r="V394" s="29">
        <v>4591.6370886010154</v>
      </c>
      <c r="W394" s="29">
        <v>4268.2352429721805</v>
      </c>
      <c r="X394" s="4">
        <v>-0.32271314333867918</v>
      </c>
      <c r="Y394" s="4">
        <v>-0.13555849007439635</v>
      </c>
      <c r="Z394" s="4">
        <v>-4.2057504320943261E-2</v>
      </c>
      <c r="AA394" s="3">
        <f t="shared" si="142"/>
        <v>0.35254604065921274</v>
      </c>
      <c r="AB394" s="3">
        <f t="shared" si="145"/>
        <v>3.3328289204621699E-2</v>
      </c>
      <c r="AC394" s="3">
        <f t="shared" si="143"/>
        <v>6.2749518599536119E-2</v>
      </c>
      <c r="AD394" s="48"/>
      <c r="AE394" s="46">
        <f t="shared" si="138"/>
        <v>42.092150581909351</v>
      </c>
      <c r="AF394" s="46">
        <f t="shared" si="139"/>
        <v>-248.53990778132624</v>
      </c>
      <c r="AG394" s="47">
        <f t="shared" si="140"/>
        <v>22424.570169905564</v>
      </c>
      <c r="AH394" s="45" t="str">
        <f t="shared" si="144"/>
        <v>-248.53991,42.09215,22425</v>
      </c>
      <c r="AI394" s="44">
        <f t="shared" si="146"/>
        <v>1021.307919720174</v>
      </c>
    </row>
    <row r="395" spans="1:35" ht="18" customHeight="1" x14ac:dyDescent="0.25">
      <c r="A395" s="36">
        <f t="shared" si="141"/>
        <v>0.74403953703703707</v>
      </c>
      <c r="B395" s="42">
        <f t="shared" si="126"/>
        <v>42.092150566898709</v>
      </c>
      <c r="C395" s="43">
        <f t="shared" si="127"/>
        <v>111.46009119879635</v>
      </c>
      <c r="D395" s="18">
        <f t="shared" si="128"/>
        <v>22.361391834357164</v>
      </c>
      <c r="E395" s="21" t="str">
        <f t="shared" si="129"/>
        <v>Umbra</v>
      </c>
      <c r="F395" s="23">
        <f>IF($E395&lt;&gt;"Umbra",fracil2($S$2,$S$3,$S$4,$A395,$Q$2,$O$3,$Q$4,$U395,$V395,$W395),0)</f>
        <v>0</v>
      </c>
      <c r="G395" s="19">
        <f t="shared" si="130"/>
        <v>69.298261803044795</v>
      </c>
      <c r="H395" s="19">
        <f t="shared" si="131"/>
        <v>-3.6338131138081491</v>
      </c>
      <c r="I395" s="19">
        <f t="shared" si="132"/>
        <v>-2.4257951644132536</v>
      </c>
      <c r="J395" s="28">
        <f t="shared" si="133"/>
        <v>6.9616774985172738E-3</v>
      </c>
      <c r="K395" s="24">
        <f t="shared" si="134"/>
        <v>1049.8355442431773</v>
      </c>
      <c r="L395" s="32">
        <f t="shared" si="135"/>
        <v>0.55343316264750464</v>
      </c>
      <c r="M395" s="35">
        <f t="shared" si="136"/>
        <v>13.615504364215985</v>
      </c>
      <c r="O395" s="29">
        <f t="shared" si="137"/>
        <v>1046.5786105037878</v>
      </c>
      <c r="T395" s="48">
        <v>0.74403953703703707</v>
      </c>
      <c r="U395" s="29">
        <v>-1242.8447737202953</v>
      </c>
      <c r="V395" s="29">
        <v>4591.5003333467475</v>
      </c>
      <c r="W395" s="29">
        <v>4268.1928917123169</v>
      </c>
      <c r="X395" s="4">
        <v>-0.32276265782415337</v>
      </c>
      <c r="Y395" s="4">
        <v>-0.13534740455283015</v>
      </c>
      <c r="Z395" s="4">
        <v>-4.1838673921613855E-2</v>
      </c>
      <c r="AA395" s="3">
        <f t="shared" si="142"/>
        <v>0.35248422353407266</v>
      </c>
      <c r="AB395" s="3">
        <f t="shared" si="145"/>
        <v>3.2956369337097176E-2</v>
      </c>
      <c r="AC395" s="3">
        <f t="shared" si="143"/>
        <v>6.2423116740236435E-2</v>
      </c>
      <c r="AD395" s="48"/>
      <c r="AE395" s="46">
        <f t="shared" si="138"/>
        <v>42.092150566898709</v>
      </c>
      <c r="AF395" s="46">
        <f t="shared" si="139"/>
        <v>-248.53990880120364</v>
      </c>
      <c r="AG395" s="47">
        <f t="shared" si="140"/>
        <v>22361.391834357164</v>
      </c>
      <c r="AH395" s="45" t="str">
        <f t="shared" si="144"/>
        <v>-248.53991,42.09215,22361</v>
      </c>
      <c r="AI395" s="44">
        <f t="shared" si="146"/>
        <v>1021.308014655472</v>
      </c>
    </row>
    <row r="396" spans="1:35" ht="18" customHeight="1" x14ac:dyDescent="0.25">
      <c r="A396" s="36">
        <f t="shared" si="141"/>
        <v>0.74405100694444448</v>
      </c>
      <c r="B396" s="42">
        <f t="shared" si="126"/>
        <v>42.092150552255497</v>
      </c>
      <c r="C396" s="43">
        <f t="shared" si="127"/>
        <v>111.46009318513249</v>
      </c>
      <c r="D396" s="18">
        <f t="shared" si="128"/>
        <v>22.299676172991894</v>
      </c>
      <c r="E396" s="21" t="str">
        <f t="shared" si="129"/>
        <v>Umbra</v>
      </c>
      <c r="F396" s="23">
        <f>IF($E396&lt;&gt;"Umbra",fracil2($S$2,$S$3,$S$4,$A396,$Q$2,$O$3,$Q$4,$U396,$V396,$W396),0)</f>
        <v>0</v>
      </c>
      <c r="G396" s="19">
        <f t="shared" si="130"/>
        <v>69.298274859262278</v>
      </c>
      <c r="H396" s="19">
        <f t="shared" si="131"/>
        <v>-3.6371646827913731</v>
      </c>
      <c r="I396" s="19">
        <f t="shared" si="132"/>
        <v>-2.429146733396478</v>
      </c>
      <c r="J396" s="28">
        <f t="shared" si="133"/>
        <v>6.9458843009350176E-3</v>
      </c>
      <c r="K396" s="24">
        <f t="shared" si="134"/>
        <v>1049.8294210797403</v>
      </c>
      <c r="L396" s="32">
        <f t="shared" si="135"/>
        <v>0.55345178572058795</v>
      </c>
      <c r="M396" s="35">
        <f t="shared" si="136"/>
        <v>13.613258037967377</v>
      </c>
      <c r="O396" s="29">
        <f t="shared" si="137"/>
        <v>1046.5787698453967</v>
      </c>
      <c r="T396" s="48">
        <v>0.74405100694444448</v>
      </c>
      <c r="U396" s="29">
        <v>-1243.1647649692534</v>
      </c>
      <c r="V396" s="29">
        <v>4591.3662598388728</v>
      </c>
      <c r="W396" s="29">
        <v>4268.1515209499539</v>
      </c>
      <c r="X396" s="4">
        <v>-0.32281067651301354</v>
      </c>
      <c r="Y396" s="4">
        <v>-0.13514258043465663</v>
      </c>
      <c r="Z396" s="4">
        <v>-4.162607485336782E-2</v>
      </c>
      <c r="AA396" s="3">
        <f t="shared" si="142"/>
        <v>0.35242443165170217</v>
      </c>
      <c r="AB396" s="3">
        <f t="shared" si="145"/>
        <v>3.2631717645698027E-2</v>
      </c>
      <c r="AC396" s="3">
        <f t="shared" si="143"/>
        <v>6.2106009996611665E-2</v>
      </c>
      <c r="AD396" s="48"/>
      <c r="AE396" s="46">
        <f t="shared" si="138"/>
        <v>42.092150552255497</v>
      </c>
      <c r="AF396" s="46">
        <f t="shared" si="139"/>
        <v>-248.53990681486749</v>
      </c>
      <c r="AG396" s="47">
        <f t="shared" si="140"/>
        <v>22299.676172991894</v>
      </c>
      <c r="AH396" s="45" t="str">
        <f t="shared" si="144"/>
        <v>-248.53991,42.09215,22300</v>
      </c>
      <c r="AI396" s="44">
        <f t="shared" si="146"/>
        <v>1021.3082045260679</v>
      </c>
    </row>
    <row r="397" spans="1:35" ht="18" customHeight="1" x14ac:dyDescent="0.25">
      <c r="A397" s="36">
        <f t="shared" si="141"/>
        <v>0.74406266203703708</v>
      </c>
      <c r="B397" s="42">
        <f t="shared" si="126"/>
        <v>42.092150537483938</v>
      </c>
      <c r="C397" s="43">
        <f t="shared" si="127"/>
        <v>111.46009219916685</v>
      </c>
      <c r="D397" s="18">
        <f t="shared" si="128"/>
        <v>22.237328774412163</v>
      </c>
      <c r="E397" s="21" t="str">
        <f t="shared" si="129"/>
        <v>Umbra</v>
      </c>
      <c r="F397" s="23">
        <f>IF($E397&lt;&gt;"Umbra",fracil2($S$2,$S$3,$S$4,$A397,$Q$2,$O$3,$Q$4,$U397,$V397,$W397),0)</f>
        <v>0</v>
      </c>
      <c r="G397" s="19">
        <f t="shared" si="130"/>
        <v>69.298285002884839</v>
      </c>
      <c r="H397" s="19">
        <f t="shared" si="131"/>
        <v>-3.6405492647225461</v>
      </c>
      <c r="I397" s="19">
        <f t="shared" si="132"/>
        <v>-2.4325313153276511</v>
      </c>
      <c r="J397" s="28">
        <f t="shared" si="133"/>
        <v>6.9300232804255591E-3</v>
      </c>
      <c r="K397" s="24">
        <f t="shared" si="134"/>
        <v>1049.822998000147</v>
      </c>
      <c r="L397" s="32">
        <f t="shared" si="135"/>
        <v>0.55347067031132968</v>
      </c>
      <c r="M397" s="35">
        <f t="shared" si="136"/>
        <v>13.610991802594537</v>
      </c>
      <c r="O397" s="29">
        <f t="shared" si="137"/>
        <v>1046.578690201072</v>
      </c>
      <c r="T397" s="48">
        <v>0.74406266203703708</v>
      </c>
      <c r="U397" s="29">
        <v>-1243.4897393679523</v>
      </c>
      <c r="V397" s="29">
        <v>4591.2303252646379</v>
      </c>
      <c r="W397" s="29">
        <v>4268.1097267077439</v>
      </c>
      <c r="X397" s="4">
        <v>-0.3228588365798723</v>
      </c>
      <c r="Y397" s="4">
        <v>-0.13493703584629071</v>
      </c>
      <c r="Z397" s="4">
        <v>-4.1412465353235027E-2</v>
      </c>
      <c r="AA397" s="3">
        <f t="shared" si="142"/>
        <v>0.35236461838176197</v>
      </c>
      <c r="AB397" s="3">
        <f t="shared" si="145"/>
        <v>3.226580518366421E-2</v>
      </c>
      <c r="AC397" s="3">
        <f t="shared" si="143"/>
        <v>6.1787396721581046E-2</v>
      </c>
      <c r="AD397" s="48"/>
      <c r="AE397" s="46">
        <f t="shared" si="138"/>
        <v>42.092150537483938</v>
      </c>
      <c r="AF397" s="46">
        <f t="shared" si="139"/>
        <v>-248.53990780083313</v>
      </c>
      <c r="AG397" s="47">
        <f t="shared" si="140"/>
        <v>22237.328774412163</v>
      </c>
      <c r="AH397" s="45" t="str">
        <f t="shared" si="144"/>
        <v>-248.53991,42.09215,22237</v>
      </c>
      <c r="AI397" s="44">
        <f t="shared" si="146"/>
        <v>1021.3083387848529</v>
      </c>
    </row>
    <row r="398" spans="1:35" ht="18" customHeight="1" x14ac:dyDescent="0.25">
      <c r="A398" s="36">
        <f t="shared" si="141"/>
        <v>0.74407412037037035</v>
      </c>
      <c r="B398" s="42">
        <f t="shared" si="126"/>
        <v>42.092150523047742</v>
      </c>
      <c r="C398" s="43">
        <f t="shared" si="127"/>
        <v>111.46009392512828</v>
      </c>
      <c r="D398" s="18">
        <f t="shared" si="128"/>
        <v>22.176305241181581</v>
      </c>
      <c r="E398" s="21" t="str">
        <f t="shared" si="129"/>
        <v>Umbra</v>
      </c>
      <c r="F398" s="23">
        <f>IF($E398&lt;&gt;"Umbra",fracil2($S$2,$S$3,$S$4,$A398,$Q$2,$O$3,$Q$4,$U398,$V398,$W398),0)</f>
        <v>0</v>
      </c>
      <c r="G398" s="19">
        <f t="shared" si="130"/>
        <v>69.298297670471996</v>
      </c>
      <c r="H398" s="19">
        <f t="shared" si="131"/>
        <v>-3.6438632186613704</v>
      </c>
      <c r="I398" s="19">
        <f t="shared" si="132"/>
        <v>-2.4358452692664754</v>
      </c>
      <c r="J398" s="28">
        <f t="shared" si="133"/>
        <v>6.9145883589588836E-3</v>
      </c>
      <c r="K398" s="24">
        <f t="shared" si="134"/>
        <v>1049.8169314582756</v>
      </c>
      <c r="L398" s="32">
        <f t="shared" si="135"/>
        <v>0.5534892020935972</v>
      </c>
      <c r="M398" s="35">
        <f t="shared" si="136"/>
        <v>13.608770784284019</v>
      </c>
      <c r="O398" s="29">
        <f t="shared" si="137"/>
        <v>1046.5788286128904</v>
      </c>
      <c r="T398" s="48">
        <v>0.74407412037037035</v>
      </c>
      <c r="U398" s="29">
        <v>-1243.8094833003054</v>
      </c>
      <c r="V398" s="29">
        <v>4591.0967989440696</v>
      </c>
      <c r="W398" s="29">
        <v>4268.068819913351</v>
      </c>
      <c r="X398" s="4">
        <v>-0.32290563567926067</v>
      </c>
      <c r="Y398" s="4">
        <v>-0.134737185006786</v>
      </c>
      <c r="Z398" s="4">
        <v>-4.1204516288488903E-2</v>
      </c>
      <c r="AA398" s="3">
        <f t="shared" si="142"/>
        <v>0.35230664305338982</v>
      </c>
      <c r="AB398" s="3">
        <f t="shared" si="145"/>
        <v>3.1950113072460255E-2</v>
      </c>
      <c r="AC398" s="3">
        <f t="shared" si="143"/>
        <v>6.1477226940882111E-2</v>
      </c>
      <c r="AD398" s="48"/>
      <c r="AE398" s="46">
        <f t="shared" si="138"/>
        <v>42.092150523047742</v>
      </c>
      <c r="AF398" s="46">
        <f t="shared" si="139"/>
        <v>-248.53990607487174</v>
      </c>
      <c r="AG398" s="47">
        <f t="shared" si="140"/>
        <v>22176.305241181581</v>
      </c>
      <c r="AH398" s="45" t="str">
        <f t="shared" si="144"/>
        <v>-248.53991,42.09215,22176</v>
      </c>
      <c r="AI398" s="44">
        <f t="shared" si="146"/>
        <v>1021.3084730436379</v>
      </c>
    </row>
    <row r="399" spans="1:35" ht="18" customHeight="1" x14ac:dyDescent="0.25">
      <c r="A399" s="36">
        <f t="shared" si="141"/>
        <v>0.74408565972222229</v>
      </c>
      <c r="B399" s="42">
        <f t="shared" si="126"/>
        <v>42.092150508607638</v>
      </c>
      <c r="C399" s="43">
        <f t="shared" si="127"/>
        <v>111.46009490307252</v>
      </c>
      <c r="D399" s="18">
        <f t="shared" si="128"/>
        <v>22.115170122647214</v>
      </c>
      <c r="E399" s="21" t="str">
        <f t="shared" si="129"/>
        <v>Umbra</v>
      </c>
      <c r="F399" s="23">
        <f>IF($E399&lt;&gt;"Umbra",fracil2($S$2,$S$3,$S$4,$A399,$Q$2,$O$3,$Q$4,$U399,$V399,$W399),0)</f>
        <v>0</v>
      </c>
      <c r="G399" s="19">
        <f t="shared" si="130"/>
        <v>69.298309596645311</v>
      </c>
      <c r="H399" s="19">
        <f t="shared" si="131"/>
        <v>-3.6471829362343269</v>
      </c>
      <c r="I399" s="19">
        <f t="shared" si="132"/>
        <v>-2.4391649868394314</v>
      </c>
      <c r="J399" s="28">
        <f t="shared" si="133"/>
        <v>6.899214036843555E-3</v>
      </c>
      <c r="K399" s="24">
        <f t="shared" si="134"/>
        <v>1049.8107968800921</v>
      </c>
      <c r="L399" s="32">
        <f t="shared" si="135"/>
        <v>0.55350782870932524</v>
      </c>
      <c r="M399" s="35">
        <f t="shared" si="136"/>
        <v>13.606546429353111</v>
      </c>
      <c r="O399" s="29">
        <f t="shared" si="137"/>
        <v>1046.578906881597</v>
      </c>
      <c r="T399" s="48">
        <v>0.74408565972222229</v>
      </c>
      <c r="U399" s="29">
        <v>-1244.1314762852687</v>
      </c>
      <c r="V399" s="29">
        <v>4590.9625516442093</v>
      </c>
      <c r="W399" s="29">
        <v>4268.0278383202403</v>
      </c>
      <c r="X399" s="4">
        <v>-0.3229521861005879</v>
      </c>
      <c r="Y399" s="4">
        <v>-0.13453828122451844</v>
      </c>
      <c r="Z399" s="4">
        <v>-4.0997296487734425E-2</v>
      </c>
      <c r="AA399" s="3">
        <f t="shared" si="142"/>
        <v>0.35224911914907547</v>
      </c>
      <c r="AB399" s="3">
        <f t="shared" si="145"/>
        <v>3.1614473303009129E-2</v>
      </c>
      <c r="AC399" s="3">
        <f t="shared" si="143"/>
        <v>6.1168145450246035E-2</v>
      </c>
      <c r="AD399" s="48"/>
      <c r="AE399" s="46">
        <f t="shared" si="138"/>
        <v>42.092150508607638</v>
      </c>
      <c r="AF399" s="46">
        <f t="shared" si="139"/>
        <v>-248.5399050969275</v>
      </c>
      <c r="AG399" s="47">
        <f t="shared" si="140"/>
        <v>22115.170122647214</v>
      </c>
      <c r="AH399" s="45" t="str">
        <f t="shared" si="144"/>
        <v>-248.53991,42.09215,22115</v>
      </c>
      <c r="AI399" s="44">
        <f t="shared" si="146"/>
        <v>1021.3084730436379</v>
      </c>
    </row>
    <row r="400" spans="1:35" ht="18" customHeight="1" x14ac:dyDescent="0.25">
      <c r="A400" s="36">
        <f t="shared" si="141"/>
        <v>0.74409733796296296</v>
      </c>
      <c r="B400" s="42">
        <f t="shared" si="126"/>
        <v>42.092150494095399</v>
      </c>
      <c r="C400" s="43">
        <f t="shared" si="127"/>
        <v>111.46009460086486</v>
      </c>
      <c r="D400" s="18">
        <f t="shared" si="128"/>
        <v>22.053630082271411</v>
      </c>
      <c r="E400" s="21" t="str">
        <f t="shared" si="129"/>
        <v>Umbra</v>
      </c>
      <c r="F400" s="23">
        <f>IF($E400&lt;&gt;"Umbra",fracil2($S$2,$S$3,$S$4,$A400,$Q$2,$O$3,$Q$4,$U400,$V400,$W400),0)</f>
        <v>0</v>
      </c>
      <c r="G400" s="19">
        <f t="shared" si="130"/>
        <v>69.298320292169862</v>
      </c>
      <c r="H400" s="19">
        <f t="shared" si="131"/>
        <v>-3.6505241081238271</v>
      </c>
      <c r="I400" s="19">
        <f t="shared" si="132"/>
        <v>-2.4425061587289321</v>
      </c>
      <c r="J400" s="28">
        <f t="shared" si="133"/>
        <v>6.8838273491381267E-3</v>
      </c>
      <c r="K400" s="24">
        <f t="shared" si="134"/>
        <v>1049.8045216665012</v>
      </c>
      <c r="L400" s="32">
        <f t="shared" si="135"/>
        <v>0.55352664257314155</v>
      </c>
      <c r="M400" s="35">
        <f t="shared" si="136"/>
        <v>13.604308629094845</v>
      </c>
      <c r="O400" s="29">
        <f t="shared" si="137"/>
        <v>1046.5788822201234</v>
      </c>
      <c r="T400" s="48">
        <v>0.74409733796296296</v>
      </c>
      <c r="U400" s="29">
        <v>-1244.4572923584331</v>
      </c>
      <c r="V400" s="29">
        <v>4590.8269306239436</v>
      </c>
      <c r="W400" s="29">
        <v>4267.9865852919511</v>
      </c>
      <c r="X400" s="4">
        <v>-0.32299870802173358</v>
      </c>
      <c r="Y400" s="4">
        <v>-0.13433938188722358</v>
      </c>
      <c r="Z400" s="4">
        <v>-4.078982070596722E-2</v>
      </c>
      <c r="AA400" s="3">
        <f t="shared" si="142"/>
        <v>0.35219177216791331</v>
      </c>
      <c r="AB400" s="3">
        <f t="shared" si="145"/>
        <v>3.1277018565481235E-2</v>
      </c>
      <c r="AC400" s="3">
        <f t="shared" si="143"/>
        <v>6.0858682684198466E-2</v>
      </c>
      <c r="AD400" s="48"/>
      <c r="AE400" s="46">
        <f t="shared" si="138"/>
        <v>42.092150494095399</v>
      </c>
      <c r="AF400" s="46">
        <f t="shared" si="139"/>
        <v>-248.53990539913514</v>
      </c>
      <c r="AG400" s="47">
        <f t="shared" si="140"/>
        <v>22053.630082271411</v>
      </c>
      <c r="AH400" s="45" t="str">
        <f t="shared" si="144"/>
        <v>-248.53991,42.09215,22054</v>
      </c>
      <c r="AI400" s="44">
        <f t="shared" si="146"/>
        <v>1021.3084730436379</v>
      </c>
    </row>
    <row r="401" spans="1:35" ht="18" customHeight="1" x14ac:dyDescent="0.25">
      <c r="A401" s="36">
        <f t="shared" si="141"/>
        <v>0.74410896990740738</v>
      </c>
      <c r="B401" s="42">
        <f t="shared" si="126"/>
        <v>42.092150479734592</v>
      </c>
      <c r="C401" s="43">
        <f t="shared" si="127"/>
        <v>111.46009510268479</v>
      </c>
      <c r="D401" s="18">
        <f t="shared" si="128"/>
        <v>21.992631053994955</v>
      </c>
      <c r="E401" s="21" t="str">
        <f t="shared" si="129"/>
        <v>Umbra</v>
      </c>
      <c r="F401" s="23">
        <f>IF($E401&lt;&gt;"Umbra",fracil2($S$2,$S$3,$S$4,$A401,$Q$2,$O$3,$Q$4,$U401,$V401,$W401),0)</f>
        <v>0</v>
      </c>
      <c r="G401" s="19">
        <f t="shared" si="130"/>
        <v>69.298331709480564</v>
      </c>
      <c r="H401" s="19">
        <f t="shared" si="131"/>
        <v>-3.6538363029087759</v>
      </c>
      <c r="I401" s="19">
        <f t="shared" si="132"/>
        <v>-2.4458183535138804</v>
      </c>
      <c r="J401" s="28">
        <f t="shared" si="133"/>
        <v>6.8686635173736202E-3</v>
      </c>
      <c r="K401" s="24">
        <f t="shared" si="134"/>
        <v>1049.7983696468291</v>
      </c>
      <c r="L401" s="32">
        <f t="shared" si="135"/>
        <v>0.55354534674856704</v>
      </c>
      <c r="M401" s="35">
        <f t="shared" si="136"/>
        <v>13.602089590314714</v>
      </c>
      <c r="O401" s="29">
        <f t="shared" si="137"/>
        <v>1046.5789222088758</v>
      </c>
      <c r="T401" s="48">
        <v>0.74410896990740738</v>
      </c>
      <c r="U401" s="29">
        <v>-1244.7819256592866</v>
      </c>
      <c r="V401" s="29">
        <v>4590.6920195929697</v>
      </c>
      <c r="W401" s="29">
        <v>4267.9456949301511</v>
      </c>
      <c r="X401" s="4">
        <v>-0.32304448897961485</v>
      </c>
      <c r="Y401" s="4">
        <v>-0.13414353339301394</v>
      </c>
      <c r="Z401" s="4">
        <v>-4.0585267798570183E-2</v>
      </c>
      <c r="AA401" s="3">
        <f t="shared" si="142"/>
        <v>0.35213547588044125</v>
      </c>
      <c r="AB401" s="3">
        <f t="shared" si="145"/>
        <v>3.0959073845599646E-2</v>
      </c>
      <c r="AC401" s="3">
        <f t="shared" si="143"/>
        <v>6.0553580082678415E-2</v>
      </c>
      <c r="AD401" s="48"/>
      <c r="AE401" s="46">
        <f t="shared" si="138"/>
        <v>42.092150479734592</v>
      </c>
      <c r="AF401" s="46">
        <f t="shared" si="139"/>
        <v>-248.53990489731521</v>
      </c>
      <c r="AG401" s="47">
        <f t="shared" si="140"/>
        <v>21992.631053994955</v>
      </c>
      <c r="AH401" s="45" t="str">
        <f t="shared" si="144"/>
        <v>-248.53990,42.09215,21993</v>
      </c>
      <c r="AI401" s="44">
        <f t="shared" si="146"/>
        <v>1021.3084730436379</v>
      </c>
    </row>
    <row r="402" spans="1:35" ht="18" customHeight="1" x14ac:dyDescent="0.25">
      <c r="A402" s="36">
        <f t="shared" si="141"/>
        <v>0.74412039351851844</v>
      </c>
      <c r="B402" s="42">
        <f t="shared" si="126"/>
        <v>42.092150465720387</v>
      </c>
      <c r="C402" s="43">
        <f t="shared" si="127"/>
        <v>111.46009675595558</v>
      </c>
      <c r="D402" s="18">
        <f t="shared" si="128"/>
        <v>21.933004695228192</v>
      </c>
      <c r="E402" s="21" t="str">
        <f t="shared" si="129"/>
        <v>Umbra</v>
      </c>
      <c r="F402" s="23">
        <f>IF($E402&lt;&gt;"Umbra",fracil2($S$2,$S$3,$S$4,$A402,$Q$2,$O$3,$Q$4,$U402,$V402,$W402),0)</f>
        <v>0</v>
      </c>
      <c r="G402" s="19">
        <f t="shared" si="130"/>
        <v>69.298344053525568</v>
      </c>
      <c r="H402" s="19">
        <f t="shared" si="131"/>
        <v>-3.6570745173444368</v>
      </c>
      <c r="I402" s="19">
        <f t="shared" si="132"/>
        <v>-2.4490565679495413</v>
      </c>
      <c r="J402" s="28">
        <f t="shared" si="133"/>
        <v>6.8539244714329282E-3</v>
      </c>
      <c r="K402" s="24">
        <f t="shared" si="134"/>
        <v>1049.7924530473751</v>
      </c>
      <c r="L402" s="32">
        <f t="shared" si="135"/>
        <v>0.5535636824161021</v>
      </c>
      <c r="M402" s="35">
        <f t="shared" si="136"/>
        <v>13.599919197756746</v>
      </c>
      <c r="O402" s="29">
        <f t="shared" si="137"/>
        <v>1046.5790547866832</v>
      </c>
      <c r="T402" s="48">
        <v>0.74412039351851844</v>
      </c>
      <c r="U402" s="29">
        <v>-1245.100879283938</v>
      </c>
      <c r="V402" s="29">
        <v>4590.5596779826792</v>
      </c>
      <c r="W402" s="29">
        <v>4267.9057247317405</v>
      </c>
      <c r="X402" s="4">
        <v>-0.32308892222767299</v>
      </c>
      <c r="Y402" s="4">
        <v>-0.13395333714525764</v>
      </c>
      <c r="Z402" s="4">
        <v>-4.0386367390621479E-2</v>
      </c>
      <c r="AA402" s="3">
        <f t="shared" si="142"/>
        <v>0.3520809663551846</v>
      </c>
      <c r="AB402" s="3">
        <f t="shared" si="145"/>
        <v>3.0652518897613345E-2</v>
      </c>
      <c r="AC402" s="3">
        <f t="shared" si="143"/>
        <v>6.0256909004173749E-2</v>
      </c>
      <c r="AD402" s="48"/>
      <c r="AE402" s="46">
        <f t="shared" si="138"/>
        <v>42.092150465720387</v>
      </c>
      <c r="AF402" s="46">
        <f t="shared" si="139"/>
        <v>-248.53990324404441</v>
      </c>
      <c r="AG402" s="47">
        <f t="shared" si="140"/>
        <v>21933.004695228192</v>
      </c>
      <c r="AH402" s="45" t="str">
        <f t="shared" si="144"/>
        <v>-248.53990,42.09215,21933</v>
      </c>
      <c r="AI402" s="44">
        <f t="shared" si="146"/>
        <v>1021.308607302423</v>
      </c>
    </row>
    <row r="403" spans="1:35" ht="18" customHeight="1" x14ac:dyDescent="0.25">
      <c r="A403" s="36">
        <f t="shared" si="141"/>
        <v>0.74413193287037027</v>
      </c>
      <c r="B403" s="42">
        <f t="shared" si="126"/>
        <v>42.09215045166242</v>
      </c>
      <c r="C403" s="43">
        <f t="shared" si="127"/>
        <v>111.46009698115432</v>
      </c>
      <c r="D403" s="18">
        <f t="shared" si="128"/>
        <v>21.873090762286665</v>
      </c>
      <c r="E403" s="21" t="str">
        <f t="shared" si="129"/>
        <v>Umbra</v>
      </c>
      <c r="F403" s="23">
        <f>IF($E403&lt;&gt;"Umbra",fracil2($S$2,$S$3,$S$4,$A403,$Q$2,$O$3,$Q$4,$U403,$V403,$W403),0)</f>
        <v>0</v>
      </c>
      <c r="G403" s="19">
        <f t="shared" si="130"/>
        <v>69.29835499535794</v>
      </c>
      <c r="H403" s="19">
        <f t="shared" si="131"/>
        <v>-3.6603277481735232</v>
      </c>
      <c r="I403" s="19">
        <f t="shared" si="132"/>
        <v>-2.4523097987786278</v>
      </c>
      <c r="J403" s="28">
        <f t="shared" si="133"/>
        <v>6.839197845660918E-3</v>
      </c>
      <c r="K403" s="24">
        <f t="shared" si="134"/>
        <v>1049.7863957006512</v>
      </c>
      <c r="L403" s="32">
        <f t="shared" si="135"/>
        <v>0.5535821687241006</v>
      </c>
      <c r="M403" s="35">
        <f t="shared" si="136"/>
        <v>13.597739785146269</v>
      </c>
      <c r="O403" s="29">
        <f t="shared" si="137"/>
        <v>1046.579072541768</v>
      </c>
      <c r="T403" s="48">
        <v>0.74413193287037027</v>
      </c>
      <c r="U403" s="29">
        <v>-1245.4229974059351</v>
      </c>
      <c r="V403" s="29">
        <v>4590.4262311563934</v>
      </c>
      <c r="W403" s="29">
        <v>4267.8655617615723</v>
      </c>
      <c r="X403" s="4">
        <v>-0.32313325400982168</v>
      </c>
      <c r="Y403" s="4">
        <v>-0.13376346113026122</v>
      </c>
      <c r="Z403" s="4">
        <v>-4.0187550127765717E-2</v>
      </c>
      <c r="AA403" s="3">
        <f t="shared" si="142"/>
        <v>0.35202670717687679</v>
      </c>
      <c r="AB403" s="3">
        <f t="shared" si="145"/>
        <v>3.0332337308047325E-2</v>
      </c>
      <c r="AC403" s="3">
        <f t="shared" si="143"/>
        <v>5.9960362421230519E-2</v>
      </c>
      <c r="AD403" s="48"/>
      <c r="AE403" s="46">
        <f t="shared" si="138"/>
        <v>42.09215045166242</v>
      </c>
      <c r="AF403" s="46">
        <f t="shared" si="139"/>
        <v>-248.53990301884568</v>
      </c>
      <c r="AG403" s="47">
        <f t="shared" si="140"/>
        <v>21873.090762286665</v>
      </c>
      <c r="AH403" s="45" t="str">
        <f t="shared" si="144"/>
        <v>-248.53990,42.09215,21873</v>
      </c>
      <c r="AI403" s="44">
        <f t="shared" si="146"/>
        <v>1021.308607302423</v>
      </c>
    </row>
    <row r="404" spans="1:35" ht="18" customHeight="1" x14ac:dyDescent="0.25">
      <c r="A404" s="36">
        <f t="shared" si="141"/>
        <v>0.74414356481481481</v>
      </c>
      <c r="B404" s="42">
        <f t="shared" si="126"/>
        <v>42.092150437588707</v>
      </c>
      <c r="C404" s="43">
        <f t="shared" si="127"/>
        <v>111.46009635433107</v>
      </c>
      <c r="D404" s="18">
        <f t="shared" si="128"/>
        <v>21.813005910472384</v>
      </c>
      <c r="E404" s="21" t="str">
        <f t="shared" si="129"/>
        <v>Umbra</v>
      </c>
      <c r="F404" s="23">
        <f>IF($E404&lt;&gt;"Umbra",fracil2($S$2,$S$3,$S$4,$A404,$Q$2,$O$3,$Q$4,$U404,$V404,$W404),0)</f>
        <v>0</v>
      </c>
      <c r="G404" s="19">
        <f t="shared" si="130"/>
        <v>69.298365100503275</v>
      </c>
      <c r="H404" s="19">
        <f t="shared" si="131"/>
        <v>-3.663589918682562</v>
      </c>
      <c r="I404" s="19">
        <f t="shared" si="132"/>
        <v>-2.455571969287667</v>
      </c>
      <c r="J404" s="28">
        <f t="shared" si="133"/>
        <v>6.8245126432424858E-3</v>
      </c>
      <c r="K404" s="24">
        <f t="shared" si="134"/>
        <v>1049.7802558422495</v>
      </c>
      <c r="L404" s="32">
        <f t="shared" si="135"/>
        <v>0.553600768427709</v>
      </c>
      <c r="M404" s="35">
        <f t="shared" si="136"/>
        <v>13.595554987549967</v>
      </c>
      <c r="O404" s="29">
        <f t="shared" si="137"/>
        <v>1046.5790217911062</v>
      </c>
      <c r="T404" s="48">
        <v>0.74414356481481481</v>
      </c>
      <c r="U404" s="29">
        <v>-1245.7476790610845</v>
      </c>
      <c r="V404" s="29">
        <v>4590.2919311470969</v>
      </c>
      <c r="W404" s="29">
        <v>4267.8252842189322</v>
      </c>
      <c r="X404" s="4">
        <v>-0.32317739577453497</v>
      </c>
      <c r="Y404" s="4">
        <v>-0.13357428332474583</v>
      </c>
      <c r="Z404" s="4">
        <v>-3.9989209074337673E-2</v>
      </c>
      <c r="AA404" s="3">
        <f t="shared" si="142"/>
        <v>0.3519728045570012</v>
      </c>
      <c r="AB404" s="3">
        <f t="shared" si="145"/>
        <v>3.0018763482644765E-2</v>
      </c>
      <c r="AC404" s="3">
        <f t="shared" si="143"/>
        <v>5.9664526606543859E-2</v>
      </c>
      <c r="AD404" s="48"/>
      <c r="AE404" s="46">
        <f t="shared" si="138"/>
        <v>42.092150437588707</v>
      </c>
      <c r="AF404" s="46">
        <f t="shared" si="139"/>
        <v>-248.53990364566891</v>
      </c>
      <c r="AG404" s="47">
        <f t="shared" si="140"/>
        <v>21813.005910472384</v>
      </c>
      <c r="AH404" s="45" t="str">
        <f t="shared" si="144"/>
        <v>-248.53990,42.09215,21813</v>
      </c>
      <c r="AI404" s="44">
        <f t="shared" si="146"/>
        <v>1021.308607302423</v>
      </c>
    </row>
    <row r="405" spans="1:35" ht="18" customHeight="1" x14ac:dyDescent="0.25">
      <c r="A405" s="36">
        <f t="shared" si="141"/>
        <v>0.74415510416666664</v>
      </c>
      <c r="B405" s="42">
        <f t="shared" si="126"/>
        <v>42.092150423709384</v>
      </c>
      <c r="C405" s="43">
        <f t="shared" si="127"/>
        <v>111.460098866127</v>
      </c>
      <c r="D405" s="18">
        <f t="shared" si="128"/>
        <v>21.753647005455605</v>
      </c>
      <c r="E405" s="21" t="str">
        <f t="shared" si="129"/>
        <v>Umbra</v>
      </c>
      <c r="F405" s="23">
        <f>IF($E405&lt;&gt;"Umbra",fracil2($S$2,$S$3,$S$4,$A405,$Q$2,$O$3,$Q$4,$U405,$V405,$W405),0)</f>
        <v>0</v>
      </c>
      <c r="G405" s="19">
        <f t="shared" si="130"/>
        <v>69.298378270810844</v>
      </c>
      <c r="H405" s="19">
        <f t="shared" si="131"/>
        <v>-3.6668141026317125</v>
      </c>
      <c r="I405" s="19">
        <f t="shared" si="132"/>
        <v>-2.4587961532368174</v>
      </c>
      <c r="J405" s="28">
        <f t="shared" si="133"/>
        <v>6.8100855059534332E-3</v>
      </c>
      <c r="K405" s="24">
        <f t="shared" si="134"/>
        <v>1049.774445525831</v>
      </c>
      <c r="L405" s="32">
        <f t="shared" si="135"/>
        <v>0.55361918836128676</v>
      </c>
      <c r="M405" s="35">
        <f t="shared" si="136"/>
        <v>13.593393227128674</v>
      </c>
      <c r="O405" s="29">
        <f t="shared" si="137"/>
        <v>1046.5792234005071</v>
      </c>
      <c r="T405" s="48">
        <v>0.74415510416666664</v>
      </c>
      <c r="U405" s="29">
        <v>-1246.0700625372119</v>
      </c>
      <c r="V405" s="29">
        <v>4590.1587867356984</v>
      </c>
      <c r="W405" s="29">
        <v>4267.7854933126846</v>
      </c>
      <c r="X405" s="4">
        <v>-0.32322069471805875</v>
      </c>
      <c r="Y405" s="4">
        <v>-0.13338860330345056</v>
      </c>
      <c r="Z405" s="4">
        <v>-3.9794283294177148E-2</v>
      </c>
      <c r="AA405" s="3">
        <f t="shared" si="142"/>
        <v>0.35192005053444603</v>
      </c>
      <c r="AB405" s="3">
        <f t="shared" si="145"/>
        <v>2.9738542281973604E-2</v>
      </c>
      <c r="AC405" s="3">
        <f t="shared" si="143"/>
        <v>5.937378530936422E-2</v>
      </c>
      <c r="AD405" s="48"/>
      <c r="AE405" s="46">
        <f t="shared" si="138"/>
        <v>42.092150423709384</v>
      </c>
      <c r="AF405" s="46">
        <f t="shared" si="139"/>
        <v>-248.539901133873</v>
      </c>
      <c r="AG405" s="47">
        <f t="shared" si="140"/>
        <v>21753.647005455605</v>
      </c>
      <c r="AH405" s="45" t="str">
        <f t="shared" si="144"/>
        <v>-248.53990,42.09215,21754</v>
      </c>
      <c r="AI405" s="44">
        <f t="shared" si="146"/>
        <v>1021.3087971730189</v>
      </c>
    </row>
    <row r="406" spans="1:35" ht="18" customHeight="1" x14ac:dyDescent="0.25">
      <c r="A406" s="36">
        <f t="shared" si="141"/>
        <v>0.74416672453703703</v>
      </c>
      <c r="B406" s="42">
        <f t="shared" si="126"/>
        <v>42.092150409835384</v>
      </c>
      <c r="C406" s="43">
        <f t="shared" si="127"/>
        <v>111.46009835663222</v>
      </c>
      <c r="D406" s="18">
        <f t="shared" si="128"/>
        <v>21.694205861681439</v>
      </c>
      <c r="E406" s="21" t="str">
        <f t="shared" si="129"/>
        <v>Umbra</v>
      </c>
      <c r="F406" s="23">
        <f>IF($E406&lt;&gt;"Umbra",fracil2($S$2,$S$3,$S$4,$A406,$Q$2,$O$3,$Q$4,$U406,$V406,$W406),0)</f>
        <v>0</v>
      </c>
      <c r="G406" s="19">
        <f t="shared" si="130"/>
        <v>69.298388380397185</v>
      </c>
      <c r="H406" s="19">
        <f t="shared" si="131"/>
        <v>-3.6700414475794476</v>
      </c>
      <c r="I406" s="19">
        <f t="shared" si="132"/>
        <v>-2.4620234981845526</v>
      </c>
      <c r="J406" s="28">
        <f t="shared" si="133"/>
        <v>6.7957195761323436E-3</v>
      </c>
      <c r="K406" s="24">
        <f t="shared" si="134"/>
        <v>1049.768387025696</v>
      </c>
      <c r="L406" s="32">
        <f t="shared" si="135"/>
        <v>0.55363770199861495</v>
      </c>
      <c r="M406" s="35">
        <f t="shared" si="136"/>
        <v>13.591231591307741</v>
      </c>
      <c r="O406" s="29">
        <f t="shared" si="137"/>
        <v>1046.5791820884401</v>
      </c>
      <c r="T406" s="48">
        <v>0.74416672453703703</v>
      </c>
      <c r="U406" s="29">
        <v>-1246.3945181729291</v>
      </c>
      <c r="V406" s="29">
        <v>4590.0249903225886</v>
      </c>
      <c r="W406" s="29">
        <v>4267.7456472802041</v>
      </c>
      <c r="X406" s="4">
        <v>-0.32326374641679878</v>
      </c>
      <c r="Y406" s="4">
        <v>-0.13320386878364002</v>
      </c>
      <c r="Z406" s="4">
        <v>-3.9600097591307504E-2</v>
      </c>
      <c r="AA406" s="3">
        <f t="shared" si="142"/>
        <v>0.35186771397159278</v>
      </c>
      <c r="AB406" s="3">
        <f t="shared" si="145"/>
        <v>2.9419033973101492E-2</v>
      </c>
      <c r="AC406" s="3">
        <f t="shared" si="143"/>
        <v>5.9084148330034912E-2</v>
      </c>
      <c r="AD406" s="48"/>
      <c r="AE406" s="46">
        <f t="shared" si="138"/>
        <v>42.092150409835384</v>
      </c>
      <c r="AF406" s="46">
        <f t="shared" si="139"/>
        <v>-248.53990164336778</v>
      </c>
      <c r="AG406" s="47">
        <f t="shared" si="140"/>
        <v>21694.205861681439</v>
      </c>
      <c r="AH406" s="45" t="str">
        <f t="shared" si="144"/>
        <v>-248.53990,42.09215,21694</v>
      </c>
      <c r="AI406" s="44">
        <f t="shared" si="146"/>
        <v>1021.3087971730189</v>
      </c>
    </row>
    <row r="407" spans="1:35" ht="18" customHeight="1" x14ac:dyDescent="0.25">
      <c r="A407" s="36">
        <f t="shared" si="141"/>
        <v>0.74417824074074079</v>
      </c>
      <c r="B407" s="42">
        <f t="shared" si="126"/>
        <v>42.092150396164577</v>
      </c>
      <c r="C407" s="43">
        <f t="shared" si="127"/>
        <v>111.46010143609458</v>
      </c>
      <c r="D407" s="18">
        <f t="shared" si="128"/>
        <v>21.63553249301458</v>
      </c>
      <c r="E407" s="21" t="str">
        <f t="shared" si="129"/>
        <v>Umbra</v>
      </c>
      <c r="F407" s="23">
        <f>IF($E407&lt;&gt;"Umbra",fracil2($S$2,$S$3,$S$4,$A407,$Q$2,$O$3,$Q$4,$U407,$V407,$W407),0)</f>
        <v>0</v>
      </c>
      <c r="G407" s="19">
        <f t="shared" si="130"/>
        <v>69.298402006070489</v>
      </c>
      <c r="H407" s="19">
        <f t="shared" si="131"/>
        <v>-3.6732287310002554</v>
      </c>
      <c r="I407" s="19">
        <f t="shared" si="132"/>
        <v>-2.4652107816053599</v>
      </c>
      <c r="J407" s="28">
        <f t="shared" si="133"/>
        <v>6.7816169734419163E-3</v>
      </c>
      <c r="K407" s="24">
        <f t="shared" si="134"/>
        <v>1049.7626983906598</v>
      </c>
      <c r="L407" s="32">
        <f t="shared" si="135"/>
        <v>0.5536560189830847</v>
      </c>
      <c r="M407" s="35">
        <f t="shared" si="136"/>
        <v>13.589094044398481</v>
      </c>
      <c r="O407" s="29">
        <f t="shared" si="137"/>
        <v>1046.5794293452946</v>
      </c>
      <c r="T407" s="48">
        <v>0.74417824074074079</v>
      </c>
      <c r="U407" s="29">
        <v>-1246.716385441483</v>
      </c>
      <c r="V407" s="29">
        <v>4589.8924609250162</v>
      </c>
      <c r="W407" s="29">
        <v>4267.7063159234058</v>
      </c>
      <c r="X407" s="4">
        <v>-0.32330594218610909</v>
      </c>
      <c r="Y407" s="4">
        <v>-0.13302269391177721</v>
      </c>
      <c r="Z407" s="4">
        <v>-3.94094045735017E-2</v>
      </c>
      <c r="AA407" s="3">
        <f t="shared" si="142"/>
        <v>0.35181652962479182</v>
      </c>
      <c r="AB407" s="3">
        <f t="shared" si="145"/>
        <v>2.9151164059020428E-2</v>
      </c>
      <c r="AC407" s="3">
        <f t="shared" si="143"/>
        <v>5.8799721296844451E-2</v>
      </c>
      <c r="AD407" s="48"/>
      <c r="AE407" s="46">
        <f t="shared" si="138"/>
        <v>42.092150396164577</v>
      </c>
      <c r="AF407" s="46">
        <f t="shared" si="139"/>
        <v>-248.53989856390541</v>
      </c>
      <c r="AG407" s="47">
        <f t="shared" si="140"/>
        <v>21635.53249301458</v>
      </c>
      <c r="AH407" s="45" t="str">
        <f t="shared" si="144"/>
        <v>-248.53990,42.09215,21636</v>
      </c>
      <c r="AI407" s="44">
        <f t="shared" si="146"/>
        <v>1021.3090483482081</v>
      </c>
    </row>
    <row r="408" spans="1:35" ht="18" customHeight="1" x14ac:dyDescent="0.25">
      <c r="A408" s="36">
        <f t="shared" si="141"/>
        <v>0.7441899305555556</v>
      </c>
      <c r="B408" s="42">
        <f t="shared" si="126"/>
        <v>42.092150382395133</v>
      </c>
      <c r="C408" s="43">
        <f t="shared" si="127"/>
        <v>111.46009976675118</v>
      </c>
      <c r="D408" s="18">
        <f t="shared" si="128"/>
        <v>21.57632987758825</v>
      </c>
      <c r="E408" s="21" t="str">
        <f t="shared" si="129"/>
        <v>Umbra</v>
      </c>
      <c r="F408" s="23">
        <f>IF($E408&lt;&gt;"Umbra",fracil2($S$2,$S$3,$S$4,$A408,$Q$2,$O$3,$Q$4,$U408,$V408,$W408),0)</f>
        <v>0</v>
      </c>
      <c r="G408" s="19">
        <f t="shared" si="130"/>
        <v>69.298410892458918</v>
      </c>
      <c r="H408" s="19">
        <f t="shared" si="131"/>
        <v>-3.6764426830368477</v>
      </c>
      <c r="I408" s="19">
        <f t="shared" si="132"/>
        <v>-2.4684247336419523</v>
      </c>
      <c r="J408" s="28">
        <f t="shared" si="133"/>
        <v>6.7674668619586865E-3</v>
      </c>
      <c r="K408" s="24">
        <f t="shared" si="134"/>
        <v>1049.7565772700925</v>
      </c>
      <c r="L408" s="32">
        <f t="shared" si="135"/>
        <v>0.55367457583047941</v>
      </c>
      <c r="M408" s="35">
        <f t="shared" si="136"/>
        <v>13.586942178469998</v>
      </c>
      <c r="O408" s="29">
        <f t="shared" si="137"/>
        <v>1046.5792947802388</v>
      </c>
      <c r="T408" s="48">
        <v>0.7441899305555556</v>
      </c>
      <c r="U408" s="29">
        <v>-1247.042777011952</v>
      </c>
      <c r="V408" s="29">
        <v>4589.7582693188815</v>
      </c>
      <c r="W408" s="29">
        <v>4267.6666297911343</v>
      </c>
      <c r="X408" s="4">
        <v>-0.32334821742738201</v>
      </c>
      <c r="Y408" s="4">
        <v>-0.13284106286555439</v>
      </c>
      <c r="Z408" s="4">
        <v>-3.9217978942418706E-2</v>
      </c>
      <c r="AA408" s="3">
        <f t="shared" si="142"/>
        <v>0.35176535868252246</v>
      </c>
      <c r="AB408" s="3">
        <f t="shared" si="145"/>
        <v>2.8828512099381344E-2</v>
      </c>
      <c r="AC408" s="3">
        <f t="shared" si="143"/>
        <v>5.8514201983301616E-2</v>
      </c>
      <c r="AD408" s="48"/>
      <c r="AE408" s="46">
        <f t="shared" si="138"/>
        <v>42.092150382395133</v>
      </c>
      <c r="AF408" s="46">
        <f t="shared" si="139"/>
        <v>-248.53990023324883</v>
      </c>
      <c r="AG408" s="47">
        <f t="shared" si="140"/>
        <v>21576.32987758825</v>
      </c>
      <c r="AH408" s="45" t="str">
        <f t="shared" si="144"/>
        <v>-248.53990,42.09215,21576</v>
      </c>
      <c r="AI408" s="44">
        <f t="shared" si="146"/>
        <v>1021.3091826069931</v>
      </c>
    </row>
    <row r="409" spans="1:35" ht="18" customHeight="1" x14ac:dyDescent="0.25">
      <c r="A409" s="36">
        <f t="shared" si="141"/>
        <v>0.74420137731481484</v>
      </c>
      <c r="B409" s="42">
        <f t="shared" si="126"/>
        <v>42.09215036899635</v>
      </c>
      <c r="C409" s="43">
        <f t="shared" si="127"/>
        <v>111.46009930931892</v>
      </c>
      <c r="D409" s="18">
        <f t="shared" si="128"/>
        <v>21.518619699704686</v>
      </c>
      <c r="E409" s="21" t="str">
        <f t="shared" si="129"/>
        <v>Umbra</v>
      </c>
      <c r="F409" s="23">
        <f>IF($E409&lt;&gt;"Umbra",fracil2($S$2,$S$3,$S$4,$A409,$Q$2,$O$3,$Q$4,$U409,$V409,$W409),0)</f>
        <v>0</v>
      </c>
      <c r="G409" s="19">
        <f t="shared" si="130"/>
        <v>69.298420745685689</v>
      </c>
      <c r="H409" s="19">
        <f t="shared" si="131"/>
        <v>-3.67957616873904</v>
      </c>
      <c r="I409" s="19">
        <f t="shared" si="132"/>
        <v>-2.4715582193441445</v>
      </c>
      <c r="J409" s="28">
        <f t="shared" si="133"/>
        <v>6.7537488358666081E-3</v>
      </c>
      <c r="K409" s="24">
        <f t="shared" si="134"/>
        <v>1049.7507077968262</v>
      </c>
      <c r="L409" s="32">
        <f t="shared" si="135"/>
        <v>0.55369271547214505</v>
      </c>
      <c r="M409" s="35">
        <f t="shared" si="136"/>
        <v>13.584843266628331</v>
      </c>
      <c r="O409" s="29">
        <f t="shared" si="137"/>
        <v>1046.5792576660485</v>
      </c>
      <c r="T409" s="48">
        <v>0.74420137731481484</v>
      </c>
      <c r="U409" s="29">
        <v>-1247.3625148126866</v>
      </c>
      <c r="V409" s="29">
        <v>4589.6270069902876</v>
      </c>
      <c r="W409" s="29">
        <v>4267.627944107744</v>
      </c>
      <c r="X409" s="4">
        <v>-0.32338913721678619</v>
      </c>
      <c r="Y409" s="4">
        <v>-0.13266514365401708</v>
      </c>
      <c r="Z409" s="4">
        <v>-3.9032327733703763E-2</v>
      </c>
      <c r="AA409" s="3">
        <f t="shared" si="142"/>
        <v>0.35171593227897652</v>
      </c>
      <c r="AB409" s="3">
        <f t="shared" si="145"/>
        <v>2.8552512678805091E-2</v>
      </c>
      <c r="AC409" s="3">
        <f t="shared" si="143"/>
        <v>5.8237295889306401E-2</v>
      </c>
      <c r="AD409" s="48"/>
      <c r="AE409" s="46">
        <f t="shared" si="138"/>
        <v>42.09215036899635</v>
      </c>
      <c r="AF409" s="46">
        <f t="shared" si="139"/>
        <v>-248.53990069068107</v>
      </c>
      <c r="AG409" s="47">
        <f t="shared" si="140"/>
        <v>21518.619699704686</v>
      </c>
      <c r="AH409" s="45" t="str">
        <f t="shared" si="144"/>
        <v>-248.53990,42.09215,21519</v>
      </c>
      <c r="AI409" s="44">
        <f t="shared" si="146"/>
        <v>1021.3091826069931</v>
      </c>
    </row>
    <row r="410" spans="1:35" ht="18" customHeight="1" x14ac:dyDescent="0.25">
      <c r="A410" s="36">
        <f t="shared" si="141"/>
        <v>0.74421306712962965</v>
      </c>
      <c r="B410" s="42">
        <f t="shared" si="126"/>
        <v>42.092150355400925</v>
      </c>
      <c r="C410" s="43">
        <f t="shared" si="127"/>
        <v>111.4600993123892</v>
      </c>
      <c r="D410" s="18">
        <f t="shared" si="128"/>
        <v>21.459958765548436</v>
      </c>
      <c r="E410" s="21" t="str">
        <f t="shared" si="129"/>
        <v>Umbra</v>
      </c>
      <c r="F410" s="23">
        <f>IF($E410&lt;&gt;"Umbra",fracil2($S$2,$S$3,$S$4,$A410,$Q$2,$O$3,$Q$4,$U410,$V410,$W410),0)</f>
        <v>0</v>
      </c>
      <c r="G410" s="19">
        <f t="shared" si="130"/>
        <v>69.29843123771947</v>
      </c>
      <c r="H410" s="19">
        <f t="shared" si="131"/>
        <v>-3.6827615206468725</v>
      </c>
      <c r="I410" s="19">
        <f t="shared" si="132"/>
        <v>-2.4747435712519774</v>
      </c>
      <c r="J410" s="28">
        <f t="shared" si="133"/>
        <v>6.7398808728799976E-3</v>
      </c>
      <c r="K410" s="24">
        <f t="shared" si="134"/>
        <v>1049.7447825166432</v>
      </c>
      <c r="L410" s="32">
        <f t="shared" si="135"/>
        <v>0.55371120809619645</v>
      </c>
      <c r="M410" s="35">
        <f t="shared" si="136"/>
        <v>13.582709221432445</v>
      </c>
      <c r="O410" s="29">
        <f t="shared" si="137"/>
        <v>1046.5792575728401</v>
      </c>
      <c r="T410" s="48">
        <v>0.74421306712962965</v>
      </c>
      <c r="U410" s="29">
        <v>-1247.6891200700493</v>
      </c>
      <c r="V410" s="29">
        <v>4589.4931209494953</v>
      </c>
      <c r="W410" s="29">
        <v>4267.5886210924118</v>
      </c>
      <c r="X410" s="4">
        <v>-0.32343043886638712</v>
      </c>
      <c r="Y410" s="4">
        <v>-0.13248746882528947</v>
      </c>
      <c r="Z410" s="4">
        <v>-3.8844573881029451E-2</v>
      </c>
      <c r="AA410" s="3">
        <f t="shared" si="142"/>
        <v>0.35166614722067657</v>
      </c>
      <c r="AB410" s="3">
        <f t="shared" si="145"/>
        <v>2.82754586729238E-2</v>
      </c>
      <c r="AC410" s="3">
        <f t="shared" si="143"/>
        <v>5.7957254050082403E-2</v>
      </c>
      <c r="AD410" s="48"/>
      <c r="AE410" s="46">
        <f t="shared" si="138"/>
        <v>42.092150355400925</v>
      </c>
      <c r="AF410" s="46">
        <f t="shared" si="139"/>
        <v>-248.53990068761078</v>
      </c>
      <c r="AG410" s="47">
        <f t="shared" si="140"/>
        <v>21459.958765548436</v>
      </c>
      <c r="AH410" s="45" t="str">
        <f t="shared" si="144"/>
        <v>-248.53990,42.09215,21460</v>
      </c>
      <c r="AI410" s="44">
        <f t="shared" si="146"/>
        <v>1021.3091826069931</v>
      </c>
    </row>
    <row r="411" spans="1:35" ht="18" customHeight="1" x14ac:dyDescent="0.25">
      <c r="A411" s="36">
        <f t="shared" si="141"/>
        <v>0.74422454861111109</v>
      </c>
      <c r="B411" s="42">
        <f t="shared" si="126"/>
        <v>42.092150342126331</v>
      </c>
      <c r="C411" s="43">
        <f t="shared" si="127"/>
        <v>111.46010204531018</v>
      </c>
      <c r="D411" s="18">
        <f t="shared" si="128"/>
        <v>21.402579517046433</v>
      </c>
      <c r="E411" s="21" t="str">
        <f t="shared" si="129"/>
        <v>Umbra</v>
      </c>
      <c r="F411" s="23">
        <f>IF($E411&lt;&gt;"Umbra",fracil2($S$2,$S$3,$S$4,$A411,$Q$2,$O$3,$Q$4,$U411,$V411,$W411),0)</f>
        <v>0</v>
      </c>
      <c r="G411" s="19">
        <f t="shared" si="130"/>
        <v>69.298444279419982</v>
      </c>
      <c r="H411" s="19">
        <f t="shared" si="131"/>
        <v>-3.6858785179879745</v>
      </c>
      <c r="I411" s="19">
        <f t="shared" si="132"/>
        <v>-2.477860568593079</v>
      </c>
      <c r="J411" s="28">
        <f t="shared" si="133"/>
        <v>6.7263892684004773E-3</v>
      </c>
      <c r="K411" s="24">
        <f t="shared" si="134"/>
        <v>1049.7392095634061</v>
      </c>
      <c r="L411" s="32">
        <f t="shared" si="135"/>
        <v>0.55372934114669148</v>
      </c>
      <c r="M411" s="35">
        <f t="shared" si="136"/>
        <v>13.580618872221395</v>
      </c>
      <c r="O411" s="29">
        <f t="shared" si="137"/>
        <v>1046.5794769765546</v>
      </c>
      <c r="T411" s="48">
        <v>0.74422454861111109</v>
      </c>
      <c r="U411" s="29">
        <v>-1248.0101566929118</v>
      </c>
      <c r="V411" s="29">
        <v>4589.3617080974418</v>
      </c>
      <c r="W411" s="29">
        <v>4267.5501572495759</v>
      </c>
      <c r="X411" s="4">
        <v>-0.32347055403525898</v>
      </c>
      <c r="Y411" s="4">
        <v>-0.13231478616229581</v>
      </c>
      <c r="Z411" s="4">
        <v>-3.8661850154684582E-2</v>
      </c>
      <c r="AA411" s="3">
        <f t="shared" si="142"/>
        <v>0.35161789007733202</v>
      </c>
      <c r="AB411" s="3">
        <f t="shared" si="145"/>
        <v>2.8017203071036108E-2</v>
      </c>
      <c r="AC411" s="3">
        <f t="shared" si="143"/>
        <v>5.768471525031519E-2</v>
      </c>
      <c r="AD411" s="48"/>
      <c r="AE411" s="46">
        <f t="shared" si="138"/>
        <v>42.092150342126331</v>
      </c>
      <c r="AF411" s="46">
        <f t="shared" si="139"/>
        <v>-248.53989795468982</v>
      </c>
      <c r="AG411" s="47">
        <f t="shared" si="140"/>
        <v>21402.579517046433</v>
      </c>
      <c r="AH411" s="45" t="str">
        <f t="shared" si="144"/>
        <v>-248.53990,42.09215,21403</v>
      </c>
      <c r="AI411" s="44">
        <f t="shared" si="146"/>
        <v>1021.3094151500317</v>
      </c>
    </row>
    <row r="412" spans="1:35" ht="18" customHeight="1" x14ac:dyDescent="0.25">
      <c r="A412" s="36">
        <f t="shared" si="141"/>
        <v>0.74423622685185187</v>
      </c>
      <c r="B412" s="42">
        <f t="shared" si="126"/>
        <v>42.092150328723918</v>
      </c>
      <c r="C412" s="43">
        <f t="shared" si="127"/>
        <v>111.46010107132419</v>
      </c>
      <c r="D412" s="18">
        <f t="shared" si="128"/>
        <v>21.344544637539911</v>
      </c>
      <c r="E412" s="21" t="str">
        <f t="shared" si="129"/>
        <v>Umbra</v>
      </c>
      <c r="F412" s="23">
        <f>IF($E412&lt;&gt;"Umbra",fracil2($S$2,$S$3,$S$4,$A412,$Q$2,$O$3,$Q$4,$U412,$V412,$W412),0)</f>
        <v>0</v>
      </c>
      <c r="G412" s="19">
        <f t="shared" si="130"/>
        <v>69.298453665026159</v>
      </c>
      <c r="H412" s="19">
        <f t="shared" si="131"/>
        <v>-3.6890295120025978</v>
      </c>
      <c r="I412" s="19">
        <f t="shared" si="132"/>
        <v>-2.4810115626077023</v>
      </c>
      <c r="J412" s="28">
        <f t="shared" si="133"/>
        <v>6.7128180584276409E-3</v>
      </c>
      <c r="K412" s="24">
        <f t="shared" si="134"/>
        <v>1049.7332752151649</v>
      </c>
      <c r="L412" s="32">
        <f t="shared" si="135"/>
        <v>0.55374775083375483</v>
      </c>
      <c r="M412" s="35">
        <f t="shared" si="136"/>
        <v>13.578508507552199</v>
      </c>
      <c r="O412" s="29">
        <f t="shared" si="137"/>
        <v>1046.5793983296703</v>
      </c>
      <c r="T412" s="48">
        <v>0.74423622685185187</v>
      </c>
      <c r="U412" s="29">
        <v>-1248.3364453003073</v>
      </c>
      <c r="V412" s="29">
        <v>4589.2283366163174</v>
      </c>
      <c r="W412" s="29">
        <v>4267.5112539103329</v>
      </c>
      <c r="X412" s="4">
        <v>-0.32351084345143871</v>
      </c>
      <c r="Y412" s="4">
        <v>-0.13214124042713712</v>
      </c>
      <c r="Z412" s="4">
        <v>-3.8477965267428672E-2</v>
      </c>
      <c r="AA412" s="3">
        <f t="shared" si="142"/>
        <v>0.35156951953120907</v>
      </c>
      <c r="AB412" s="3">
        <f t="shared" si="145"/>
        <v>2.7720158646720523E-2</v>
      </c>
      <c r="AC412" s="3">
        <f t="shared" si="143"/>
        <v>5.7410444959743422E-2</v>
      </c>
      <c r="AD412" s="48"/>
      <c r="AE412" s="46">
        <f t="shared" si="138"/>
        <v>42.092150328723918</v>
      </c>
      <c r="AF412" s="46">
        <f t="shared" si="139"/>
        <v>-248.53989892867583</v>
      </c>
      <c r="AG412" s="47">
        <f t="shared" si="140"/>
        <v>21344.544637539911</v>
      </c>
      <c r="AH412" s="45" t="str">
        <f t="shared" si="144"/>
        <v>-248.53990,42.09215,21345</v>
      </c>
      <c r="AI412" s="44">
        <f t="shared" si="146"/>
        <v>1021.3094151500317</v>
      </c>
    </row>
    <row r="413" spans="1:35" ht="18" customHeight="1" x14ac:dyDescent="0.25">
      <c r="A413" s="36">
        <f t="shared" si="141"/>
        <v>0.74424773148148138</v>
      </c>
      <c r="B413" s="42">
        <f t="shared" si="126"/>
        <v>42.092150315598744</v>
      </c>
      <c r="C413" s="43">
        <f t="shared" si="127"/>
        <v>111.46010251480548</v>
      </c>
      <c r="D413" s="18">
        <f t="shared" si="128"/>
        <v>21.287608833412378</v>
      </c>
      <c r="E413" s="21" t="str">
        <f t="shared" si="129"/>
        <v>Umbra</v>
      </c>
      <c r="F413" s="23">
        <f>IF($E413&lt;&gt;"Umbra",fracil2($S$2,$S$3,$S$4,$A413,$Q$2,$O$3,$Q$4,$U413,$V413,$W413),0)</f>
        <v>0</v>
      </c>
      <c r="G413" s="19">
        <f t="shared" si="130"/>
        <v>69.298465314961334</v>
      </c>
      <c r="H413" s="19">
        <f t="shared" si="131"/>
        <v>-3.6921219265628942</v>
      </c>
      <c r="I413" s="19">
        <f t="shared" si="132"/>
        <v>-2.4841039771679991</v>
      </c>
      <c r="J413" s="28">
        <f t="shared" si="133"/>
        <v>6.6995750687879338E-3</v>
      </c>
      <c r="K413" s="24">
        <f t="shared" si="134"/>
        <v>1049.7276494311079</v>
      </c>
      <c r="L413" s="32">
        <f t="shared" si="135"/>
        <v>0.55376585715225712</v>
      </c>
      <c r="M413" s="35">
        <f t="shared" si="136"/>
        <v>13.576435527782921</v>
      </c>
      <c r="O413" s="29">
        <f t="shared" si="137"/>
        <v>1046.5795140619668</v>
      </c>
      <c r="T413" s="48">
        <v>0.74424773148148138</v>
      </c>
      <c r="U413" s="29">
        <v>-1248.6581091580645</v>
      </c>
      <c r="V413" s="29">
        <v>4589.097042043938</v>
      </c>
      <c r="W413" s="29">
        <v>4267.4730873317494</v>
      </c>
      <c r="X413" s="4">
        <v>-0.32355009345268271</v>
      </c>
      <c r="Y413" s="4">
        <v>-0.13197206093754488</v>
      </c>
      <c r="Z413" s="4">
        <v>-3.8298463141454173E-2</v>
      </c>
      <c r="AA413" s="3">
        <f t="shared" si="142"/>
        <v>0.3515224887832073</v>
      </c>
      <c r="AB413" s="3">
        <f t="shared" si="145"/>
        <v>2.746776891779917E-2</v>
      </c>
      <c r="AC413" s="3">
        <f t="shared" si="143"/>
        <v>5.7142712111390298E-2</v>
      </c>
      <c r="AD413" s="48"/>
      <c r="AE413" s="46">
        <f t="shared" si="138"/>
        <v>42.092150315598744</v>
      </c>
      <c r="AF413" s="46">
        <f t="shared" si="139"/>
        <v>-248.5398974851945</v>
      </c>
      <c r="AG413" s="47">
        <f t="shared" si="140"/>
        <v>21287.608833412378</v>
      </c>
      <c r="AH413" s="45" t="str">
        <f t="shared" si="144"/>
        <v>-248.53990,42.09215,21288</v>
      </c>
      <c r="AI413" s="44">
        <f t="shared" si="146"/>
        <v>1021.3095100853296</v>
      </c>
    </row>
    <row r="414" spans="1:35" ht="18" customHeight="1" x14ac:dyDescent="0.25">
      <c r="A414" s="36">
        <f t="shared" si="141"/>
        <v>0.74425930555555553</v>
      </c>
      <c r="B414" s="42">
        <f t="shared" si="126"/>
        <v>42.092150302476711</v>
      </c>
      <c r="C414" s="43">
        <f t="shared" si="127"/>
        <v>111.46010473300117</v>
      </c>
      <c r="D414" s="18">
        <f t="shared" si="128"/>
        <v>21.2305862152798</v>
      </c>
      <c r="E414" s="21" t="str">
        <f t="shared" si="129"/>
        <v>Umbra</v>
      </c>
      <c r="F414" s="23">
        <f>IF($E414&lt;&gt;"Umbra",fracil2($S$2,$S$3,$S$4,$A414,$Q$2,$O$3,$Q$4,$U414,$V414,$W414),0)</f>
        <v>0</v>
      </c>
      <c r="G414" s="19">
        <f t="shared" si="130"/>
        <v>69.298477769062885</v>
      </c>
      <c r="H414" s="19">
        <f t="shared" si="131"/>
        <v>-3.695219430708899</v>
      </c>
      <c r="I414" s="19">
        <f t="shared" si="132"/>
        <v>-2.4872014813140035</v>
      </c>
      <c r="J414" s="28">
        <f t="shared" si="133"/>
        <v>6.6863827685767034E-3</v>
      </c>
      <c r="K414" s="24">
        <f t="shared" si="134"/>
        <v>1049.7220803099306</v>
      </c>
      <c r="L414" s="32">
        <f t="shared" si="135"/>
        <v>0.55378404233314271</v>
      </c>
      <c r="M414" s="35">
        <f t="shared" si="136"/>
        <v>13.574358516473433</v>
      </c>
      <c r="O414" s="29">
        <f t="shared" si="137"/>
        <v>1046.5796920839125</v>
      </c>
      <c r="T414" s="48">
        <v>0.74425930555555553</v>
      </c>
      <c r="U414" s="29">
        <v>-1248.9818134656641</v>
      </c>
      <c r="V414" s="29">
        <v>4588.965099441285</v>
      </c>
      <c r="W414" s="29">
        <v>4267.4348625598477</v>
      </c>
      <c r="X414" s="4">
        <v>-0.3235891289684209</v>
      </c>
      <c r="Y414" s="4">
        <v>-0.13180369443409862</v>
      </c>
      <c r="Z414" s="4">
        <v>-3.8119579900885124E-2</v>
      </c>
      <c r="AA414" s="3">
        <f t="shared" si="142"/>
        <v>0.3514758037544527</v>
      </c>
      <c r="AB414" s="3">
        <f t="shared" si="145"/>
        <v>2.720878583772985E-2</v>
      </c>
      <c r="AC414" s="3">
        <f t="shared" si="143"/>
        <v>5.6875902757463771E-2</v>
      </c>
      <c r="AD414" s="48"/>
      <c r="AE414" s="46">
        <f t="shared" si="138"/>
        <v>42.092150302476711</v>
      </c>
      <c r="AF414" s="46">
        <f t="shared" si="139"/>
        <v>-248.53989526699883</v>
      </c>
      <c r="AG414" s="47">
        <f t="shared" si="140"/>
        <v>21230.5862152798</v>
      </c>
      <c r="AH414" s="45" t="str">
        <f t="shared" si="144"/>
        <v>-248.53990,42.09215,21231</v>
      </c>
      <c r="AI414" s="44">
        <f t="shared" si="146"/>
        <v>1021.3096999559256</v>
      </c>
    </row>
    <row r="415" spans="1:35" ht="18" customHeight="1" x14ac:dyDescent="0.25">
      <c r="A415" s="36">
        <f t="shared" si="141"/>
        <v>0.74427101851851851</v>
      </c>
      <c r="B415" s="42">
        <f t="shared" si="126"/>
        <v>42.092150289296214</v>
      </c>
      <c r="C415" s="43">
        <f t="shared" si="127"/>
        <v>111.46010274754241</v>
      </c>
      <c r="D415" s="18">
        <f t="shared" si="128"/>
        <v>21.173207033318249</v>
      </c>
      <c r="E415" s="21" t="str">
        <f t="shared" si="129"/>
        <v>Umbra</v>
      </c>
      <c r="F415" s="23">
        <f>IF($E415&lt;&gt;"Umbra",fracil2($S$2,$S$3,$S$4,$A415,$Q$2,$O$3,$Q$4,$U415,$V415,$W415),0)</f>
        <v>0</v>
      </c>
      <c r="G415" s="19">
        <f t="shared" si="130"/>
        <v>69.298486007952334</v>
      </c>
      <c r="H415" s="19">
        <f t="shared" si="131"/>
        <v>-3.6983344752369618</v>
      </c>
      <c r="I415" s="19">
        <f t="shared" si="132"/>
        <v>-2.4903165258420668</v>
      </c>
      <c r="J415" s="28">
        <f t="shared" si="133"/>
        <v>6.6731799817198959E-3</v>
      </c>
      <c r="K415" s="24">
        <f t="shared" si="134"/>
        <v>1049.7161400037974</v>
      </c>
      <c r="L415" s="32">
        <f t="shared" si="135"/>
        <v>0.55380241210423753</v>
      </c>
      <c r="M415" s="35">
        <f t="shared" si="136"/>
        <v>13.572272889709652</v>
      </c>
      <c r="O415" s="29">
        <f t="shared" si="137"/>
        <v>1046.5795321168687</v>
      </c>
      <c r="T415" s="48">
        <v>0.74427101851851851</v>
      </c>
      <c r="U415" s="29">
        <v>-1249.3091144664022</v>
      </c>
      <c r="V415" s="29">
        <v>4588.8318771819659</v>
      </c>
      <c r="W415" s="29">
        <v>4267.3963987694824</v>
      </c>
      <c r="X415" s="4">
        <v>-0.32362813327319884</v>
      </c>
      <c r="Y415" s="4">
        <v>-0.13163534968081114</v>
      </c>
      <c r="Z415" s="4">
        <v>-3.7940472506594103E-2</v>
      </c>
      <c r="AA415" s="3">
        <f t="shared" si="142"/>
        <v>0.35142924378245533</v>
      </c>
      <c r="AB415" s="3">
        <f t="shared" si="145"/>
        <v>2.6919800755120793E-2</v>
      </c>
      <c r="AC415" s="3">
        <f t="shared" si="143"/>
        <v>5.6608759484464116E-2</v>
      </c>
      <c r="AD415" s="48"/>
      <c r="AE415" s="46">
        <f t="shared" si="138"/>
        <v>42.092150289296214</v>
      </c>
      <c r="AF415" s="46">
        <f t="shared" si="139"/>
        <v>-248.53989725245759</v>
      </c>
      <c r="AG415" s="47">
        <f t="shared" si="140"/>
        <v>21173.207033318249</v>
      </c>
      <c r="AH415" s="45" t="str">
        <f t="shared" si="144"/>
        <v>-248.53990,42.09215,21173</v>
      </c>
      <c r="AI415" s="44">
        <f t="shared" si="146"/>
        <v>1021.3098643886849</v>
      </c>
    </row>
    <row r="416" spans="1:35" ht="18" customHeight="1" x14ac:dyDescent="0.25">
      <c r="A416" s="36">
        <f t="shared" si="141"/>
        <v>0.74428240740740748</v>
      </c>
      <c r="B416" s="42">
        <f t="shared" si="126"/>
        <v>42.092150276553923</v>
      </c>
      <c r="C416" s="43">
        <f t="shared" si="127"/>
        <v>111.4601034546083</v>
      </c>
      <c r="D416" s="18">
        <f t="shared" si="128"/>
        <v>21.117637687929346</v>
      </c>
      <c r="E416" s="21" t="str">
        <f t="shared" si="129"/>
        <v>Umbra</v>
      </c>
      <c r="F416" s="23">
        <f>IF($E416&lt;&gt;"Umbra",fracil2($S$2,$S$3,$S$4,$A416,$Q$2,$O$3,$Q$4,$U416,$V416,$W416),0)</f>
        <v>0</v>
      </c>
      <c r="G416" s="19">
        <f t="shared" si="130"/>
        <v>69.298496664058817</v>
      </c>
      <c r="H416" s="19">
        <f t="shared" si="131"/>
        <v>-3.7013524597792591</v>
      </c>
      <c r="I416" s="19">
        <f t="shared" si="132"/>
        <v>-2.493334510384364</v>
      </c>
      <c r="J416" s="28">
        <f t="shared" si="133"/>
        <v>6.6604608146419086E-3</v>
      </c>
      <c r="K416" s="24">
        <f t="shared" si="134"/>
        <v>1049.7106016975972</v>
      </c>
      <c r="L416" s="32">
        <f t="shared" si="135"/>
        <v>0.55382024532037388</v>
      </c>
      <c r="M416" s="35">
        <f t="shared" si="136"/>
        <v>13.570250226187595</v>
      </c>
      <c r="O416" s="29">
        <f t="shared" si="137"/>
        <v>1046.5795886485491</v>
      </c>
      <c r="T416" s="48">
        <v>0.74428240740740748</v>
      </c>
      <c r="U416" s="29">
        <v>-1249.6276019561399</v>
      </c>
      <c r="V416" s="29">
        <v>4588.7024201684244</v>
      </c>
      <c r="W416" s="29">
        <v>4267.3591481940848</v>
      </c>
      <c r="X416" s="4">
        <v>-0.32366564503344475</v>
      </c>
      <c r="Y416" s="4">
        <v>-0.13147333821343135</v>
      </c>
      <c r="Z416" s="4">
        <v>-3.7767865468784745E-2</v>
      </c>
      <c r="AA416" s="3">
        <f t="shared" si="142"/>
        <v>0.35138454732382213</v>
      </c>
      <c r="AB416" s="3">
        <f t="shared" si="145"/>
        <v>2.6680967451212994E-2</v>
      </c>
      <c r="AC416" s="3">
        <f t="shared" si="143"/>
        <v>5.6351312054705061E-2</v>
      </c>
      <c r="AD416" s="48"/>
      <c r="AE416" s="46">
        <f t="shared" si="138"/>
        <v>42.092150276553923</v>
      </c>
      <c r="AF416" s="46">
        <f t="shared" si="139"/>
        <v>-248.53989654539168</v>
      </c>
      <c r="AG416" s="47">
        <f t="shared" si="140"/>
        <v>21117.637687929346</v>
      </c>
      <c r="AH416" s="45" t="str">
        <f t="shared" si="144"/>
        <v>-248.53990,42.09215,21118</v>
      </c>
      <c r="AI416" s="44">
        <f t="shared" si="146"/>
        <v>1021.3098643886849</v>
      </c>
    </row>
    <row r="417" spans="1:35" ht="18" customHeight="1" x14ac:dyDescent="0.25">
      <c r="A417" s="36">
        <f t="shared" si="141"/>
        <v>0.7442939814814814</v>
      </c>
      <c r="B417" s="42">
        <f t="shared" si="126"/>
        <v>42.092150263691359</v>
      </c>
      <c r="C417" s="43">
        <f t="shared" si="127"/>
        <v>111.46010247119591</v>
      </c>
      <c r="D417" s="18">
        <f t="shared" si="128"/>
        <v>21.061445932107745</v>
      </c>
      <c r="E417" s="21" t="str">
        <f t="shared" si="129"/>
        <v>Umbra</v>
      </c>
      <c r="F417" s="23">
        <f>IF($E417&lt;&gt;"Umbra",fracil2($S$2,$S$3,$S$4,$A417,$Q$2,$O$3,$Q$4,$U417,$V417,$W417),0)</f>
        <v>0</v>
      </c>
      <c r="G417" s="19">
        <f t="shared" si="130"/>
        <v>69.298505710719994</v>
      </c>
      <c r="H417" s="19">
        <f t="shared" si="131"/>
        <v>-3.7044035311077201</v>
      </c>
      <c r="I417" s="19">
        <f t="shared" si="132"/>
        <v>-2.4963855817128247</v>
      </c>
      <c r="J417" s="28">
        <f t="shared" si="133"/>
        <v>6.647666779743204E-3</v>
      </c>
      <c r="K417" s="24">
        <f t="shared" si="134"/>
        <v>1049.7048676223769</v>
      </c>
      <c r="L417" s="32">
        <f t="shared" si="135"/>
        <v>0.55383833773426072</v>
      </c>
      <c r="M417" s="35">
        <f t="shared" si="136"/>
        <v>13.568206634279811</v>
      </c>
      <c r="O417" s="29">
        <f t="shared" si="137"/>
        <v>1046.5795092572569</v>
      </c>
      <c r="T417" s="48">
        <v>0.7442939814814814</v>
      </c>
      <c r="U417" s="29">
        <v>-1249.9511741896704</v>
      </c>
      <c r="V417" s="29">
        <v>4588.5710739679498</v>
      </c>
      <c r="W417" s="29">
        <v>4267.3214803914843</v>
      </c>
      <c r="X417" s="4">
        <v>-0.32370331594833929</v>
      </c>
      <c r="Y417" s="4">
        <v>-0.13131053030105932</v>
      </c>
      <c r="Z417" s="4">
        <v>-3.75941707648942E-2</v>
      </c>
      <c r="AA417" s="3">
        <f t="shared" si="142"/>
        <v>0.35133974127530149</v>
      </c>
      <c r="AB417" s="3">
        <f t="shared" si="145"/>
        <v>2.6419469052333455E-2</v>
      </c>
      <c r="AC417" s="3">
        <f t="shared" si="143"/>
        <v>5.6092242741181152E-2</v>
      </c>
      <c r="AD417" s="48"/>
      <c r="AE417" s="46">
        <f t="shared" si="138"/>
        <v>42.092150263691359</v>
      </c>
      <c r="AF417" s="46">
        <f t="shared" si="139"/>
        <v>-248.53989752880409</v>
      </c>
      <c r="AG417" s="47">
        <f t="shared" si="140"/>
        <v>21061.445932107745</v>
      </c>
      <c r="AH417" s="45" t="str">
        <f t="shared" si="144"/>
        <v>-248.53990,42.09215,21061</v>
      </c>
      <c r="AI417" s="44">
        <f t="shared" si="146"/>
        <v>1021.3099986474699</v>
      </c>
    </row>
    <row r="418" spans="1:35" ht="18" customHeight="1" x14ac:dyDescent="0.25">
      <c r="A418" s="36">
        <f t="shared" si="141"/>
        <v>0.74430562499999997</v>
      </c>
      <c r="B418" s="42">
        <f t="shared" si="126"/>
        <v>42.092150250826364</v>
      </c>
      <c r="C418" s="43">
        <f t="shared" si="127"/>
        <v>111.46010393270613</v>
      </c>
      <c r="D418" s="18">
        <f t="shared" si="128"/>
        <v>21.005144340620063</v>
      </c>
      <c r="E418" s="21" t="str">
        <f t="shared" si="129"/>
        <v>Umbra</v>
      </c>
      <c r="F418" s="23">
        <f>IF($E418&lt;&gt;"Umbra",fracil2($S$2,$S$3,$S$4,$A418,$Q$2,$O$3,$Q$4,$U418,$V418,$W418),0)</f>
        <v>0</v>
      </c>
      <c r="G418" s="19">
        <f t="shared" si="130"/>
        <v>69.298517265809124</v>
      </c>
      <c r="H418" s="19">
        <f t="shared" si="131"/>
        <v>-3.7074616779412981</v>
      </c>
      <c r="I418" s="19">
        <f t="shared" si="132"/>
        <v>-2.4994437285464031</v>
      </c>
      <c r="J418" s="28">
        <f t="shared" si="133"/>
        <v>6.6349149701913765E-3</v>
      </c>
      <c r="K418" s="24">
        <f t="shared" si="134"/>
        <v>1049.6993222632962</v>
      </c>
      <c r="L418" s="32">
        <f t="shared" si="135"/>
        <v>0.5538565100027445</v>
      </c>
      <c r="M418" s="35">
        <f t="shared" si="136"/>
        <v>13.566156419679618</v>
      </c>
      <c r="O418" s="29">
        <f t="shared" si="137"/>
        <v>1046.5796264456499</v>
      </c>
      <c r="T418" s="48">
        <v>0.74430562499999997</v>
      </c>
      <c r="U418" s="29">
        <v>-1250.2769158495514</v>
      </c>
      <c r="V418" s="29">
        <v>4588.4390259578695</v>
      </c>
      <c r="W418" s="29">
        <v>4267.2837389631104</v>
      </c>
      <c r="X418" s="4">
        <v>-0.32374079734719929</v>
      </c>
      <c r="Y418" s="4">
        <v>-0.13114843021458034</v>
      </c>
      <c r="Z418" s="4">
        <v>-3.7420988225354938E-2</v>
      </c>
      <c r="AA418" s="3">
        <f t="shared" si="142"/>
        <v>0.35129523904333115</v>
      </c>
      <c r="AB418" s="3">
        <f t="shared" si="145"/>
        <v>2.6184420083511205E-2</v>
      </c>
      <c r="AC418" s="3">
        <f t="shared" si="143"/>
        <v>5.5833937731301131E-2</v>
      </c>
      <c r="AD418" s="48"/>
      <c r="AE418" s="46">
        <f t="shared" si="138"/>
        <v>42.092150250826364</v>
      </c>
      <c r="AF418" s="46">
        <f t="shared" si="139"/>
        <v>-248.53989606729385</v>
      </c>
      <c r="AG418" s="47">
        <f t="shared" si="140"/>
        <v>21005.144340620063</v>
      </c>
      <c r="AH418" s="45" t="str">
        <f t="shared" si="144"/>
        <v>-248.53990,42.09215,21005</v>
      </c>
      <c r="AI418" s="44">
        <f t="shared" si="146"/>
        <v>1021.3101329062549</v>
      </c>
    </row>
    <row r="419" spans="1:35" ht="18" customHeight="1" x14ac:dyDescent="0.25">
      <c r="A419" s="36">
        <f t="shared" si="141"/>
        <v>0.7443171296296297</v>
      </c>
      <c r="B419" s="42">
        <f t="shared" si="126"/>
        <v>42.09215023819722</v>
      </c>
      <c r="C419" s="43">
        <f t="shared" si="127"/>
        <v>111.46010458746672</v>
      </c>
      <c r="D419" s="18">
        <f t="shared" si="128"/>
        <v>20.949778905052881</v>
      </c>
      <c r="E419" s="21" t="str">
        <f t="shared" si="129"/>
        <v>Umbra</v>
      </c>
      <c r="F419" s="23">
        <f>IF($E419&lt;&gt;"Umbra",fracil2($S$2,$S$3,$S$4,$A419,$Q$2,$O$3,$Q$4,$U419,$V419,$W419),0)</f>
        <v>0</v>
      </c>
      <c r="G419" s="19">
        <f t="shared" si="130"/>
        <v>69.298527832333235</v>
      </c>
      <c r="H419" s="19">
        <f t="shared" si="131"/>
        <v>-3.7104686622406104</v>
      </c>
      <c r="I419" s="19">
        <f t="shared" si="132"/>
        <v>-2.5024507128457154</v>
      </c>
      <c r="J419" s="28">
        <f t="shared" si="133"/>
        <v>6.6224410116867754E-3</v>
      </c>
      <c r="K419" s="24">
        <f t="shared" si="134"/>
        <v>1049.6938090486929</v>
      </c>
      <c r="L419" s="32">
        <f t="shared" si="135"/>
        <v>0.55387443573665507</v>
      </c>
      <c r="M419" s="35">
        <f t="shared" si="136"/>
        <v>13.56414106039851</v>
      </c>
      <c r="O419" s="29">
        <f t="shared" si="137"/>
        <v>1046.5796787746383</v>
      </c>
      <c r="T419" s="48">
        <v>0.7443171296296297</v>
      </c>
      <c r="U419" s="29">
        <v>-1250.5987479160228</v>
      </c>
      <c r="V419" s="29">
        <v>4588.3087370258045</v>
      </c>
      <c r="W419" s="29">
        <v>4267.2466250829812</v>
      </c>
      <c r="X419" s="4">
        <v>-0.32377739990617083</v>
      </c>
      <c r="Y419" s="4">
        <v>-0.13099002190091055</v>
      </c>
      <c r="Z419" s="4">
        <v>-3.7251511429092964E-2</v>
      </c>
      <c r="AA419" s="3">
        <f t="shared" si="142"/>
        <v>0.35125185498635214</v>
      </c>
      <c r="AB419" s="3">
        <f t="shared" si="145"/>
        <v>2.5933433882824923E-2</v>
      </c>
      <c r="AC419" s="3">
        <f t="shared" si="143"/>
        <v>5.5581160298159814E-2</v>
      </c>
      <c r="AD419" s="48"/>
      <c r="AE419" s="46">
        <f t="shared" si="138"/>
        <v>42.09215023819722</v>
      </c>
      <c r="AF419" s="46">
        <f t="shared" si="139"/>
        <v>-248.53989541253327</v>
      </c>
      <c r="AG419" s="47">
        <f t="shared" si="140"/>
        <v>20949.778905052881</v>
      </c>
      <c r="AH419" s="45" t="str">
        <f t="shared" si="144"/>
        <v>-248.53990,42.09215,20950</v>
      </c>
      <c r="AI419" s="44">
        <f t="shared" si="146"/>
        <v>1021.3101329062549</v>
      </c>
    </row>
    <row r="420" spans="1:35" ht="18" customHeight="1" x14ac:dyDescent="0.25">
      <c r="A420" s="36">
        <f t="shared" si="141"/>
        <v>0.74432879629629634</v>
      </c>
      <c r="B420" s="42">
        <f t="shared" si="126"/>
        <v>42.092150225473198</v>
      </c>
      <c r="C420" s="43">
        <f t="shared" si="127"/>
        <v>111.46010448584545</v>
      </c>
      <c r="D420" s="18">
        <f t="shared" si="128"/>
        <v>20.893899195788435</v>
      </c>
      <c r="E420" s="21" t="str">
        <f t="shared" si="129"/>
        <v>Umbra</v>
      </c>
      <c r="F420" s="23">
        <f>IF($E420&lt;&gt;"Umbra",fracil2($S$2,$S$3,$S$4,$A420,$Q$2,$O$3,$Q$4,$U420,$V420,$W420),0)</f>
        <v>0</v>
      </c>
      <c r="G420" s="19">
        <f t="shared" si="130"/>
        <v>69.298537720917366</v>
      </c>
      <c r="H420" s="19">
        <f t="shared" si="131"/>
        <v>-3.7135032739300082</v>
      </c>
      <c r="I420" s="19">
        <f t="shared" si="132"/>
        <v>-2.5054853245351127</v>
      </c>
      <c r="J420" s="28">
        <f t="shared" si="133"/>
        <v>6.6099169761488332E-3</v>
      </c>
      <c r="K420" s="24">
        <f t="shared" si="134"/>
        <v>1049.688186187466</v>
      </c>
      <c r="L420" s="32">
        <f t="shared" si="135"/>
        <v>0.55389258404512265</v>
      </c>
      <c r="M420" s="35">
        <f t="shared" si="136"/>
        <v>13.562107724626275</v>
      </c>
      <c r="O420" s="29">
        <f t="shared" si="137"/>
        <v>1046.5796702856919</v>
      </c>
      <c r="T420" s="48">
        <v>0.74432879629629634</v>
      </c>
      <c r="U420" s="29">
        <v>-1250.9250907651676</v>
      </c>
      <c r="V420" s="29">
        <v>4588.1767968175</v>
      </c>
      <c r="W420" s="29">
        <v>4267.2091664645077</v>
      </c>
      <c r="X420" s="4">
        <v>-0.32381408652555826</v>
      </c>
      <c r="Y420" s="4">
        <v>-0.13083113957450571</v>
      </c>
      <c r="Z420" s="4">
        <v>-3.7081286447223229E-2</v>
      </c>
      <c r="AA420" s="3">
        <f t="shared" si="142"/>
        <v>0.35120844454444222</v>
      </c>
      <c r="AB420" s="3">
        <f t="shared" si="145"/>
        <v>2.5686105093628574E-2</v>
      </c>
      <c r="AC420" s="3">
        <f t="shared" si="143"/>
        <v>5.532726732804006E-2</v>
      </c>
      <c r="AD420" s="48"/>
      <c r="AE420" s="46">
        <f t="shared" si="138"/>
        <v>42.092150225473198</v>
      </c>
      <c r="AF420" s="46">
        <f t="shared" si="139"/>
        <v>-248.53989551415455</v>
      </c>
      <c r="AG420" s="47">
        <f t="shared" si="140"/>
        <v>20893.899195788435</v>
      </c>
      <c r="AH420" s="45" t="str">
        <f t="shared" si="144"/>
        <v>-248.53990,42.09215,20894</v>
      </c>
      <c r="AI420" s="44">
        <f t="shared" si="146"/>
        <v>1021.3101329062549</v>
      </c>
    </row>
    <row r="421" spans="1:35" ht="18" customHeight="1" x14ac:dyDescent="0.25">
      <c r="A421" s="36">
        <f t="shared" si="141"/>
        <v>0.74434052083333324</v>
      </c>
      <c r="B421" s="42">
        <f t="shared" si="126"/>
        <v>42.092150212758405</v>
      </c>
      <c r="C421" s="43">
        <f t="shared" si="127"/>
        <v>111.46010714134394</v>
      </c>
      <c r="D421" s="18">
        <f t="shared" si="128"/>
        <v>20.837962533171776</v>
      </c>
      <c r="E421" s="21" t="str">
        <f t="shared" si="129"/>
        <v>Umbra</v>
      </c>
      <c r="F421" s="23">
        <f>IF($E421&lt;&gt;"Umbra",fracil2($S$2,$S$3,$S$4,$A421,$Q$2,$O$3,$Q$4,$U421,$V421,$W421),0)</f>
        <v>0</v>
      </c>
      <c r="G421" s="19">
        <f t="shared" si="130"/>
        <v>69.298550426258771</v>
      </c>
      <c r="H421" s="19">
        <f t="shared" si="131"/>
        <v>-3.7165422242083346</v>
      </c>
      <c r="I421" s="19">
        <f t="shared" si="132"/>
        <v>-2.5085242748134391</v>
      </c>
      <c r="J421" s="28">
        <f t="shared" si="133"/>
        <v>6.5974454423955329E-3</v>
      </c>
      <c r="K421" s="24">
        <f t="shared" si="134"/>
        <v>1049.6827824609675</v>
      </c>
      <c r="L421" s="32">
        <f t="shared" si="135"/>
        <v>0.55391079418248623</v>
      </c>
      <c r="M421" s="35">
        <f t="shared" si="136"/>
        <v>13.560069364505692</v>
      </c>
      <c r="O421" s="29">
        <f t="shared" si="137"/>
        <v>1046.5798834783877</v>
      </c>
      <c r="T421" s="48">
        <v>0.74434052083333324</v>
      </c>
      <c r="U421" s="29">
        <v>-1251.253303462895</v>
      </c>
      <c r="V421" s="29">
        <v>4588.0442762243329</v>
      </c>
      <c r="W421" s="29">
        <v>4267.1716696695621</v>
      </c>
      <c r="X421" s="4">
        <v>-0.32385055361731463</v>
      </c>
      <c r="Y421" s="4">
        <v>-0.13067309618279185</v>
      </c>
      <c r="Z421" s="4">
        <v>-3.691171617704523E-2</v>
      </c>
      <c r="AA421" s="3">
        <f t="shared" si="142"/>
        <v>0.35116536551227984</v>
      </c>
      <c r="AB421" s="3">
        <f t="shared" si="145"/>
        <v>2.5460977581832373E-2</v>
      </c>
      <c r="AC421" s="3">
        <f t="shared" si="143"/>
        <v>5.5074351267375268E-2</v>
      </c>
      <c r="AD421" s="48"/>
      <c r="AE421" s="46">
        <f t="shared" si="138"/>
        <v>42.092150212758405</v>
      </c>
      <c r="AF421" s="46">
        <f t="shared" si="139"/>
        <v>-248.53989285865606</v>
      </c>
      <c r="AG421" s="47">
        <f t="shared" si="140"/>
        <v>20837.962533171776</v>
      </c>
      <c r="AH421" s="45" t="str">
        <f t="shared" si="144"/>
        <v>-248.53989,42.09215,20838</v>
      </c>
      <c r="AI421" s="44">
        <f t="shared" si="146"/>
        <v>1021.3103451880349</v>
      </c>
    </row>
    <row r="422" spans="1:35" ht="18" customHeight="1" x14ac:dyDescent="0.25">
      <c r="A422" s="36">
        <f t="shared" si="141"/>
        <v>0.74435189814814817</v>
      </c>
      <c r="B422" s="42">
        <f t="shared" si="126"/>
        <v>42.092150200505891</v>
      </c>
      <c r="C422" s="43">
        <f t="shared" si="127"/>
        <v>111.46010666872624</v>
      </c>
      <c r="D422" s="18">
        <f t="shared" si="128"/>
        <v>20.783966364074331</v>
      </c>
      <c r="E422" s="21" t="str">
        <f t="shared" si="129"/>
        <v>Umbra</v>
      </c>
      <c r="F422" s="23">
        <f>IF($E422&lt;&gt;"Umbra",fracil2($S$2,$S$3,$S$4,$A422,$Q$2,$O$3,$Q$4,$U422,$V422,$W422),0)</f>
        <v>0</v>
      </c>
      <c r="G422" s="19">
        <f t="shared" si="130"/>
        <v>69.298559600475301</v>
      </c>
      <c r="H422" s="19">
        <f t="shared" si="131"/>
        <v>-3.7194744451221067</v>
      </c>
      <c r="I422" s="19">
        <f t="shared" si="132"/>
        <v>-2.5114564957272112</v>
      </c>
      <c r="J422" s="28">
        <f t="shared" si="133"/>
        <v>6.5854690823324213E-3</v>
      </c>
      <c r="K422" s="24">
        <f t="shared" si="134"/>
        <v>1049.677324640817</v>
      </c>
      <c r="L422" s="32">
        <f t="shared" si="135"/>
        <v>0.55392843528480351</v>
      </c>
      <c r="M422" s="35">
        <f t="shared" si="136"/>
        <v>13.558104849651757</v>
      </c>
      <c r="O422" s="29">
        <f t="shared" si="137"/>
        <v>1046.5798451719188</v>
      </c>
      <c r="T422" s="48">
        <v>0.74435189814814817</v>
      </c>
      <c r="U422" s="29">
        <v>-1251.5715952096043</v>
      </c>
      <c r="V422" s="29">
        <v>4587.9159276818809</v>
      </c>
      <c r="W422" s="29">
        <v>4267.135473674186</v>
      </c>
      <c r="X422" s="4">
        <v>-0.32388551334742993</v>
      </c>
      <c r="Y422" s="4">
        <v>-0.13052147917720147</v>
      </c>
      <c r="Z422" s="4">
        <v>-3.6748808304836442E-2</v>
      </c>
      <c r="AA422" s="3">
        <f t="shared" si="142"/>
        <v>0.35112413359773276</v>
      </c>
      <c r="AB422" s="3">
        <f t="shared" si="145"/>
        <v>2.5207088403392367E-2</v>
      </c>
      <c r="AC422" s="3">
        <f t="shared" si="143"/>
        <v>5.4831372630540144E-2</v>
      </c>
      <c r="AD422" s="48"/>
      <c r="AE422" s="46">
        <f t="shared" si="138"/>
        <v>42.092150200505891</v>
      </c>
      <c r="AF422" s="46">
        <f t="shared" si="139"/>
        <v>-248.53989333127376</v>
      </c>
      <c r="AG422" s="47">
        <f t="shared" si="140"/>
        <v>20783.966364074331</v>
      </c>
      <c r="AH422" s="45" t="str">
        <f t="shared" si="144"/>
        <v>-248.53989,42.09215,20784</v>
      </c>
      <c r="AI422" s="44">
        <f t="shared" si="146"/>
        <v>1021.3103451880349</v>
      </c>
    </row>
    <row r="423" spans="1:35" ht="18" customHeight="1" x14ac:dyDescent="0.25">
      <c r="A423" s="36">
        <f t="shared" si="141"/>
        <v>0.74436349537037039</v>
      </c>
      <c r="B423" s="42">
        <f t="shared" si="126"/>
        <v>42.092150188091829</v>
      </c>
      <c r="C423" s="43">
        <f t="shared" si="127"/>
        <v>111.4601066630336</v>
      </c>
      <c r="D423" s="18">
        <f t="shared" si="128"/>
        <v>20.729164929390208</v>
      </c>
      <c r="E423" s="21" t="str">
        <f t="shared" si="129"/>
        <v>Umbra</v>
      </c>
      <c r="F423" s="23">
        <f>IF($E423&lt;&gt;"Umbra",fracil2($S$2,$S$3,$S$4,$A423,$Q$2,$O$3,$Q$4,$U423,$V423,$W423),0)</f>
        <v>0</v>
      </c>
      <c r="G423" s="19">
        <f t="shared" si="130"/>
        <v>69.298569394018472</v>
      </c>
      <c r="H423" s="19">
        <f t="shared" si="131"/>
        <v>-3.7224506348696043</v>
      </c>
      <c r="I423" s="19">
        <f t="shared" si="132"/>
        <v>-2.5144326854747092</v>
      </c>
      <c r="J423" s="28">
        <f t="shared" si="133"/>
        <v>6.5733760319063696E-3</v>
      </c>
      <c r="K423" s="24">
        <f t="shared" si="134"/>
        <v>1049.6718263859591</v>
      </c>
      <c r="L423" s="32">
        <f t="shared" si="135"/>
        <v>0.5539463893553922</v>
      </c>
      <c r="M423" s="35">
        <f t="shared" si="136"/>
        <v>13.556110484733017</v>
      </c>
      <c r="O423" s="29">
        <f t="shared" si="137"/>
        <v>1046.5798444036998</v>
      </c>
      <c r="T423" s="48">
        <v>0.74436349537037039</v>
      </c>
      <c r="U423" s="29">
        <v>-1251.8961114557542</v>
      </c>
      <c r="V423" s="29">
        <v>4587.7852359077433</v>
      </c>
      <c r="W423" s="29">
        <v>4267.0987378758145</v>
      </c>
      <c r="X423" s="4">
        <v>-0.32392075152756694</v>
      </c>
      <c r="Y423" s="4">
        <v>-0.13036854685337435</v>
      </c>
      <c r="Z423" s="4">
        <v>-3.658425187494304E-2</v>
      </c>
      <c r="AA423" s="3">
        <f t="shared" si="142"/>
        <v>0.35108263808410334</v>
      </c>
      <c r="AB423" s="3">
        <f t="shared" si="145"/>
        <v>2.4979318826608244E-2</v>
      </c>
      <c r="AC423" s="3">
        <f t="shared" si="143"/>
        <v>5.4585935535725751E-2</v>
      </c>
      <c r="AD423" s="48"/>
      <c r="AE423" s="46">
        <f t="shared" si="138"/>
        <v>42.092150188091829</v>
      </c>
      <c r="AF423" s="46">
        <f t="shared" si="139"/>
        <v>-248.5398933369664</v>
      </c>
      <c r="AG423" s="47">
        <f t="shared" si="140"/>
        <v>20729.164929390208</v>
      </c>
      <c r="AH423" s="45" t="str">
        <f t="shared" si="144"/>
        <v>-248.53989,42.09215,20729</v>
      </c>
      <c r="AI423" s="44">
        <f t="shared" si="146"/>
        <v>1021.3103451880349</v>
      </c>
    </row>
    <row r="424" spans="1:35" ht="18" customHeight="1" x14ac:dyDescent="0.25">
      <c r="A424" s="36">
        <f t="shared" si="141"/>
        <v>0.74437511574074078</v>
      </c>
      <c r="B424" s="42">
        <f t="shared" si="126"/>
        <v>42.092150175725912</v>
      </c>
      <c r="C424" s="43">
        <f t="shared" si="127"/>
        <v>111.4601080130295</v>
      </c>
      <c r="D424" s="18">
        <f t="shared" si="128"/>
        <v>20.674481971508612</v>
      </c>
      <c r="E424" s="21" t="str">
        <f t="shared" si="129"/>
        <v>Umbra</v>
      </c>
      <c r="F424" s="23">
        <f>IF($E424&lt;&gt;"Umbra",fracil2($S$2,$S$3,$S$4,$A424,$Q$2,$O$3,$Q$4,$U424,$V424,$W424),0)</f>
        <v>0</v>
      </c>
      <c r="G424" s="19">
        <f t="shared" si="130"/>
        <v>69.298580546397432</v>
      </c>
      <c r="H424" s="19">
        <f t="shared" si="131"/>
        <v>-3.7254210169178612</v>
      </c>
      <c r="I424" s="19">
        <f t="shared" si="132"/>
        <v>-2.5174030675229657</v>
      </c>
      <c r="J424" s="28">
        <f t="shared" si="133"/>
        <v>6.5613709643811803E-3</v>
      </c>
      <c r="K424" s="24">
        <f t="shared" si="134"/>
        <v>1049.6664519524554</v>
      </c>
      <c r="L424" s="32">
        <f t="shared" si="135"/>
        <v>0.55396435158902035</v>
      </c>
      <c r="M424" s="35">
        <f t="shared" si="136"/>
        <v>13.554118953792903</v>
      </c>
      <c r="O424" s="29">
        <f t="shared" si="137"/>
        <v>1046.5799526384637</v>
      </c>
      <c r="T424" s="48">
        <v>0.74437511574074078</v>
      </c>
      <c r="U424" s="29">
        <v>-1252.2214160586147</v>
      </c>
      <c r="V424" s="29">
        <v>4587.6543937605184</v>
      </c>
      <c r="W424" s="29">
        <v>4267.0620814994063</v>
      </c>
      <c r="X424" s="4">
        <v>-0.32395566988744967</v>
      </c>
      <c r="Y424" s="4">
        <v>-0.13021689335857733</v>
      </c>
      <c r="Z424" s="4">
        <v>-3.6420833570179494E-2</v>
      </c>
      <c r="AA424" s="3">
        <f t="shared" si="142"/>
        <v>0.35104158227499499</v>
      </c>
      <c r="AB424" s="3">
        <f t="shared" si="145"/>
        <v>2.4757099356933848E-2</v>
      </c>
      <c r="AC424" s="3">
        <f t="shared" si="143"/>
        <v>5.4342196346966049E-2</v>
      </c>
      <c r="AD424" s="48"/>
      <c r="AE424" s="46">
        <f t="shared" si="138"/>
        <v>42.092150175725912</v>
      </c>
      <c r="AF424" s="46">
        <f t="shared" si="139"/>
        <v>-248.5398919869705</v>
      </c>
      <c r="AG424" s="47">
        <f t="shared" si="140"/>
        <v>20674.481971508612</v>
      </c>
      <c r="AH424" s="45" t="str">
        <f t="shared" si="144"/>
        <v>-248.53989,42.09215,20674</v>
      </c>
      <c r="AI424" s="44">
        <f t="shared" si="146"/>
        <v>1021.31047944682</v>
      </c>
    </row>
    <row r="425" spans="1:35" ht="18" customHeight="1" x14ac:dyDescent="0.25">
      <c r="A425" s="36">
        <f t="shared" si="141"/>
        <v>0.74438656250000002</v>
      </c>
      <c r="B425" s="42">
        <f t="shared" si="126"/>
        <v>42.092150163625803</v>
      </c>
      <c r="C425" s="43">
        <f t="shared" si="127"/>
        <v>111.46010711347262</v>
      </c>
      <c r="D425" s="18">
        <f t="shared" si="128"/>
        <v>20.620883063376823</v>
      </c>
      <c r="E425" s="21" t="str">
        <f t="shared" si="129"/>
        <v>Umbra</v>
      </c>
      <c r="F425" s="23">
        <f>IF($E425&lt;&gt;"Umbra",fracil2($S$2,$S$3,$S$4,$A425,$Q$2,$O$3,$Q$4,$U425,$V425,$W425),0)</f>
        <v>0</v>
      </c>
      <c r="G425" s="19">
        <f t="shared" si="130"/>
        <v>69.298589215107569</v>
      </c>
      <c r="H425" s="19">
        <f t="shared" si="131"/>
        <v>-3.7283315668590431</v>
      </c>
      <c r="I425" s="19">
        <f t="shared" si="132"/>
        <v>-2.5203136174641481</v>
      </c>
      <c r="J425" s="28">
        <f t="shared" si="133"/>
        <v>6.5496639861000513E-3</v>
      </c>
      <c r="K425" s="24">
        <f t="shared" si="134"/>
        <v>1049.6610079003374</v>
      </c>
      <c r="L425" s="32">
        <f t="shared" si="135"/>
        <v>0.55398201685180171</v>
      </c>
      <c r="M425" s="35">
        <f t="shared" si="136"/>
        <v>13.552169182282901</v>
      </c>
      <c r="O425" s="29">
        <f t="shared" si="137"/>
        <v>1046.5798800084856</v>
      </c>
      <c r="T425" s="48">
        <v>0.74438656250000002</v>
      </c>
      <c r="U425" s="29">
        <v>-1252.5417220583988</v>
      </c>
      <c r="V425" s="29">
        <v>4587.5257238178356</v>
      </c>
      <c r="W425" s="29">
        <v>4267.0261518106463</v>
      </c>
      <c r="X425" s="4">
        <v>-0.32398966146663682</v>
      </c>
      <c r="Y425" s="4">
        <v>-0.13006915901284316</v>
      </c>
      <c r="Z425" s="4">
        <v>-3.6261406910234675E-2</v>
      </c>
      <c r="AA425" s="3">
        <f t="shared" si="142"/>
        <v>0.35100167591435205</v>
      </c>
      <c r="AB425" s="3">
        <f t="shared" si="145"/>
        <v>2.4518660754340487E-2</v>
      </c>
      <c r="AC425" s="3">
        <f t="shared" si="143"/>
        <v>5.4104411089470374E-2</v>
      </c>
      <c r="AD425" s="48"/>
      <c r="AE425" s="46">
        <f t="shared" si="138"/>
        <v>42.092150163625803</v>
      </c>
      <c r="AF425" s="46">
        <f t="shared" si="139"/>
        <v>-248.53989288652738</v>
      </c>
      <c r="AG425" s="47">
        <f t="shared" si="140"/>
        <v>20620.883063376823</v>
      </c>
      <c r="AH425" s="45" t="str">
        <f t="shared" si="144"/>
        <v>-248.53989,42.09215,20621</v>
      </c>
      <c r="AI425" s="44">
        <f t="shared" si="146"/>
        <v>1021.3105743821179</v>
      </c>
    </row>
    <row r="426" spans="1:35" ht="18" customHeight="1" x14ac:dyDescent="0.25">
      <c r="A426" s="36">
        <f t="shared" si="141"/>
        <v>0.74439837962962974</v>
      </c>
      <c r="B426" s="42">
        <f t="shared" si="126"/>
        <v>42.09215015120715</v>
      </c>
      <c r="C426" s="43">
        <f t="shared" si="127"/>
        <v>111.4601074405778</v>
      </c>
      <c r="D426" s="18">
        <f t="shared" si="128"/>
        <v>20.565779216455667</v>
      </c>
      <c r="E426" s="21" t="str">
        <f t="shared" si="129"/>
        <v>Umbra</v>
      </c>
      <c r="F426" s="23">
        <f>IF($E426&lt;&gt;"Umbra",fracil2($S$2,$S$3,$S$4,$A426,$Q$2,$O$3,$Q$4,$U426,$V426,$W426),0)</f>
        <v>0</v>
      </c>
      <c r="G426" s="19">
        <f t="shared" si="130"/>
        <v>69.298599401608982</v>
      </c>
      <c r="H426" s="19">
        <f t="shared" si="131"/>
        <v>-3.7313244194699156</v>
      </c>
      <c r="I426" s="19">
        <f t="shared" si="132"/>
        <v>-2.5233064700750205</v>
      </c>
      <c r="J426" s="28">
        <f t="shared" si="133"/>
        <v>6.537689201025306E-3</v>
      </c>
      <c r="K426" s="24">
        <f t="shared" si="134"/>
        <v>1049.6555145763336</v>
      </c>
      <c r="L426" s="32">
        <f t="shared" si="135"/>
        <v>0.55400022595041798</v>
      </c>
      <c r="M426" s="35">
        <f t="shared" si="136"/>
        <v>13.550163296645186</v>
      </c>
      <c r="O426" s="29">
        <f t="shared" si="137"/>
        <v>1046.5799059981887</v>
      </c>
      <c r="T426" s="48">
        <v>0.74439837962962974</v>
      </c>
      <c r="U426" s="29">
        <v>-1252.8725245883534</v>
      </c>
      <c r="V426" s="29">
        <v>4587.3930038878334</v>
      </c>
      <c r="W426" s="29">
        <v>4266.9892132974692</v>
      </c>
      <c r="X426" s="4">
        <v>-0.32402436681264746</v>
      </c>
      <c r="Y426" s="4">
        <v>-0.12991821289099831</v>
      </c>
      <c r="Z426" s="4">
        <v>-3.60982742566925E-2</v>
      </c>
      <c r="AA426" s="3">
        <f t="shared" si="142"/>
        <v>0.35096099175469525</v>
      </c>
      <c r="AB426" s="3">
        <f t="shared" si="145"/>
        <v>2.4302254029387533E-2</v>
      </c>
      <c r="AC426" s="3">
        <f t="shared" si="143"/>
        <v>5.3861098720493064E-2</v>
      </c>
      <c r="AD426" s="48"/>
      <c r="AE426" s="46">
        <f t="shared" si="138"/>
        <v>42.09215015120715</v>
      </c>
      <c r="AF426" s="46">
        <f t="shared" si="139"/>
        <v>-248.53989255942219</v>
      </c>
      <c r="AG426" s="47">
        <f t="shared" si="140"/>
        <v>20565.779216455667</v>
      </c>
      <c r="AH426" s="45" t="str">
        <f t="shared" si="144"/>
        <v>-248.53989,42.09215,20566</v>
      </c>
      <c r="AI426" s="44">
        <f t="shared" si="146"/>
        <v>1021.3105743821179</v>
      </c>
    </row>
    <row r="427" spans="1:35" ht="18" customHeight="1" x14ac:dyDescent="0.25">
      <c r="A427" s="36">
        <f t="shared" si="141"/>
        <v>0.74440981481481483</v>
      </c>
      <c r="B427" s="42">
        <f t="shared" si="126"/>
        <v>42.092150139264774</v>
      </c>
      <c r="C427" s="43">
        <f t="shared" si="127"/>
        <v>111.46010720431566</v>
      </c>
      <c r="D427" s="18">
        <f t="shared" si="128"/>
        <v>20.512698911700681</v>
      </c>
      <c r="E427" s="21" t="str">
        <f t="shared" si="129"/>
        <v>Umbra</v>
      </c>
      <c r="F427" s="23">
        <f>IF($E427&lt;&gt;"Umbra",fracil2($S$2,$S$3,$S$4,$A427,$Q$2,$O$3,$Q$4,$U427,$V427,$W427),0)</f>
        <v>0</v>
      </c>
      <c r="G427" s="19">
        <f t="shared" si="130"/>
        <v>69.298608652844052</v>
      </c>
      <c r="H427" s="19">
        <f t="shared" si="131"/>
        <v>-3.7342071553142011</v>
      </c>
      <c r="I427" s="19">
        <f t="shared" si="132"/>
        <v>-2.5261892059193061</v>
      </c>
      <c r="J427" s="28">
        <f t="shared" si="133"/>
        <v>6.5262126639573422E-3</v>
      </c>
      <c r="K427" s="24">
        <f t="shared" si="134"/>
        <v>1049.6501813132513</v>
      </c>
      <c r="L427" s="32">
        <f t="shared" si="135"/>
        <v>0.5540178190548416</v>
      </c>
      <c r="M427" s="35">
        <f t="shared" si="136"/>
        <v>13.54823159705378</v>
      </c>
      <c r="O427" s="29">
        <f t="shared" si="137"/>
        <v>1046.5798867032306</v>
      </c>
      <c r="T427" s="48">
        <v>0.74440981481481483</v>
      </c>
      <c r="U427" s="29">
        <v>-1253.192626127124</v>
      </c>
      <c r="V427" s="29">
        <v>4587.2647366345182</v>
      </c>
      <c r="W427" s="29">
        <v>4266.9536312545988</v>
      </c>
      <c r="X427" s="4">
        <v>-0.32405756742470743</v>
      </c>
      <c r="Y427" s="4">
        <v>-0.12977370544055075</v>
      </c>
      <c r="Z427" s="4">
        <v>-3.5941868453573222E-2</v>
      </c>
      <c r="AA427" s="3">
        <f t="shared" si="142"/>
        <v>0.35092212745411711</v>
      </c>
      <c r="AB427" s="3">
        <f t="shared" si="145"/>
        <v>2.4078342793155651E-2</v>
      </c>
      <c r="AC427" s="3">
        <f t="shared" si="143"/>
        <v>5.3627819837818405E-2</v>
      </c>
      <c r="AD427" s="48"/>
      <c r="AE427" s="46">
        <f t="shared" si="138"/>
        <v>42.092150139264774</v>
      </c>
      <c r="AF427" s="46">
        <f t="shared" si="139"/>
        <v>-248.53989279568435</v>
      </c>
      <c r="AG427" s="47">
        <f t="shared" si="140"/>
        <v>20512.698911700681</v>
      </c>
      <c r="AH427" s="45" t="str">
        <f t="shared" si="144"/>
        <v>-248.53989,42.09215,20513</v>
      </c>
      <c r="AI427" s="44">
        <f t="shared" si="146"/>
        <v>1021.3105743821179</v>
      </c>
    </row>
    <row r="428" spans="1:35" ht="18" customHeight="1" x14ac:dyDescent="0.25">
      <c r="A428" s="36">
        <f t="shared" si="141"/>
        <v>0.74442142361111108</v>
      </c>
      <c r="B428" s="42">
        <f t="shared" si="126"/>
        <v>42.092150127210907</v>
      </c>
      <c r="C428" s="43">
        <f t="shared" si="127"/>
        <v>111.46010816601729</v>
      </c>
      <c r="D428" s="18">
        <f t="shared" si="128"/>
        <v>20.459032029119953</v>
      </c>
      <c r="E428" s="21" t="str">
        <f t="shared" si="129"/>
        <v>Umbra</v>
      </c>
      <c r="F428" s="23">
        <f>IF($E428&lt;&gt;"Umbra",fracil2($S$2,$S$3,$S$4,$A428,$Q$2,$O$3,$Q$4,$U428,$V428,$W428),0)</f>
        <v>0</v>
      </c>
      <c r="G428" s="19">
        <f t="shared" si="130"/>
        <v>69.298619228435001</v>
      </c>
      <c r="H428" s="19">
        <f t="shared" si="131"/>
        <v>-3.7371223036848042</v>
      </c>
      <c r="I428" s="19">
        <f t="shared" si="132"/>
        <v>-2.5291043542899088</v>
      </c>
      <c r="J428" s="28">
        <f t="shared" si="133"/>
        <v>6.5146673258135992E-3</v>
      </c>
      <c r="K428" s="24">
        <f t="shared" si="134"/>
        <v>1049.6448884420795</v>
      </c>
      <c r="L428" s="32">
        <f t="shared" si="135"/>
        <v>0.55403565272945221</v>
      </c>
      <c r="M428" s="35">
        <f t="shared" si="136"/>
        <v>13.546277238617311</v>
      </c>
      <c r="O428" s="29">
        <f t="shared" si="137"/>
        <v>1046.5799637256719</v>
      </c>
      <c r="T428" s="48">
        <v>0.74442142361111108</v>
      </c>
      <c r="U428" s="29">
        <v>-1253.5177143467756</v>
      </c>
      <c r="V428" s="29">
        <v>4587.1346298657618</v>
      </c>
      <c r="W428" s="29">
        <v>4266.9176560047463</v>
      </c>
      <c r="X428" s="4">
        <v>-0.32409090491831249</v>
      </c>
      <c r="Y428" s="4">
        <v>-0.12962849513823418</v>
      </c>
      <c r="Z428" s="4">
        <v>-3.5784468948007242E-2</v>
      </c>
      <c r="AA428" s="3">
        <f t="shared" si="142"/>
        <v>0.35088315664970976</v>
      </c>
      <c r="AB428" s="3">
        <f t="shared" si="145"/>
        <v>2.3868900359254087E-2</v>
      </c>
      <c r="AC428" s="3">
        <f t="shared" si="143"/>
        <v>5.3393059225585779E-2</v>
      </c>
      <c r="AD428" s="48"/>
      <c r="AE428" s="46">
        <f t="shared" si="138"/>
        <v>42.092150127210907</v>
      </c>
      <c r="AF428" s="46">
        <f t="shared" si="139"/>
        <v>-248.53989183398272</v>
      </c>
      <c r="AG428" s="47">
        <f t="shared" si="140"/>
        <v>20459.032029119953</v>
      </c>
      <c r="AH428" s="45" t="str">
        <f t="shared" si="144"/>
        <v>-248.53989,42.09215,20459</v>
      </c>
      <c r="AI428" s="44">
        <f t="shared" si="146"/>
        <v>1021.3107086409029</v>
      </c>
    </row>
    <row r="429" spans="1:35" ht="18" customHeight="1" x14ac:dyDescent="0.25">
      <c r="A429" s="36">
        <f t="shared" si="141"/>
        <v>0.74443287037037031</v>
      </c>
      <c r="B429" s="42">
        <f t="shared" si="126"/>
        <v>42.09215011538916</v>
      </c>
      <c r="C429" s="43">
        <f t="shared" si="127"/>
        <v>111.4601117443928</v>
      </c>
      <c r="D429" s="18">
        <f t="shared" si="128"/>
        <v>20.406310331369241</v>
      </c>
      <c r="E429" s="21" t="str">
        <f t="shared" si="129"/>
        <v>Umbra</v>
      </c>
      <c r="F429" s="23">
        <f>IF($E429&lt;&gt;"Umbra",fracil2($S$2,$S$3,$S$4,$A429,$Q$2,$O$3,$Q$4,$U429,$V429,$W429),0)</f>
        <v>0</v>
      </c>
      <c r="G429" s="19">
        <f t="shared" si="130"/>
        <v>69.298632298597397</v>
      </c>
      <c r="H429" s="19">
        <f t="shared" si="131"/>
        <v>-3.7399872928424833</v>
      </c>
      <c r="I429" s="19">
        <f t="shared" si="132"/>
        <v>-2.5319693434475878</v>
      </c>
      <c r="J429" s="28">
        <f t="shared" si="133"/>
        <v>6.5033814245042138E-3</v>
      </c>
      <c r="K429" s="24">
        <f t="shared" si="134"/>
        <v>1049.639903395765</v>
      </c>
      <c r="L429" s="32">
        <f t="shared" si="135"/>
        <v>0.55405321219114512</v>
      </c>
      <c r="M429" s="35">
        <f t="shared" si="136"/>
        <v>13.544354487477936</v>
      </c>
      <c r="O429" s="29">
        <f t="shared" si="137"/>
        <v>1046.5802511430402</v>
      </c>
      <c r="T429" s="48">
        <v>0.74443287037037031</v>
      </c>
      <c r="U429" s="29">
        <v>-1253.838501800418</v>
      </c>
      <c r="V429" s="29">
        <v>4587.0063994154634</v>
      </c>
      <c r="W429" s="29">
        <v>4266.8823143551281</v>
      </c>
      <c r="X429" s="4">
        <v>-0.32412343148094558</v>
      </c>
      <c r="Y429" s="4">
        <v>-0.12948671205465048</v>
      </c>
      <c r="Z429" s="4">
        <v>-3.5630555301066347E-2</v>
      </c>
      <c r="AA429" s="3">
        <f t="shared" si="142"/>
        <v>0.35084518509560531</v>
      </c>
      <c r="AB429" s="3">
        <f t="shared" si="145"/>
        <v>2.3670647056483869E-2</v>
      </c>
      <c r="AC429" s="3">
        <f t="shared" si="143"/>
        <v>5.3163498118565737E-2</v>
      </c>
      <c r="AD429" s="48"/>
      <c r="AE429" s="46">
        <f t="shared" si="138"/>
        <v>42.09215011538916</v>
      </c>
      <c r="AF429" s="46">
        <f t="shared" si="139"/>
        <v>-248.5398882556072</v>
      </c>
      <c r="AG429" s="47">
        <f t="shared" si="140"/>
        <v>20406.310331369241</v>
      </c>
      <c r="AH429" s="45" t="str">
        <f t="shared" si="144"/>
        <v>-248.53989,42.09215,20406</v>
      </c>
      <c r="AI429" s="44">
        <f t="shared" si="146"/>
        <v>1021.3110088526743</v>
      </c>
    </row>
    <row r="430" spans="1:35" ht="18" customHeight="1" x14ac:dyDescent="0.25">
      <c r="A430" s="36">
        <f t="shared" si="141"/>
        <v>0.74444460648148147</v>
      </c>
      <c r="B430" s="42">
        <f t="shared" si="126"/>
        <v>42.092150103361192</v>
      </c>
      <c r="C430" s="43">
        <f t="shared" si="127"/>
        <v>111.4601084899919</v>
      </c>
      <c r="D430" s="18">
        <f t="shared" si="128"/>
        <v>20.352578441565129</v>
      </c>
      <c r="E430" s="21" t="str">
        <f t="shared" si="129"/>
        <v>Umbra</v>
      </c>
      <c r="F430" s="23">
        <f>IF($E430&lt;&gt;"Umbra",fracil2($S$2,$S$3,$S$4,$A430,$Q$2,$O$3,$Q$4,$U430,$V430,$W430),0)</f>
        <v>0</v>
      </c>
      <c r="G430" s="19">
        <f t="shared" si="130"/>
        <v>69.298638594255365</v>
      </c>
      <c r="H430" s="19">
        <f t="shared" si="131"/>
        <v>-3.7429041831787013</v>
      </c>
      <c r="I430" s="19">
        <f t="shared" si="132"/>
        <v>-2.5348862337838058</v>
      </c>
      <c r="J430" s="28">
        <f t="shared" si="133"/>
        <v>6.4919380720194634E-3</v>
      </c>
      <c r="K430" s="24">
        <f t="shared" si="134"/>
        <v>1049.6342700880482</v>
      </c>
      <c r="L430" s="32">
        <f t="shared" si="135"/>
        <v>0.55407118522852905</v>
      </c>
      <c r="M430" s="35">
        <f t="shared" si="136"/>
        <v>13.542402077747472</v>
      </c>
      <c r="O430" s="29">
        <f t="shared" si="137"/>
        <v>1046.579989177734</v>
      </c>
      <c r="T430" s="48">
        <v>0.74444460648148147</v>
      </c>
      <c r="U430" s="29">
        <v>-1254.1668945712529</v>
      </c>
      <c r="V430" s="29">
        <v>4586.8752866703553</v>
      </c>
      <c r="W430" s="29">
        <v>4266.8462955314862</v>
      </c>
      <c r="X430" s="4">
        <v>-0.32415635332523962</v>
      </c>
      <c r="Y430" s="4">
        <v>-0.1293430978684906</v>
      </c>
      <c r="Z430" s="4">
        <v>-3.5474418704737533E-2</v>
      </c>
      <c r="AA430" s="3">
        <f t="shared" si="142"/>
        <v>0.35080680259905817</v>
      </c>
      <c r="AB430" s="3">
        <f t="shared" si="145"/>
        <v>2.3420456205517252E-2</v>
      </c>
      <c r="AC430" s="3">
        <f t="shared" si="143"/>
        <v>5.2930621871103742E-2</v>
      </c>
      <c r="AD430" s="48"/>
      <c r="AE430" s="46">
        <f t="shared" si="138"/>
        <v>42.092150103361192</v>
      </c>
      <c r="AF430" s="46">
        <f t="shared" si="139"/>
        <v>-248.53989151000809</v>
      </c>
      <c r="AG430" s="47">
        <f t="shared" si="140"/>
        <v>20352.578441565129</v>
      </c>
      <c r="AH430" s="45" t="str">
        <f t="shared" si="144"/>
        <v>-248.53989,42.09215,20353</v>
      </c>
      <c r="AI430" s="44">
        <f t="shared" si="146"/>
        <v>1021.3112773702458</v>
      </c>
    </row>
    <row r="431" spans="1:35" ht="18" customHeight="1" x14ac:dyDescent="0.25">
      <c r="A431" s="36">
        <f t="shared" si="141"/>
        <v>0.74445605324074071</v>
      </c>
      <c r="B431" s="42">
        <f t="shared" si="126"/>
        <v>42.092150091681681</v>
      </c>
      <c r="C431" s="43">
        <f t="shared" si="127"/>
        <v>111.46011176067704</v>
      </c>
      <c r="D431" s="18">
        <f t="shared" si="128"/>
        <v>20.300316292542448</v>
      </c>
      <c r="E431" s="21" t="str">
        <f t="shared" si="129"/>
        <v>Umbra</v>
      </c>
      <c r="F431" s="23">
        <f>IF($E431&lt;&gt;"Umbra",fracil2($S$2,$S$3,$S$4,$A431,$Q$2,$O$3,$Q$4,$U431,$V431,$W431),0)</f>
        <v>0</v>
      </c>
      <c r="G431" s="19">
        <f t="shared" si="130"/>
        <v>69.298651269110948</v>
      </c>
      <c r="H431" s="19">
        <f t="shared" si="131"/>
        <v>-3.7457441344164799</v>
      </c>
      <c r="I431" s="19">
        <f t="shared" si="132"/>
        <v>-2.5377261850215849</v>
      </c>
      <c r="J431" s="28">
        <f t="shared" si="133"/>
        <v>6.4808618959911711E-3</v>
      </c>
      <c r="K431" s="24">
        <f t="shared" si="134"/>
        <v>1049.6293114756511</v>
      </c>
      <c r="L431" s="32">
        <f t="shared" si="135"/>
        <v>0.55408869192483656</v>
      </c>
      <c r="M431" s="35">
        <f t="shared" si="136"/>
        <v>13.540496274177107</v>
      </c>
      <c r="O431" s="29">
        <f t="shared" si="137"/>
        <v>1046.5802518593478</v>
      </c>
      <c r="T431" s="48">
        <v>0.74445605324074071</v>
      </c>
      <c r="U431" s="29">
        <v>-1254.4877231213895</v>
      </c>
      <c r="V431" s="29">
        <v>4586.7473465309777</v>
      </c>
      <c r="W431" s="29">
        <v>4266.8112619406656</v>
      </c>
      <c r="X431" s="4">
        <v>-0.32418815508469595</v>
      </c>
      <c r="Y431" s="4">
        <v>-0.12920426482885125</v>
      </c>
      <c r="Z431" s="4">
        <v>-3.5323251338464798E-2</v>
      </c>
      <c r="AA431" s="3">
        <f t="shared" si="142"/>
        <v>0.35076977354427669</v>
      </c>
      <c r="AB431" s="3">
        <f t="shared" si="145"/>
        <v>2.3248217173332138E-2</v>
      </c>
      <c r="AC431" s="3">
        <f t="shared" si="143"/>
        <v>5.2705157545696102E-2</v>
      </c>
      <c r="AD431" s="48"/>
      <c r="AE431" s="46">
        <f t="shared" si="138"/>
        <v>42.092150091681681</v>
      </c>
      <c r="AF431" s="46">
        <f t="shared" si="139"/>
        <v>-248.53988823932298</v>
      </c>
      <c r="AG431" s="47">
        <f t="shared" si="140"/>
        <v>20300.316292542448</v>
      </c>
      <c r="AH431" s="45" t="str">
        <f t="shared" si="144"/>
        <v>-248.53989,42.09215,20300</v>
      </c>
      <c r="AI431" s="44">
        <f t="shared" si="146"/>
        <v>1021.3115458878173</v>
      </c>
    </row>
    <row r="432" spans="1:35" ht="18" customHeight="1" x14ac:dyDescent="0.25">
      <c r="A432" s="36">
        <f t="shared" si="141"/>
        <v>0.74446759259259254</v>
      </c>
      <c r="B432" s="42">
        <f t="shared" si="126"/>
        <v>42.092150079990276</v>
      </c>
      <c r="C432" s="43">
        <f t="shared" si="127"/>
        <v>111.46011048751748</v>
      </c>
      <c r="D432" s="18">
        <f t="shared" si="128"/>
        <v>20.24791363966051</v>
      </c>
      <c r="E432" s="21" t="str">
        <f t="shared" si="129"/>
        <v>Umbra</v>
      </c>
      <c r="F432" s="23">
        <f>IF($E432&lt;&gt;"Umbra",fracil2($S$2,$S$3,$S$4,$A432,$Q$2,$O$3,$Q$4,$U432,$V432,$W432),0)</f>
        <v>0</v>
      </c>
      <c r="G432" s="19">
        <f t="shared" si="130"/>
        <v>69.298659343886129</v>
      </c>
      <c r="H432" s="19">
        <f t="shared" si="131"/>
        <v>-3.7485897558206269</v>
      </c>
      <c r="I432" s="19">
        <f t="shared" si="132"/>
        <v>-2.5405718064257314</v>
      </c>
      <c r="J432" s="28">
        <f t="shared" si="133"/>
        <v>6.4698112696571332E-3</v>
      </c>
      <c r="K432" s="24">
        <f t="shared" si="134"/>
        <v>1049.6239757106671</v>
      </c>
      <c r="L432" s="32">
        <f t="shared" si="135"/>
        <v>0.55410631223041495</v>
      </c>
      <c r="M432" s="35">
        <f t="shared" si="136"/>
        <v>13.538590068250304</v>
      </c>
      <c r="O432" s="29">
        <f t="shared" si="137"/>
        <v>1046.5801492007283</v>
      </c>
      <c r="T432" s="48">
        <v>0.74446759259259254</v>
      </c>
      <c r="U432" s="29">
        <v>-1254.8108241739824</v>
      </c>
      <c r="V432" s="29">
        <v>4586.618650902773</v>
      </c>
      <c r="W432" s="29">
        <v>4266.7761341656287</v>
      </c>
      <c r="X432" s="4">
        <v>-0.32421982570313473</v>
      </c>
      <c r="Y432" s="4">
        <v>-0.12906589976141006</v>
      </c>
      <c r="Z432" s="4">
        <v>-3.5172365705721242E-2</v>
      </c>
      <c r="AA432" s="3">
        <f t="shared" si="142"/>
        <v>0.35073294280624739</v>
      </c>
      <c r="AB432" s="3">
        <f t="shared" si="145"/>
        <v>2.3018654412796456E-2</v>
      </c>
      <c r="AC432" s="3">
        <f t="shared" si="143"/>
        <v>5.2480113783300156E-2</v>
      </c>
      <c r="AD432" s="48"/>
      <c r="AE432" s="46">
        <f t="shared" si="138"/>
        <v>42.092150079990276</v>
      </c>
      <c r="AF432" s="46">
        <f t="shared" si="139"/>
        <v>-248.53988951248252</v>
      </c>
      <c r="AG432" s="47">
        <f t="shared" si="140"/>
        <v>20247.91363966051</v>
      </c>
      <c r="AH432" s="45" t="str">
        <f t="shared" si="144"/>
        <v>-248.53989,42.09215,20248</v>
      </c>
      <c r="AI432" s="44">
        <f t="shared" si="146"/>
        <v>1021.3116408231152</v>
      </c>
    </row>
    <row r="433" spans="1:35" ht="18" customHeight="1" x14ac:dyDescent="0.25">
      <c r="A433" s="36">
        <f t="shared" si="141"/>
        <v>0.74447939814814823</v>
      </c>
      <c r="B433" s="42">
        <f t="shared" si="126"/>
        <v>42.092150068090376</v>
      </c>
      <c r="C433" s="43">
        <f t="shared" si="127"/>
        <v>111.4601127894274</v>
      </c>
      <c r="D433" s="18">
        <f t="shared" si="128"/>
        <v>20.194488094426561</v>
      </c>
      <c r="E433" s="21" t="str">
        <f t="shared" si="129"/>
        <v>Umbra</v>
      </c>
      <c r="F433" s="23">
        <f>IF($E433&lt;&gt;"Umbra",fracil2($S$2,$S$3,$S$4,$A433,$Q$2,$O$3,$Q$4,$U433,$V433,$W433),0)</f>
        <v>0</v>
      </c>
      <c r="G433" s="19">
        <f t="shared" si="130"/>
        <v>69.298671240725454</v>
      </c>
      <c r="H433" s="19">
        <f t="shared" si="131"/>
        <v>-3.7514925273145736</v>
      </c>
      <c r="I433" s="19">
        <f t="shared" si="132"/>
        <v>-2.5434745779196781</v>
      </c>
      <c r="J433" s="28">
        <f t="shared" si="133"/>
        <v>6.4586001771361513E-3</v>
      </c>
      <c r="K433" s="24">
        <f t="shared" si="134"/>
        <v>1049.618828189195</v>
      </c>
      <c r="L433" s="32">
        <f t="shared" si="135"/>
        <v>0.55412431391802042</v>
      </c>
      <c r="M433" s="35">
        <f t="shared" si="136"/>
        <v>13.536642828206853</v>
      </c>
      <c r="O433" s="29">
        <f t="shared" si="137"/>
        <v>1046.5803339841484</v>
      </c>
      <c r="T433" s="48">
        <v>0.74447939814814823</v>
      </c>
      <c r="U433" s="29">
        <v>-1255.1416913732305</v>
      </c>
      <c r="V433" s="29">
        <v>4586.4870170003851</v>
      </c>
      <c r="W433" s="29">
        <v>4266.7403207030547</v>
      </c>
      <c r="X433" s="4">
        <v>-0.32425189203571886</v>
      </c>
      <c r="Y433" s="4">
        <v>-0.12892569753440236</v>
      </c>
      <c r="Z433" s="4">
        <v>-3.5019240558047872E-2</v>
      </c>
      <c r="AA433" s="3">
        <f t="shared" si="142"/>
        <v>0.35069569741121448</v>
      </c>
      <c r="AB433" s="3">
        <f t="shared" si="145"/>
        <v>2.2833518616743362E-2</v>
      </c>
      <c r="AC433" s="3">
        <f t="shared" si="143"/>
        <v>5.2251730190070685E-2</v>
      </c>
      <c r="AD433" s="48"/>
      <c r="AE433" s="46">
        <f t="shared" si="138"/>
        <v>42.092150068090376</v>
      </c>
      <c r="AF433" s="46">
        <f t="shared" si="139"/>
        <v>-248.5398872105726</v>
      </c>
      <c r="AG433" s="47">
        <f t="shared" si="140"/>
        <v>20194.488094426561</v>
      </c>
      <c r="AH433" s="45" t="str">
        <f t="shared" si="144"/>
        <v>-248.53989,42.09215,20194</v>
      </c>
      <c r="AI433" s="44">
        <f t="shared" si="146"/>
        <v>1021.3118306937112</v>
      </c>
    </row>
    <row r="434" spans="1:35" ht="18" customHeight="1" x14ac:dyDescent="0.25">
      <c r="A434" s="36">
        <f t="shared" si="141"/>
        <v>0.744490798611111</v>
      </c>
      <c r="B434" s="42">
        <f t="shared" si="126"/>
        <v>42.092150056675187</v>
      </c>
      <c r="C434" s="43">
        <f t="shared" si="127"/>
        <v>111.46011194160209</v>
      </c>
      <c r="D434" s="18">
        <f t="shared" si="128"/>
        <v>20.143154235944166</v>
      </c>
      <c r="E434" s="21" t="str">
        <f t="shared" si="129"/>
        <v>Umbra</v>
      </c>
      <c r="F434" s="23">
        <f>IF($E434&lt;&gt;"Umbra",fracil2($S$2,$S$3,$S$4,$A434,$Q$2,$O$3,$Q$4,$U434,$V434,$W434),0)</f>
        <v>0</v>
      </c>
      <c r="G434" s="19">
        <f t="shared" si="130"/>
        <v>69.298679557407809</v>
      </c>
      <c r="H434" s="19">
        <f t="shared" si="131"/>
        <v>-3.7542803406920835</v>
      </c>
      <c r="I434" s="19">
        <f t="shared" si="132"/>
        <v>-2.546262391297188</v>
      </c>
      <c r="J434" s="28">
        <f t="shared" si="133"/>
        <v>6.4478813291907675E-3</v>
      </c>
      <c r="K434" s="24">
        <f t="shared" si="134"/>
        <v>1049.6136384928739</v>
      </c>
      <c r="L434" s="32">
        <f t="shared" si="135"/>
        <v>0.55414167114186152</v>
      </c>
      <c r="M434" s="35">
        <f t="shared" si="136"/>
        <v>13.534774981606521</v>
      </c>
      <c r="O434" s="29">
        <f t="shared" si="137"/>
        <v>1046.5802655306948</v>
      </c>
      <c r="T434" s="48">
        <v>0.744490798611111</v>
      </c>
      <c r="U434" s="29">
        <v>-1255.4609981189192</v>
      </c>
      <c r="V434" s="29">
        <v>4586.3601295846311</v>
      </c>
      <c r="W434" s="29">
        <v>4266.7059093904973</v>
      </c>
      <c r="X434" s="4">
        <v>-0.32428249250400765</v>
      </c>
      <c r="Y434" s="4">
        <v>-0.12879180113819089</v>
      </c>
      <c r="Z434" s="4">
        <v>-3.4872776901949801E-2</v>
      </c>
      <c r="AA434" s="3">
        <f t="shared" si="142"/>
        <v>0.35066019670599091</v>
      </c>
      <c r="AB434" s="3">
        <f t="shared" si="145"/>
        <v>2.2616188900074375E-2</v>
      </c>
      <c r="AC434" s="3">
        <f t="shared" si="143"/>
        <v>5.2033282456945489E-2</v>
      </c>
      <c r="AD434" s="48"/>
      <c r="AE434" s="46">
        <f t="shared" si="138"/>
        <v>42.092150056675187</v>
      </c>
      <c r="AF434" s="46">
        <f t="shared" si="139"/>
        <v>-248.53988805839791</v>
      </c>
      <c r="AG434" s="47">
        <f t="shared" si="140"/>
        <v>20143.154235944166</v>
      </c>
      <c r="AH434" s="45" t="str">
        <f t="shared" si="144"/>
        <v>-248.53989,42.09215,20143</v>
      </c>
      <c r="AI434" s="44">
        <f t="shared" si="146"/>
        <v>1021.3118306937112</v>
      </c>
    </row>
    <row r="435" spans="1:35" ht="18" customHeight="1" x14ac:dyDescent="0.25">
      <c r="A435" s="36">
        <f t="shared" si="141"/>
        <v>0.74450236111111112</v>
      </c>
      <c r="B435" s="42">
        <f t="shared" si="126"/>
        <v>42.09215004516625</v>
      </c>
      <c r="C435" s="43">
        <f t="shared" si="127"/>
        <v>111.46011064871853</v>
      </c>
      <c r="D435" s="18">
        <f t="shared" si="128"/>
        <v>20.091314884309213</v>
      </c>
      <c r="E435" s="21" t="str">
        <f t="shared" si="129"/>
        <v>Umbra</v>
      </c>
      <c r="F435" s="23">
        <f>IF($E435&lt;&gt;"Umbra",fracil2($S$2,$S$3,$S$4,$A435,$Q$2,$O$3,$Q$4,$U435,$V435,$W435),0)</f>
        <v>0</v>
      </c>
      <c r="G435" s="19">
        <f t="shared" si="130"/>
        <v>69.29868751149381</v>
      </c>
      <c r="H435" s="19">
        <f t="shared" si="131"/>
        <v>-3.7570954433408343</v>
      </c>
      <c r="I435" s="19">
        <f t="shared" si="132"/>
        <v>-2.5490774939459389</v>
      </c>
      <c r="J435" s="28">
        <f t="shared" si="133"/>
        <v>6.4371095398243015E-3</v>
      </c>
      <c r="K435" s="24">
        <f t="shared" si="134"/>
        <v>1049.6083650690221</v>
      </c>
      <c r="L435" s="32">
        <f t="shared" si="135"/>
        <v>0.55415924962165397</v>
      </c>
      <c r="M435" s="35">
        <f t="shared" si="136"/>
        <v>13.53288914937187</v>
      </c>
      <c r="O435" s="29">
        <f t="shared" si="137"/>
        <v>1046.5801612907626</v>
      </c>
      <c r="T435" s="48">
        <v>0.74450236111111112</v>
      </c>
      <c r="U435" s="29">
        <v>-1255.7848404933084</v>
      </c>
      <c r="V435" s="29">
        <v>4586.2315859064429</v>
      </c>
      <c r="W435" s="29">
        <v>4266.6711592255087</v>
      </c>
      <c r="X435" s="4">
        <v>-0.32431318447433338</v>
      </c>
      <c r="Y435" s="4">
        <v>-0.12865740013252483</v>
      </c>
      <c r="Z435" s="4">
        <v>-3.472553495422441E-2</v>
      </c>
      <c r="AA435" s="3">
        <f t="shared" si="142"/>
        <v>0.35062462978319231</v>
      </c>
      <c r="AB435" s="3">
        <f t="shared" si="145"/>
        <v>2.2417704627052719E-2</v>
      </c>
      <c r="AC435" s="3">
        <f t="shared" si="143"/>
        <v>5.1813674273381953E-2</v>
      </c>
      <c r="AD435" s="48"/>
      <c r="AE435" s="46">
        <f t="shared" si="138"/>
        <v>42.09215004516625</v>
      </c>
      <c r="AF435" s="46">
        <f t="shared" si="139"/>
        <v>-248.53988935128149</v>
      </c>
      <c r="AG435" s="47">
        <f t="shared" si="140"/>
        <v>20091.314884309213</v>
      </c>
      <c r="AH435" s="45" t="str">
        <f t="shared" si="144"/>
        <v>-248.53989,42.09215,20091</v>
      </c>
      <c r="AI435" s="44">
        <f t="shared" si="146"/>
        <v>1021.3119256290091</v>
      </c>
    </row>
    <row r="436" spans="1:35" ht="18" customHeight="1" x14ac:dyDescent="0.25">
      <c r="A436" s="36">
        <f t="shared" si="141"/>
        <v>0.74451401620370372</v>
      </c>
      <c r="B436" s="42">
        <f t="shared" si="126"/>
        <v>42.092150033622111</v>
      </c>
      <c r="C436" s="43">
        <f t="shared" si="127"/>
        <v>111.46011338496861</v>
      </c>
      <c r="D436" s="18">
        <f t="shared" si="128"/>
        <v>20.039231506378201</v>
      </c>
      <c r="E436" s="21" t="str">
        <f t="shared" si="129"/>
        <v>Umbra</v>
      </c>
      <c r="F436" s="23">
        <f>IF($E436&lt;&gt;"Umbra",fracil2($S$2,$S$3,$S$4,$A436,$Q$2,$O$3,$Q$4,$U436,$V436,$W436),0)</f>
        <v>0</v>
      </c>
      <c r="G436" s="19">
        <f t="shared" si="130"/>
        <v>69.298699610553228</v>
      </c>
      <c r="H436" s="19">
        <f t="shared" si="131"/>
        <v>-3.759925588069069</v>
      </c>
      <c r="I436" s="19">
        <f t="shared" si="132"/>
        <v>-2.5519076386741739</v>
      </c>
      <c r="J436" s="28">
        <f t="shared" si="133"/>
        <v>6.4263389257191144E-3</v>
      </c>
      <c r="K436" s="24">
        <f t="shared" si="134"/>
        <v>1049.6033941351191</v>
      </c>
      <c r="L436" s="32">
        <f t="shared" si="135"/>
        <v>0.55417694504226123</v>
      </c>
      <c r="M436" s="35">
        <f t="shared" si="136"/>
        <v>13.530990162405717</v>
      </c>
      <c r="O436" s="29">
        <f t="shared" si="137"/>
        <v>1046.5803810054558</v>
      </c>
      <c r="T436" s="48">
        <v>0.74451401620370372</v>
      </c>
      <c r="U436" s="29">
        <v>-1256.111620861604</v>
      </c>
      <c r="V436" s="29">
        <v>4586.1020236278182</v>
      </c>
      <c r="W436" s="29">
        <v>4266.6362454806986</v>
      </c>
      <c r="X436" s="4">
        <v>-0.3243438105019042</v>
      </c>
      <c r="Y436" s="4">
        <v>-0.12852318267303298</v>
      </c>
      <c r="Z436" s="4">
        <v>-3.4578264493120486E-2</v>
      </c>
      <c r="AA436" s="3">
        <f t="shared" si="142"/>
        <v>0.35058917877004864</v>
      </c>
      <c r="AB436" s="3">
        <f t="shared" si="145"/>
        <v>2.2243879649393259E-2</v>
      </c>
      <c r="AC436" s="3">
        <f t="shared" si="143"/>
        <v>5.1594023925152978E-2</v>
      </c>
      <c r="AD436" s="48"/>
      <c r="AE436" s="46">
        <f t="shared" si="138"/>
        <v>42.092150033622111</v>
      </c>
      <c r="AF436" s="46">
        <f t="shared" si="139"/>
        <v>-248.53988661503138</v>
      </c>
      <c r="AG436" s="47">
        <f t="shared" si="140"/>
        <v>20039.231506378201</v>
      </c>
      <c r="AH436" s="45" t="str">
        <f t="shared" si="144"/>
        <v>-248.53989,42.09215,20039</v>
      </c>
      <c r="AI436" s="44">
        <f t="shared" si="146"/>
        <v>1021.3121581720477</v>
      </c>
    </row>
    <row r="437" spans="1:35" ht="18" customHeight="1" x14ac:dyDescent="0.25">
      <c r="A437" s="36">
        <f t="shared" si="141"/>
        <v>0.74452545138888893</v>
      </c>
      <c r="B437" s="42">
        <f t="shared" si="126"/>
        <v>42.092150022373929</v>
      </c>
      <c r="C437" s="43">
        <f t="shared" si="127"/>
        <v>111.46011144387369</v>
      </c>
      <c r="D437" s="18">
        <f t="shared" si="128"/>
        <v>19.988401860711747</v>
      </c>
      <c r="E437" s="21" t="str">
        <f t="shared" si="129"/>
        <v>Umbra</v>
      </c>
      <c r="F437" s="23">
        <f>IF($E437&lt;&gt;"Umbra",fracil2($S$2,$S$3,$S$4,$A437,$Q$2,$O$3,$Q$4,$U437,$V437,$W437),0)</f>
        <v>0</v>
      </c>
      <c r="G437" s="19">
        <f t="shared" si="130"/>
        <v>69.298706724336057</v>
      </c>
      <c r="H437" s="19">
        <f t="shared" si="131"/>
        <v>-3.7626856198755183</v>
      </c>
      <c r="I437" s="19">
        <f t="shared" si="132"/>
        <v>-2.5546676704806233</v>
      </c>
      <c r="J437" s="28">
        <f t="shared" si="133"/>
        <v>6.4158791699065673E-3</v>
      </c>
      <c r="K437" s="24">
        <f t="shared" si="134"/>
        <v>1049.5981741891339</v>
      </c>
      <c r="L437" s="32">
        <f t="shared" si="135"/>
        <v>0.5541942799482249</v>
      </c>
      <c r="M437" s="35">
        <f t="shared" si="136"/>
        <v>13.529141668558207</v>
      </c>
      <c r="O437" s="29">
        <f t="shared" si="137"/>
        <v>1046.5802246537376</v>
      </c>
      <c r="T437" s="48">
        <v>0.74452545138888893</v>
      </c>
      <c r="U437" s="29">
        <v>-1256.4319065450172</v>
      </c>
      <c r="V437" s="29">
        <v>4585.9751787170126</v>
      </c>
      <c r="W437" s="29">
        <v>4266.6021721684574</v>
      </c>
      <c r="X437" s="4">
        <v>-0.32437349581862562</v>
      </c>
      <c r="Y437" s="4">
        <v>-0.1283929849852383</v>
      </c>
      <c r="Z437" s="4">
        <v>-3.4435181132834385E-2</v>
      </c>
      <c r="AA437" s="3">
        <f t="shared" si="142"/>
        <v>0.35055485317231977</v>
      </c>
      <c r="AB437" s="3">
        <f t="shared" si="145"/>
        <v>2.2027024312473657E-2</v>
      </c>
      <c r="AC437" s="3">
        <f t="shared" si="143"/>
        <v>5.1380618888749396E-2</v>
      </c>
      <c r="AD437" s="48"/>
      <c r="AE437" s="46">
        <f t="shared" si="138"/>
        <v>42.092150022373929</v>
      </c>
      <c r="AF437" s="46">
        <f t="shared" si="139"/>
        <v>-248.5398885561263</v>
      </c>
      <c r="AG437" s="47">
        <f t="shared" si="140"/>
        <v>19988.401860711747</v>
      </c>
      <c r="AH437" s="45" t="str">
        <f t="shared" si="144"/>
        <v>-248.53989,42.09215,19988</v>
      </c>
      <c r="AI437" s="44">
        <f t="shared" si="146"/>
        <v>1021.3123480426436</v>
      </c>
    </row>
    <row r="438" spans="1:35" ht="18" customHeight="1" x14ac:dyDescent="0.25">
      <c r="A438" s="36">
        <f t="shared" si="141"/>
        <v>0.74453708333333335</v>
      </c>
      <c r="B438" s="42">
        <f t="shared" si="126"/>
        <v>42.092150010991325</v>
      </c>
      <c r="C438" s="43">
        <f t="shared" si="127"/>
        <v>111.46011200031172</v>
      </c>
      <c r="D438" s="18">
        <f t="shared" si="128"/>
        <v>19.936881895075203</v>
      </c>
      <c r="E438" s="21" t="str">
        <f t="shared" si="129"/>
        <v>Umbra</v>
      </c>
      <c r="F438" s="23">
        <f>IF($E438&lt;&gt;"Umbra",fracil2($S$2,$S$3,$S$4,$A438,$Q$2,$O$3,$Q$4,$U438,$V438,$W438),0)</f>
        <v>0</v>
      </c>
      <c r="G438" s="19">
        <f t="shared" si="130"/>
        <v>69.298716503866828</v>
      </c>
      <c r="H438" s="19">
        <f t="shared" si="131"/>
        <v>-3.7654842647616666</v>
      </c>
      <c r="I438" s="19">
        <f t="shared" si="132"/>
        <v>-2.5574663153667716</v>
      </c>
      <c r="J438" s="28">
        <f t="shared" si="133"/>
        <v>6.4053279270661571E-3</v>
      </c>
      <c r="K438" s="24">
        <f t="shared" si="134"/>
        <v>1049.5930889644649</v>
      </c>
      <c r="L438" s="32">
        <f t="shared" si="135"/>
        <v>0.55421188929581522</v>
      </c>
      <c r="M438" s="35">
        <f t="shared" si="136"/>
        <v>13.527265377527252</v>
      </c>
      <c r="O438" s="29">
        <f t="shared" si="137"/>
        <v>1046.5802691084587</v>
      </c>
      <c r="T438" s="48">
        <v>0.74453708333333335</v>
      </c>
      <c r="U438" s="29">
        <v>-1256.7579298699266</v>
      </c>
      <c r="V438" s="29">
        <v>4585.8462046912609</v>
      </c>
      <c r="W438" s="29">
        <v>4266.5676361063825</v>
      </c>
      <c r="X438" s="4">
        <v>-0.32440337954546777</v>
      </c>
      <c r="Y438" s="4">
        <v>-0.12826181258349939</v>
      </c>
      <c r="Z438" s="4">
        <v>-3.4290799764715017E-2</v>
      </c>
      <c r="AA438" s="3">
        <f t="shared" si="142"/>
        <v>0.3505203334704412</v>
      </c>
      <c r="AB438" s="3">
        <f t="shared" si="145"/>
        <v>2.1850834003448165E-2</v>
      </c>
      <c r="AC438" s="3">
        <f t="shared" si="143"/>
        <v>5.1165278264120782E-2</v>
      </c>
      <c r="AD438" s="48"/>
      <c r="AE438" s="46">
        <f t="shared" si="138"/>
        <v>42.092150010991325</v>
      </c>
      <c r="AF438" s="46">
        <f t="shared" si="139"/>
        <v>-248.53988799968829</v>
      </c>
      <c r="AG438" s="47">
        <f t="shared" si="140"/>
        <v>19936.881895075203</v>
      </c>
      <c r="AH438" s="45" t="str">
        <f t="shared" si="144"/>
        <v>-248.53989,42.09215,19937</v>
      </c>
      <c r="AI438" s="44">
        <f t="shared" si="146"/>
        <v>1021.3124429779416</v>
      </c>
    </row>
    <row r="439" spans="1:35" ht="18" customHeight="1" x14ac:dyDescent="0.25">
      <c r="A439" s="36">
        <f t="shared" si="141"/>
        <v>0.744548599537037</v>
      </c>
      <c r="B439" s="42">
        <f t="shared" si="126"/>
        <v>42.092149999779082</v>
      </c>
      <c r="C439" s="43">
        <f t="shared" si="127"/>
        <v>111.46011544900132</v>
      </c>
      <c r="D439" s="18">
        <f t="shared" si="128"/>
        <v>19.886051530904297</v>
      </c>
      <c r="E439" s="21" t="str">
        <f t="shared" si="129"/>
        <v>Umbra</v>
      </c>
      <c r="F439" s="23">
        <f>IF($E439&lt;&gt;"Umbra",fracil2($S$2,$S$3,$S$4,$A439,$Q$2,$O$3,$Q$4,$U439,$V439,$W439),0)</f>
        <v>0</v>
      </c>
      <c r="G439" s="19">
        <f t="shared" si="130"/>
        <v>69.298729104161254</v>
      </c>
      <c r="H439" s="19">
        <f t="shared" si="131"/>
        <v>-3.7682467402217852</v>
      </c>
      <c r="I439" s="19">
        <f t="shared" si="132"/>
        <v>-2.5602287908268897</v>
      </c>
      <c r="J439" s="28">
        <f t="shared" si="133"/>
        <v>6.3949673189478478E-3</v>
      </c>
      <c r="K439" s="24">
        <f t="shared" si="134"/>
        <v>1049.588307629688</v>
      </c>
      <c r="L439" s="32">
        <f t="shared" si="135"/>
        <v>0.55422930006609927</v>
      </c>
      <c r="M439" s="35">
        <f t="shared" si="136"/>
        <v>13.525411116484957</v>
      </c>
      <c r="O439" s="29">
        <f t="shared" si="137"/>
        <v>1046.5805461139068</v>
      </c>
      <c r="T439" s="48">
        <v>0.744548599537037</v>
      </c>
      <c r="U439" s="29">
        <v>-1257.0809638496919</v>
      </c>
      <c r="V439" s="29">
        <v>4585.7185542440457</v>
      </c>
      <c r="W439" s="29">
        <v>4266.5335623155133</v>
      </c>
      <c r="X439" s="4">
        <v>-0.32443266262100984</v>
      </c>
      <c r="Y439" s="4">
        <v>-0.12813317350256098</v>
      </c>
      <c r="Z439" s="4">
        <v>-3.414898220943291E-2</v>
      </c>
      <c r="AA439" s="3">
        <f t="shared" si="142"/>
        <v>0.3504865414151242</v>
      </c>
      <c r="AB439" s="3">
        <f t="shared" si="145"/>
        <v>2.167849439031503E-2</v>
      </c>
      <c r="AC439" s="3">
        <f t="shared" si="143"/>
        <v>5.0953761844710219E-2</v>
      </c>
      <c r="AD439" s="48"/>
      <c r="AE439" s="46">
        <f t="shared" si="138"/>
        <v>42.092149999779082</v>
      </c>
      <c r="AF439" s="46">
        <f t="shared" si="139"/>
        <v>-248.53988455099869</v>
      </c>
      <c r="AG439" s="47">
        <f t="shared" si="140"/>
        <v>19886.051530904297</v>
      </c>
      <c r="AH439" s="45" t="str">
        <f t="shared" si="144"/>
        <v>-248.53988,42.09215,19886</v>
      </c>
      <c r="AI439" s="44">
        <f t="shared" si="146"/>
        <v>1021.3127277838355</v>
      </c>
    </row>
    <row r="440" spans="1:35" ht="18" customHeight="1" x14ac:dyDescent="0.25">
      <c r="A440" s="36">
        <f t="shared" si="141"/>
        <v>0.74456027777777789</v>
      </c>
      <c r="B440" s="42">
        <f t="shared" si="126"/>
        <v>42.092149988492082</v>
      </c>
      <c r="C440" s="43">
        <f t="shared" si="127"/>
        <v>111.46011233003006</v>
      </c>
      <c r="D440" s="18">
        <f t="shared" si="128"/>
        <v>19.834800448787973</v>
      </c>
      <c r="E440" s="21" t="str">
        <f t="shared" si="129"/>
        <v>Umbra</v>
      </c>
      <c r="F440" s="23">
        <f>IF($E440&lt;&gt;"Umbra",fracil2($S$2,$S$3,$S$4,$A440,$Q$2,$O$3,$Q$4,$U440,$V440,$W440),0)</f>
        <v>0</v>
      </c>
      <c r="G440" s="19">
        <f t="shared" si="130"/>
        <v>69.298735094457172</v>
      </c>
      <c r="H440" s="19">
        <f t="shared" si="131"/>
        <v>-3.7710292314309677</v>
      </c>
      <c r="I440" s="19">
        <f t="shared" si="132"/>
        <v>-2.5630112820360722</v>
      </c>
      <c r="J440" s="28">
        <f t="shared" si="133"/>
        <v>6.384572098036537E-3</v>
      </c>
      <c r="K440" s="24">
        <f t="shared" si="134"/>
        <v>1049.5829583217646</v>
      </c>
      <c r="L440" s="32">
        <f t="shared" si="135"/>
        <v>0.55424692847962975</v>
      </c>
      <c r="M440" s="35">
        <f t="shared" si="136"/>
        <v>13.523548364963265</v>
      </c>
      <c r="O440" s="29">
        <f t="shared" si="137"/>
        <v>1046.5802950561065</v>
      </c>
      <c r="T440" s="48">
        <v>0.74456027777777789</v>
      </c>
      <c r="U440" s="29">
        <v>-1257.4080591364318</v>
      </c>
      <c r="V440" s="29">
        <v>4585.5894404341334</v>
      </c>
      <c r="W440" s="29">
        <v>4266.4992065007218</v>
      </c>
      <c r="X440" s="4">
        <v>-0.3244619867163745</v>
      </c>
      <c r="Y440" s="4">
        <v>-0.12800424968036253</v>
      </c>
      <c r="Z440" s="4">
        <v>-3.4006623478254804E-2</v>
      </c>
      <c r="AA440" s="3">
        <f t="shared" si="142"/>
        <v>0.35045273461703957</v>
      </c>
      <c r="AB440" s="3">
        <f t="shared" si="145"/>
        <v>2.145924393161602E-2</v>
      </c>
      <c r="AC440" s="3">
        <f t="shared" si="143"/>
        <v>5.0741438634600199E-2</v>
      </c>
      <c r="AD440" s="48"/>
      <c r="AE440" s="46">
        <f t="shared" si="138"/>
        <v>42.092149988492082</v>
      </c>
      <c r="AF440" s="46">
        <f t="shared" si="139"/>
        <v>-248.53988766996994</v>
      </c>
      <c r="AG440" s="47">
        <f t="shared" si="140"/>
        <v>19834.800448787973</v>
      </c>
      <c r="AH440" s="45" t="str">
        <f t="shared" si="144"/>
        <v>-248.53989,42.09215,19835</v>
      </c>
      <c r="AI440" s="44">
        <f t="shared" si="146"/>
        <v>1021.3129603268741</v>
      </c>
    </row>
    <row r="441" spans="1:35" ht="18" customHeight="1" x14ac:dyDescent="0.25">
      <c r="A441" s="36">
        <f t="shared" si="141"/>
        <v>0.74457179398148154</v>
      </c>
      <c r="B441" s="42">
        <f t="shared" si="126"/>
        <v>42.092149977409626</v>
      </c>
      <c r="C441" s="43">
        <f t="shared" si="127"/>
        <v>111.46011516156273</v>
      </c>
      <c r="D441" s="18">
        <f t="shared" si="128"/>
        <v>19.784397789249851</v>
      </c>
      <c r="E441" s="21" t="str">
        <f t="shared" si="129"/>
        <v>Umbra</v>
      </c>
      <c r="F441" s="23">
        <f>IF($E441&lt;&gt;"Umbra",fracil2($S$2,$S$3,$S$4,$A441,$Q$2,$O$3,$Q$4,$U441,$V441,$W441),0)</f>
        <v>0</v>
      </c>
      <c r="G441" s="19">
        <f t="shared" si="130"/>
        <v>69.298746990129658</v>
      </c>
      <c r="H441" s="19">
        <f t="shared" si="131"/>
        <v>-3.7737682576202065</v>
      </c>
      <c r="I441" s="19">
        <f t="shared" si="132"/>
        <v>-2.5657503082253115</v>
      </c>
      <c r="J441" s="28">
        <f t="shared" si="133"/>
        <v>6.3743966099794585E-3</v>
      </c>
      <c r="K441" s="24">
        <f t="shared" si="134"/>
        <v>1049.5781747279091</v>
      </c>
      <c r="L441" s="32">
        <f t="shared" si="135"/>
        <v>0.5542642904785553</v>
      </c>
      <c r="M441" s="35">
        <f t="shared" si="136"/>
        <v>13.521710226746265</v>
      </c>
      <c r="O441" s="29">
        <f t="shared" si="137"/>
        <v>1046.5805224433745</v>
      </c>
      <c r="T441" s="48">
        <v>0.74457179398148154</v>
      </c>
      <c r="U441" s="29">
        <v>-1257.7311037125044</v>
      </c>
      <c r="V441" s="29">
        <v>4585.4620638540073</v>
      </c>
      <c r="W441" s="29">
        <v>4266.4654194217228</v>
      </c>
      <c r="X441" s="4">
        <v>-0.32449062905972209</v>
      </c>
      <c r="Y441" s="4">
        <v>-0.12787822039006536</v>
      </c>
      <c r="Z441" s="4">
        <v>-3.3867237261219554E-2</v>
      </c>
      <c r="AA441" s="3">
        <f t="shared" si="142"/>
        <v>0.35041974453134345</v>
      </c>
      <c r="AB441" s="3">
        <f t="shared" si="145"/>
        <v>2.1306763894370806E-2</v>
      </c>
      <c r="AC441" s="3">
        <f t="shared" si="143"/>
        <v>5.0533549178486632E-2</v>
      </c>
      <c r="AD441" s="48"/>
      <c r="AE441" s="46">
        <f t="shared" si="138"/>
        <v>42.092149977409626</v>
      </c>
      <c r="AF441" s="46">
        <f t="shared" si="139"/>
        <v>-248.53988483843727</v>
      </c>
      <c r="AG441" s="47">
        <f t="shared" si="140"/>
        <v>19784.397789249851</v>
      </c>
      <c r="AH441" s="45" t="str">
        <f t="shared" si="144"/>
        <v>-248.53988,42.09215,19784</v>
      </c>
      <c r="AI441" s="44">
        <f t="shared" si="146"/>
        <v>1021.3131928699127</v>
      </c>
    </row>
    <row r="442" spans="1:35" ht="18" customHeight="1" x14ac:dyDescent="0.25">
      <c r="A442" s="36">
        <f t="shared" si="141"/>
        <v>0.74458339120370365</v>
      </c>
      <c r="B442" s="42">
        <f t="shared" si="126"/>
        <v>42.092149966316448</v>
      </c>
      <c r="C442" s="43">
        <f t="shared" si="127"/>
        <v>111.46011655045717</v>
      </c>
      <c r="D442" s="18">
        <f t="shared" si="128"/>
        <v>19.733866427256544</v>
      </c>
      <c r="E442" s="21" t="str">
        <f t="shared" si="129"/>
        <v>Umbra</v>
      </c>
      <c r="F442" s="23">
        <f>IF($E442&lt;&gt;"Umbra",fracil2($S$2,$S$3,$S$4,$A442,$Q$2,$O$3,$Q$4,$U442,$V442,$W442),0)</f>
        <v>0</v>
      </c>
      <c r="G442" s="19">
        <f t="shared" si="130"/>
        <v>69.298757440381763</v>
      </c>
      <c r="H442" s="19">
        <f t="shared" si="131"/>
        <v>-3.7765136717135519</v>
      </c>
      <c r="I442" s="19">
        <f t="shared" si="132"/>
        <v>-2.5684957223186569</v>
      </c>
      <c r="J442" s="28">
        <f t="shared" si="133"/>
        <v>6.3642437653765715E-3</v>
      </c>
      <c r="K442" s="24">
        <f t="shared" si="134"/>
        <v>1049.5732646387576</v>
      </c>
      <c r="L442" s="32">
        <f t="shared" si="135"/>
        <v>0.5542817500116537</v>
      </c>
      <c r="M442" s="35">
        <f t="shared" si="136"/>
        <v>13.519868865162787</v>
      </c>
      <c r="O442" s="29">
        <f t="shared" si="137"/>
        <v>1046.5806338375496</v>
      </c>
      <c r="T442" s="48">
        <v>0.74458339120370365</v>
      </c>
      <c r="U442" s="29">
        <v>-1258.056336273389</v>
      </c>
      <c r="V442" s="29">
        <v>4585.3339619405042</v>
      </c>
      <c r="W442" s="29">
        <v>4266.4315460693797</v>
      </c>
      <c r="X442" s="4">
        <v>-0.32451914908340679</v>
      </c>
      <c r="Y442" s="4">
        <v>-0.12775262589691094</v>
      </c>
      <c r="Z442" s="4">
        <v>-3.3728107645825255E-2</v>
      </c>
      <c r="AA442" s="3">
        <f t="shared" si="142"/>
        <v>0.35038692440035896</v>
      </c>
      <c r="AB442" s="3">
        <f t="shared" si="145"/>
        <v>2.1118928184352494E-2</v>
      </c>
      <c r="AC442" s="3">
        <f t="shared" si="143"/>
        <v>5.0326042784293437E-2</v>
      </c>
      <c r="AD442" s="48"/>
      <c r="AE442" s="46">
        <f t="shared" si="138"/>
        <v>42.092149966316448</v>
      </c>
      <c r="AF442" s="46">
        <f t="shared" si="139"/>
        <v>-248.53988344954283</v>
      </c>
      <c r="AG442" s="47">
        <f t="shared" si="140"/>
        <v>19733.866427256544</v>
      </c>
      <c r="AH442" s="45" t="str">
        <f t="shared" si="144"/>
        <v>-248.53988,42.09215,19734</v>
      </c>
      <c r="AI442" s="44">
        <f t="shared" si="146"/>
        <v>1021.3133271286977</v>
      </c>
    </row>
    <row r="443" spans="1:35" ht="18" customHeight="1" x14ac:dyDescent="0.25">
      <c r="A443" s="36">
        <f t="shared" si="141"/>
        <v>0.74459495370370377</v>
      </c>
      <c r="B443" s="42">
        <f t="shared" si="126"/>
        <v>42.092149955330648</v>
      </c>
      <c r="C443" s="43">
        <f t="shared" si="127"/>
        <v>111.4601135091459</v>
      </c>
      <c r="D443" s="18">
        <f t="shared" si="128"/>
        <v>19.683745602545059</v>
      </c>
      <c r="E443" s="21" t="str">
        <f t="shared" si="129"/>
        <v>Umbra</v>
      </c>
      <c r="F443" s="23">
        <f>IF($E443&lt;&gt;"Umbra",fracil2($S$2,$S$3,$S$4,$A443,$Q$2,$O$3,$Q$4,$U443,$V443,$W443),0)</f>
        <v>0</v>
      </c>
      <c r="G443" s="19">
        <f t="shared" si="130"/>
        <v>69.298763307725849</v>
      </c>
      <c r="H443" s="19">
        <f t="shared" si="131"/>
        <v>-3.7792348834651026</v>
      </c>
      <c r="I443" s="19">
        <f t="shared" si="132"/>
        <v>-2.5712169340702076</v>
      </c>
      <c r="J443" s="28">
        <f t="shared" si="133"/>
        <v>6.3542217607627195E-3</v>
      </c>
      <c r="K443" s="24">
        <f t="shared" si="134"/>
        <v>1049.5680411874025</v>
      </c>
      <c r="L443" s="32">
        <f t="shared" si="135"/>
        <v>0.55429913180540102</v>
      </c>
      <c r="M443" s="35">
        <f t="shared" si="136"/>
        <v>13.518047040422525</v>
      </c>
      <c r="O443" s="29">
        <f t="shared" si="137"/>
        <v>1046.5803890314082</v>
      </c>
      <c r="T443" s="48">
        <v>0.74459495370370377</v>
      </c>
      <c r="U443" s="29">
        <v>-1258.3802798406571</v>
      </c>
      <c r="V443" s="29">
        <v>4585.2065033445961</v>
      </c>
      <c r="W443" s="29">
        <v>4266.3979479193349</v>
      </c>
      <c r="X443" s="4">
        <v>-0.3245472447435308</v>
      </c>
      <c r="Y443" s="4">
        <v>-0.12762879734068974</v>
      </c>
      <c r="Z443" s="4">
        <v>-3.3590711261344025E-2</v>
      </c>
      <c r="AA443" s="3">
        <f t="shared" si="142"/>
        <v>0.35035462015548063</v>
      </c>
      <c r="AB443" s="3">
        <f t="shared" si="145"/>
        <v>2.0918430200153777E-2</v>
      </c>
      <c r="AC443" s="3">
        <f t="shared" si="143"/>
        <v>5.0121121783875192E-2</v>
      </c>
      <c r="AD443" s="48"/>
      <c r="AE443" s="46">
        <f t="shared" si="138"/>
        <v>42.092149955330648</v>
      </c>
      <c r="AF443" s="46">
        <f t="shared" si="139"/>
        <v>-248.53988649085409</v>
      </c>
      <c r="AG443" s="47">
        <f t="shared" si="140"/>
        <v>19683.745602545059</v>
      </c>
      <c r="AH443" s="45" t="str">
        <f t="shared" si="144"/>
        <v>-248.53989,42.09215,19684</v>
      </c>
      <c r="AI443" s="44">
        <f t="shared" si="146"/>
        <v>1021.3135783038869</v>
      </c>
    </row>
    <row r="444" spans="1:35" ht="18" customHeight="1" x14ac:dyDescent="0.25">
      <c r="A444" s="36">
        <f t="shared" si="141"/>
        <v>0.74460648148148145</v>
      </c>
      <c r="B444" s="42">
        <f t="shared" si="126"/>
        <v>42.092149944431249</v>
      </c>
      <c r="C444" s="43">
        <f t="shared" si="127"/>
        <v>111.46011357803133</v>
      </c>
      <c r="D444" s="18">
        <f t="shared" si="128"/>
        <v>19.633941032581788</v>
      </c>
      <c r="E444" s="21" t="str">
        <f t="shared" si="129"/>
        <v>Umbra</v>
      </c>
      <c r="F444" s="23">
        <f>IF($E444&lt;&gt;"Umbra",fracil2($S$2,$S$3,$S$4,$A444,$Q$2,$O$3,$Q$4,$U444,$V444,$W444),0)</f>
        <v>0</v>
      </c>
      <c r="G444" s="19">
        <f t="shared" si="130"/>
        <v>69.298772284438101</v>
      </c>
      <c r="H444" s="19">
        <f t="shared" si="131"/>
        <v>-3.7819402960067445</v>
      </c>
      <c r="I444" s="19">
        <f t="shared" si="132"/>
        <v>-2.573922346611849</v>
      </c>
      <c r="J444" s="28">
        <f t="shared" si="133"/>
        <v>6.3443090407725037E-3</v>
      </c>
      <c r="K444" s="24">
        <f t="shared" si="134"/>
        <v>1049.5631018068088</v>
      </c>
      <c r="L444" s="32">
        <f t="shared" si="135"/>
        <v>0.55431643912932416</v>
      </c>
      <c r="M444" s="35">
        <f t="shared" si="136"/>
        <v>13.516233429532011</v>
      </c>
      <c r="O444" s="29">
        <f t="shared" si="137"/>
        <v>1046.580394297393</v>
      </c>
      <c r="T444" s="48">
        <v>0.74460648148148145</v>
      </c>
      <c r="U444" s="29">
        <v>-1258.7035194878008</v>
      </c>
      <c r="V444" s="29">
        <v>4585.0794552196066</v>
      </c>
      <c r="W444" s="29">
        <v>4266.3645617699112</v>
      </c>
      <c r="X444" s="4">
        <v>-0.32457497429843368</v>
      </c>
      <c r="Y444" s="4">
        <v>-0.12750648077718132</v>
      </c>
      <c r="Z444" s="4">
        <v>-3.3454771713875266E-2</v>
      </c>
      <c r="AA444" s="3">
        <f t="shared" si="142"/>
        <v>0.35032276307918975</v>
      </c>
      <c r="AB444" s="3">
        <f t="shared" si="145"/>
        <v>2.0758932568620117E-2</v>
      </c>
      <c r="AC444" s="3">
        <f t="shared" si="143"/>
        <v>4.9918373939479975E-2</v>
      </c>
      <c r="AD444" s="48"/>
      <c r="AE444" s="46">
        <f t="shared" si="138"/>
        <v>42.092149944431249</v>
      </c>
      <c r="AF444" s="46">
        <f t="shared" si="139"/>
        <v>-248.53988642196867</v>
      </c>
      <c r="AG444" s="47">
        <f t="shared" si="140"/>
        <v>19633.941032581788</v>
      </c>
      <c r="AH444" s="45" t="str">
        <f t="shared" si="144"/>
        <v>-248.53989,42.09215,19634</v>
      </c>
      <c r="AI444" s="44">
        <f t="shared" si="146"/>
        <v>1021.3135783038869</v>
      </c>
    </row>
    <row r="445" spans="1:35" ht="18" customHeight="1" x14ac:dyDescent="0.25">
      <c r="A445" s="36">
        <f t="shared" si="141"/>
        <v>0.74461814814814808</v>
      </c>
      <c r="B445" s="42">
        <f t="shared" si="126"/>
        <v>42.092149933451296</v>
      </c>
      <c r="C445" s="43">
        <f t="shared" si="127"/>
        <v>111.46011799226943</v>
      </c>
      <c r="D445" s="18">
        <f t="shared" si="128"/>
        <v>19.583689455674175</v>
      </c>
      <c r="E445" s="21" t="str">
        <f t="shared" si="129"/>
        <v>Umbra</v>
      </c>
      <c r="F445" s="23">
        <f>IF($E445&lt;&gt;"Umbra",fracil2($S$2,$S$3,$S$4,$A445,$Q$2,$O$3,$Q$4,$U445,$V445,$W445),0)</f>
        <v>0</v>
      </c>
      <c r="G445" s="19">
        <f t="shared" si="130"/>
        <v>69.298785764276673</v>
      </c>
      <c r="H445" s="19">
        <f t="shared" si="131"/>
        <v>-3.7846719047653341</v>
      </c>
      <c r="I445" s="19">
        <f t="shared" si="132"/>
        <v>-2.5766539553704391</v>
      </c>
      <c r="J445" s="28">
        <f t="shared" si="133"/>
        <v>6.3343536636960678E-3</v>
      </c>
      <c r="K445" s="24">
        <f t="shared" si="134"/>
        <v>1049.5584701265627</v>
      </c>
      <c r="L445" s="32">
        <f t="shared" si="135"/>
        <v>0.5543339329068232</v>
      </c>
      <c r="M445" s="35">
        <f t="shared" si="136"/>
        <v>13.514398948821269</v>
      </c>
      <c r="O445" s="29">
        <f t="shared" si="137"/>
        <v>1046.5807489419126</v>
      </c>
      <c r="T445" s="48">
        <v>0.74461814814814808</v>
      </c>
      <c r="U445" s="29">
        <v>-1259.0310192894938</v>
      </c>
      <c r="V445" s="29">
        <v>4584.9508672618585</v>
      </c>
      <c r="W445" s="29">
        <v>4266.3308759739139</v>
      </c>
      <c r="X445" s="4">
        <v>-0.32460276170490454</v>
      </c>
      <c r="Y445" s="4">
        <v>-0.1273838051625043</v>
      </c>
      <c r="Z445" s="4">
        <v>-3.3318208261195928E-2</v>
      </c>
      <c r="AA445" s="3">
        <f t="shared" si="142"/>
        <v>0.35029086446247254</v>
      </c>
      <c r="AB445" s="3">
        <f t="shared" si="145"/>
        <v>2.0605907636377017E-2</v>
      </c>
      <c r="AC445" s="3">
        <f t="shared" si="143"/>
        <v>4.9714695916956007E-2</v>
      </c>
      <c r="AD445" s="48"/>
      <c r="AE445" s="46">
        <f t="shared" si="138"/>
        <v>42.092149933451296</v>
      </c>
      <c r="AF445" s="46">
        <f t="shared" si="139"/>
        <v>-248.53988200773057</v>
      </c>
      <c r="AG445" s="47">
        <f t="shared" si="140"/>
        <v>19583.689455674175</v>
      </c>
      <c r="AH445" s="45" t="str">
        <f t="shared" si="144"/>
        <v>-248.53988,42.09215,19584</v>
      </c>
      <c r="AI445" s="44">
        <f t="shared" si="146"/>
        <v>1021.3139335192448</v>
      </c>
    </row>
    <row r="446" spans="1:35" ht="18" customHeight="1" x14ac:dyDescent="0.25">
      <c r="A446" s="36">
        <f t="shared" si="141"/>
        <v>0.74462973379629627</v>
      </c>
      <c r="B446" s="42">
        <f t="shared" si="126"/>
        <v>42.092149922620202</v>
      </c>
      <c r="C446" s="43">
        <f t="shared" si="127"/>
        <v>111.46011795736536</v>
      </c>
      <c r="D446" s="18">
        <f t="shared" si="128"/>
        <v>19.534041718702611</v>
      </c>
      <c r="E446" s="21" t="str">
        <f t="shared" si="129"/>
        <v>Umbra</v>
      </c>
      <c r="F446" s="23">
        <f>IF($E446&lt;&gt;"Umbra",fracil2($S$2,$S$3,$S$4,$A446,$Q$2,$O$3,$Q$4,$U446,$V446,$W446),0)</f>
        <v>0</v>
      </c>
      <c r="G446" s="19">
        <f t="shared" si="130"/>
        <v>69.298794607366972</v>
      </c>
      <c r="H446" s="19">
        <f t="shared" si="131"/>
        <v>-3.7873688030781292</v>
      </c>
      <c r="I446" s="19">
        <f t="shared" si="132"/>
        <v>-2.5793508536832341</v>
      </c>
      <c r="J446" s="28">
        <f t="shared" si="133"/>
        <v>6.3245646947999229E-3</v>
      </c>
      <c r="K446" s="24">
        <f t="shared" si="134"/>
        <v>1049.5535426469448</v>
      </c>
      <c r="L446" s="32">
        <f t="shared" si="135"/>
        <v>0.55435128023568092</v>
      </c>
      <c r="M446" s="35">
        <f t="shared" si="136"/>
        <v>13.512591064455373</v>
      </c>
      <c r="O446" s="29">
        <f t="shared" si="137"/>
        <v>1046.5807458645968</v>
      </c>
      <c r="T446" s="48">
        <v>0.74462973379629627</v>
      </c>
      <c r="U446" s="29">
        <v>-1259.3559293293295</v>
      </c>
      <c r="V446" s="29">
        <v>4584.8234286370534</v>
      </c>
      <c r="W446" s="29">
        <v>4266.2975949592437</v>
      </c>
      <c r="X446" s="4">
        <v>-0.32463002793465245</v>
      </c>
      <c r="Y446" s="4">
        <v>-0.12726332781591773</v>
      </c>
      <c r="Z446" s="4">
        <v>-3.3183869271866499E-2</v>
      </c>
      <c r="AA446" s="3">
        <f t="shared" si="142"/>
        <v>0.35025958776811139</v>
      </c>
      <c r="AB446" s="3">
        <f t="shared" si="145"/>
        <v>2.0411975702217349E-2</v>
      </c>
      <c r="AC446" s="3">
        <f t="shared" si="143"/>
        <v>4.9514335923385736E-2</v>
      </c>
      <c r="AD446" s="48"/>
      <c r="AE446" s="46">
        <f t="shared" si="138"/>
        <v>42.092149922620202</v>
      </c>
      <c r="AF446" s="46">
        <f t="shared" si="139"/>
        <v>-248.53988204263464</v>
      </c>
      <c r="AG446" s="47">
        <f t="shared" si="140"/>
        <v>19534.041718702611</v>
      </c>
      <c r="AH446" s="45" t="str">
        <f t="shared" si="144"/>
        <v>-248.53988,42.09215,19534</v>
      </c>
      <c r="AI446" s="44">
        <f t="shared" si="146"/>
        <v>1021.3139335192448</v>
      </c>
    </row>
    <row r="447" spans="1:35" ht="18" customHeight="1" x14ac:dyDescent="0.25">
      <c r="A447" s="36">
        <f t="shared" si="141"/>
        <v>0.74464134259259263</v>
      </c>
      <c r="B447" s="42">
        <f t="shared" si="126"/>
        <v>42.092149911829793</v>
      </c>
      <c r="C447" s="43">
        <f t="shared" si="127"/>
        <v>111.46011720812804</v>
      </c>
      <c r="D447" s="18">
        <f t="shared" si="128"/>
        <v>19.484503523717649</v>
      </c>
      <c r="E447" s="21" t="str">
        <f t="shared" si="129"/>
        <v>Umbra</v>
      </c>
      <c r="F447" s="23">
        <f>IF($E447&lt;&gt;"Umbra",fracil2($S$2,$S$3,$S$4,$A447,$Q$2,$O$3,$Q$4,$U447,$V447,$W447),0)</f>
        <v>0</v>
      </c>
      <c r="G447" s="19">
        <f t="shared" si="130"/>
        <v>69.298802703783821</v>
      </c>
      <c r="H447" s="19">
        <f t="shared" si="131"/>
        <v>-3.7900594659616784</v>
      </c>
      <c r="I447" s="19">
        <f t="shared" si="132"/>
        <v>-2.5820415165667834</v>
      </c>
      <c r="J447" s="28">
        <f t="shared" si="133"/>
        <v>6.31484297782294E-3</v>
      </c>
      <c r="K447" s="24">
        <f t="shared" si="134"/>
        <v>1049.5485708626588</v>
      </c>
      <c r="L447" s="32">
        <f t="shared" si="135"/>
        <v>0.55436863884342802</v>
      </c>
      <c r="M447" s="35">
        <f t="shared" si="136"/>
        <v>13.510787869761401</v>
      </c>
      <c r="O447" s="29">
        <f t="shared" si="137"/>
        <v>1046.5806853535671</v>
      </c>
      <c r="T447" s="48">
        <v>0.74464134259259263</v>
      </c>
      <c r="U447" s="29">
        <v>-1259.6814604916444</v>
      </c>
      <c r="V447" s="29">
        <v>4584.6958773786755</v>
      </c>
      <c r="W447" s="29">
        <v>4266.2643873766838</v>
      </c>
      <c r="X447" s="4">
        <v>-0.32465704847646482</v>
      </c>
      <c r="Y447" s="4">
        <v>-0.12714383335614945</v>
      </c>
      <c r="Z447" s="4">
        <v>-3.3050404078276814E-2</v>
      </c>
      <c r="AA447" s="3">
        <f t="shared" si="142"/>
        <v>0.35022861490130031</v>
      </c>
      <c r="AB447" s="3">
        <f t="shared" si="145"/>
        <v>2.0238735817308121E-2</v>
      </c>
      <c r="AC447" s="3">
        <f t="shared" si="143"/>
        <v>4.9315279496829872E-2</v>
      </c>
      <c r="AD447" s="48"/>
      <c r="AE447" s="46">
        <f t="shared" si="138"/>
        <v>42.092149911829793</v>
      </c>
      <c r="AF447" s="46">
        <f t="shared" si="139"/>
        <v>-248.53988279187195</v>
      </c>
      <c r="AG447" s="47">
        <f t="shared" si="140"/>
        <v>19484.503523717649</v>
      </c>
      <c r="AH447" s="45" t="str">
        <f t="shared" si="144"/>
        <v>-248.53988,42.09215,19485</v>
      </c>
      <c r="AI447" s="44">
        <f t="shared" si="146"/>
        <v>1021.3140284545427</v>
      </c>
    </row>
    <row r="448" spans="1:35" ht="18" customHeight="1" x14ac:dyDescent="0.25">
      <c r="A448" s="36">
        <f t="shared" si="141"/>
        <v>0.74465284722222214</v>
      </c>
      <c r="B448" s="42">
        <f t="shared" si="126"/>
        <v>42.09214990119689</v>
      </c>
      <c r="C448" s="43">
        <f t="shared" si="127"/>
        <v>111.46011581879291</v>
      </c>
      <c r="D448" s="18">
        <f t="shared" si="128"/>
        <v>19.435613560133788</v>
      </c>
      <c r="E448" s="21" t="str">
        <f t="shared" si="129"/>
        <v>Umbra</v>
      </c>
      <c r="F448" s="23">
        <f>IF($E448&lt;&gt;"Umbra",fracil2($S$2,$S$3,$S$4,$A448,$Q$2,$O$3,$Q$4,$U448,$V448,$W448),0)</f>
        <v>0</v>
      </c>
      <c r="G448" s="19">
        <f t="shared" si="130"/>
        <v>69.298810032756876</v>
      </c>
      <c r="H448" s="19">
        <f t="shared" si="131"/>
        <v>-3.7927146630850599</v>
      </c>
      <c r="I448" s="19">
        <f t="shared" si="132"/>
        <v>-2.5846967136901648</v>
      </c>
      <c r="J448" s="28">
        <f t="shared" si="133"/>
        <v>6.3052927014152381E-3</v>
      </c>
      <c r="K448" s="24">
        <f t="shared" si="134"/>
        <v>1049.543614104274</v>
      </c>
      <c r="L448" s="32">
        <f t="shared" si="135"/>
        <v>0.55438581882197691</v>
      </c>
      <c r="M448" s="35">
        <f t="shared" si="136"/>
        <v>13.509008904686583</v>
      </c>
      <c r="O448" s="29">
        <f t="shared" si="137"/>
        <v>1046.5805733805221</v>
      </c>
      <c r="T448" s="48">
        <v>0.74465284722222214</v>
      </c>
      <c r="U448" s="29">
        <v>-1260.0040471819402</v>
      </c>
      <c r="V448" s="29">
        <v>4584.5696078552101</v>
      </c>
      <c r="W448" s="29">
        <v>4266.2316143328726</v>
      </c>
      <c r="X448" s="4">
        <v>-0.32468353534985356</v>
      </c>
      <c r="Y448" s="4">
        <v>-0.12702659860827067</v>
      </c>
      <c r="Z448" s="4">
        <v>-3.2919244693328589E-2</v>
      </c>
      <c r="AA448" s="3">
        <f t="shared" si="142"/>
        <v>0.35019827462802489</v>
      </c>
      <c r="AB448" s="3">
        <f t="shared" si="145"/>
        <v>2.0069129287411797E-2</v>
      </c>
      <c r="AC448" s="3">
        <f t="shared" si="143"/>
        <v>4.9119662402330289E-2</v>
      </c>
      <c r="AD448" s="48"/>
      <c r="AE448" s="46">
        <f t="shared" si="138"/>
        <v>42.09214990119689</v>
      </c>
      <c r="AF448" s="46">
        <f t="shared" si="139"/>
        <v>-248.53988418120707</v>
      </c>
      <c r="AG448" s="47">
        <f t="shared" si="140"/>
        <v>19435.613560133788</v>
      </c>
      <c r="AH448" s="45" t="str">
        <f t="shared" si="144"/>
        <v>-248.53988,42.09215,19436</v>
      </c>
      <c r="AI448" s="44">
        <f t="shared" si="146"/>
        <v>1021.3141627133277</v>
      </c>
    </row>
    <row r="449" spans="1:35" ht="18" customHeight="1" x14ac:dyDescent="0.25">
      <c r="A449" s="36">
        <f t="shared" si="141"/>
        <v>0.74466442129629629</v>
      </c>
      <c r="B449" s="42">
        <f t="shared" si="126"/>
        <v>42.092149890549813</v>
      </c>
      <c r="C449" s="43">
        <f t="shared" si="127"/>
        <v>111.46011781944358</v>
      </c>
      <c r="D449" s="18">
        <f t="shared" si="128"/>
        <v>19.386584032945393</v>
      </c>
      <c r="E449" s="21" t="str">
        <f t="shared" si="129"/>
        <v>Umbra</v>
      </c>
      <c r="F449" s="23">
        <f>IF($E449&lt;&gt;"Umbra",fracil2($S$2,$S$3,$S$4,$A449,$Q$2,$O$3,$Q$4,$U449,$V449,$W449),0)</f>
        <v>0</v>
      </c>
      <c r="G449" s="19">
        <f t="shared" si="130"/>
        <v>69.298820837397983</v>
      </c>
      <c r="H449" s="19">
        <f t="shared" si="131"/>
        <v>-3.7953789376665417</v>
      </c>
      <c r="I449" s="19">
        <f t="shared" si="132"/>
        <v>-2.5873609882716462</v>
      </c>
      <c r="J449" s="28">
        <f t="shared" si="133"/>
        <v>6.2957584898663353E-3</v>
      </c>
      <c r="K449" s="24">
        <f t="shared" si="134"/>
        <v>1049.5389186007587</v>
      </c>
      <c r="L449" s="32">
        <f t="shared" si="135"/>
        <v>0.55440308109835346</v>
      </c>
      <c r="M449" s="35">
        <f t="shared" si="136"/>
        <v>13.507221267125285</v>
      </c>
      <c r="O449" s="29">
        <f t="shared" si="137"/>
        <v>1046.5807339730591</v>
      </c>
      <c r="T449" s="48">
        <v>0.74466442129629629</v>
      </c>
      <c r="U449" s="29">
        <v>-1260.3288717967775</v>
      </c>
      <c r="V449" s="29">
        <v>4584.4425897982237</v>
      </c>
      <c r="W449" s="29">
        <v>4266.1987477349339</v>
      </c>
      <c r="X449" s="4">
        <v>-0.32470991838861396</v>
      </c>
      <c r="Y449" s="4">
        <v>-0.1269097224899555</v>
      </c>
      <c r="Z449" s="4">
        <v>-3.2788267546300244E-2</v>
      </c>
      <c r="AA449" s="3">
        <f t="shared" si="142"/>
        <v>0.35016807286088436</v>
      </c>
      <c r="AB449" s="3">
        <f t="shared" si="145"/>
        <v>1.992096249558074E-2</v>
      </c>
      <c r="AC449" s="3">
        <f t="shared" si="143"/>
        <v>4.8924317444097344E-2</v>
      </c>
      <c r="AD449" s="48"/>
      <c r="AE449" s="46">
        <f t="shared" si="138"/>
        <v>42.092149890549813</v>
      </c>
      <c r="AF449" s="46">
        <f t="shared" si="139"/>
        <v>-248.53988218055642</v>
      </c>
      <c r="AG449" s="47">
        <f t="shared" si="140"/>
        <v>19386.584032945393</v>
      </c>
      <c r="AH449" s="45" t="str">
        <f t="shared" si="144"/>
        <v>-248.53988,42.09215,19387</v>
      </c>
      <c r="AI449" s="44">
        <f t="shared" si="146"/>
        <v>1021.3143271460871</v>
      </c>
    </row>
    <row r="450" spans="1:35" ht="18" customHeight="1" x14ac:dyDescent="0.25">
      <c r="A450" s="36">
        <f t="shared" si="141"/>
        <v>0.74467592592592602</v>
      </c>
      <c r="B450" s="42">
        <f t="shared" si="126"/>
        <v>42.09214988003248</v>
      </c>
      <c r="C450" s="43">
        <f t="shared" si="127"/>
        <v>111.46011674678233</v>
      </c>
      <c r="D450" s="18">
        <f t="shared" si="128"/>
        <v>19.338077262640581</v>
      </c>
      <c r="E450" s="21" t="str">
        <f t="shared" si="129"/>
        <v>Umbra</v>
      </c>
      <c r="F450" s="23">
        <f>IF($E450&lt;&gt;"Umbra",fracil2($S$2,$S$3,$S$4,$A450,$Q$2,$O$3,$Q$4,$U450,$V450,$W450),0)</f>
        <v>0</v>
      </c>
      <c r="G450" s="19">
        <f t="shared" si="130"/>
        <v>69.298828420260236</v>
      </c>
      <c r="H450" s="19">
        <f t="shared" si="131"/>
        <v>-3.798013505361419</v>
      </c>
      <c r="I450" s="19">
        <f t="shared" si="132"/>
        <v>-2.5899955559665235</v>
      </c>
      <c r="J450" s="28">
        <f t="shared" si="133"/>
        <v>6.2863694624736436E-3</v>
      </c>
      <c r="K450" s="24">
        <f t="shared" si="134"/>
        <v>1049.5340297754215</v>
      </c>
      <c r="L450" s="32">
        <f t="shared" si="135"/>
        <v>0.55442021650761275</v>
      </c>
      <c r="M450" s="35">
        <f t="shared" si="136"/>
        <v>13.505455835770491</v>
      </c>
      <c r="O450" s="29">
        <f t="shared" si="137"/>
        <v>1046.5806474645142</v>
      </c>
      <c r="T450" s="48">
        <v>0.74467592592592602</v>
      </c>
      <c r="U450" s="29">
        <v>-1260.6515357773064</v>
      </c>
      <c r="V450" s="29">
        <v>4584.3165419643874</v>
      </c>
      <c r="W450" s="29">
        <v>4266.1662315647418</v>
      </c>
      <c r="X450" s="4">
        <v>-0.32473584391783189</v>
      </c>
      <c r="Y450" s="4">
        <v>-0.12679477312839954</v>
      </c>
      <c r="Z450" s="4">
        <v>-3.2659232701339552E-2</v>
      </c>
      <c r="AA450" s="3">
        <f t="shared" si="142"/>
        <v>0.35013841305739224</v>
      </c>
      <c r="AB450" s="3">
        <f t="shared" si="145"/>
        <v>1.974397790405261E-2</v>
      </c>
      <c r="AC450" s="3">
        <f t="shared" si="143"/>
        <v>4.8731869653452442E-2</v>
      </c>
      <c r="AD450" s="48"/>
      <c r="AE450" s="46">
        <f t="shared" si="138"/>
        <v>42.09214988003248</v>
      </c>
      <c r="AF450" s="46">
        <f t="shared" si="139"/>
        <v>-248.53988325321768</v>
      </c>
      <c r="AG450" s="47">
        <f t="shared" si="140"/>
        <v>19338.077262640581</v>
      </c>
      <c r="AH450" s="45" t="str">
        <f t="shared" si="144"/>
        <v>-248.53988,42.09215,19338</v>
      </c>
      <c r="AI450" s="44">
        <f t="shared" si="146"/>
        <v>1021.3143271460871</v>
      </c>
    </row>
    <row r="451" spans="1:35" ht="18" customHeight="1" x14ac:dyDescent="0.25">
      <c r="A451" s="36">
        <f t="shared" si="141"/>
        <v>0.74468759259259265</v>
      </c>
      <c r="B451" s="42">
        <f t="shared" si="126"/>
        <v>42.092149869420119</v>
      </c>
      <c r="C451" s="43">
        <f t="shared" si="127"/>
        <v>111.46011770072208</v>
      </c>
      <c r="D451" s="18">
        <f t="shared" si="128"/>
        <v>19.28905808100626</v>
      </c>
      <c r="E451" s="21" t="str">
        <f t="shared" si="129"/>
        <v>Umbra</v>
      </c>
      <c r="F451" s="23">
        <f>IF($E451&lt;&gt;"Umbra",fracil2($S$2,$S$3,$S$4,$A451,$Q$2,$O$3,$Q$4,$U451,$V451,$W451),0)</f>
        <v>0</v>
      </c>
      <c r="G451" s="19">
        <f t="shared" si="130"/>
        <v>69.298838157675362</v>
      </c>
      <c r="H451" s="19">
        <f t="shared" si="131"/>
        <v>-3.8006768122091028</v>
      </c>
      <c r="I451" s="19">
        <f t="shared" si="132"/>
        <v>-2.5926588628142078</v>
      </c>
      <c r="J451" s="28">
        <f t="shared" si="133"/>
        <v>6.2769244042856888E-3</v>
      </c>
      <c r="K451" s="24">
        <f t="shared" si="134"/>
        <v>1049.5292555700471</v>
      </c>
      <c r="L451" s="32">
        <f t="shared" si="135"/>
        <v>0.55443757146991979</v>
      </c>
      <c r="M451" s="35">
        <f t="shared" si="136"/>
        <v>13.503669579254273</v>
      </c>
      <c r="O451" s="29">
        <f t="shared" si="137"/>
        <v>1046.5807238989423</v>
      </c>
      <c r="T451" s="48">
        <v>0.74468759259259265</v>
      </c>
      <c r="U451" s="29">
        <v>-1260.9789293903216</v>
      </c>
      <c r="V451" s="29">
        <v>4584.1887728929714</v>
      </c>
      <c r="W451" s="29">
        <v>4266.1333719045833</v>
      </c>
      <c r="X451" s="4">
        <v>-0.32476186493331549</v>
      </c>
      <c r="Y451" s="4">
        <v>-0.12667929808638981</v>
      </c>
      <c r="Z451" s="4">
        <v>-3.2529386801251531E-2</v>
      </c>
      <c r="AA451" s="3">
        <f t="shared" si="142"/>
        <v>0.3501086609672644</v>
      </c>
      <c r="AB451" s="3">
        <f t="shared" si="145"/>
        <v>1.9592099803409438E-2</v>
      </c>
      <c r="AC451" s="3">
        <f t="shared" si="143"/>
        <v>4.8538212561735405E-2</v>
      </c>
      <c r="AD451" s="48"/>
      <c r="AE451" s="46">
        <f t="shared" si="138"/>
        <v>42.092149869420119</v>
      </c>
      <c r="AF451" s="46">
        <f t="shared" si="139"/>
        <v>-248.53988229927791</v>
      </c>
      <c r="AG451" s="47">
        <f t="shared" si="140"/>
        <v>19289.05808100626</v>
      </c>
      <c r="AH451" s="45" t="str">
        <f t="shared" si="144"/>
        <v>-248.53988,42.09215,19289</v>
      </c>
      <c r="AI451" s="44">
        <f t="shared" si="146"/>
        <v>1021.3144614048721</v>
      </c>
    </row>
    <row r="452" spans="1:35" ht="18" customHeight="1" x14ac:dyDescent="0.25">
      <c r="A452" s="36">
        <f t="shared" si="141"/>
        <v>0.74469906250000006</v>
      </c>
      <c r="B452" s="42">
        <f t="shared" si="126"/>
        <v>42.092149859047694</v>
      </c>
      <c r="C452" s="43">
        <f t="shared" si="127"/>
        <v>111.46011693701105</v>
      </c>
      <c r="D452" s="18">
        <f t="shared" si="128"/>
        <v>19.241074857434796</v>
      </c>
      <c r="E452" s="21" t="str">
        <f t="shared" si="129"/>
        <v>Umbra</v>
      </c>
      <c r="F452" s="23">
        <f>IF($E452&lt;&gt;"Umbra",fracil2($S$2,$S$3,$S$4,$A452,$Q$2,$O$3,$Q$4,$U452,$V452,$W452),0)</f>
        <v>0</v>
      </c>
      <c r="G452" s="19">
        <f t="shared" si="130"/>
        <v>69.29884596146438</v>
      </c>
      <c r="H452" s="19">
        <f t="shared" si="131"/>
        <v>-3.8032831214177087</v>
      </c>
      <c r="I452" s="19">
        <f t="shared" si="132"/>
        <v>-2.5952651720228133</v>
      </c>
      <c r="J452" s="28">
        <f t="shared" si="133"/>
        <v>6.2677212464026331E-3</v>
      </c>
      <c r="K452" s="24">
        <f t="shared" si="134"/>
        <v>1049.5244478474799</v>
      </c>
      <c r="L452" s="32">
        <f t="shared" si="135"/>
        <v>0.5544546113027059</v>
      </c>
      <c r="M452" s="35">
        <f t="shared" si="136"/>
        <v>13.501922803183248</v>
      </c>
      <c r="O452" s="29">
        <f t="shared" si="137"/>
        <v>1046.5806622346374</v>
      </c>
      <c r="T452" s="48">
        <v>0.74469906250000006</v>
      </c>
      <c r="U452" s="29">
        <v>-1261.3006948667594</v>
      </c>
      <c r="V452" s="29">
        <v>4584.0633230483845</v>
      </c>
      <c r="W452" s="29">
        <v>4266.1012066928643</v>
      </c>
      <c r="X452" s="4">
        <v>-0.32478716338249008</v>
      </c>
      <c r="Y452" s="4">
        <v>-0.1265669298298279</v>
      </c>
      <c r="Z452" s="4">
        <v>-3.2402818374395924E-2</v>
      </c>
      <c r="AA452" s="3">
        <f t="shared" si="142"/>
        <v>0.35007975071859976</v>
      </c>
      <c r="AB452" s="3">
        <f t="shared" si="145"/>
        <v>1.9425143692622653E-2</v>
      </c>
      <c r="AC452" s="3">
        <f t="shared" si="143"/>
        <v>4.8349443949316902E-2</v>
      </c>
      <c r="AD452" s="48"/>
      <c r="AE452" s="46">
        <f t="shared" si="138"/>
        <v>42.092149859047694</v>
      </c>
      <c r="AF452" s="46">
        <f t="shared" si="139"/>
        <v>-248.53988306298896</v>
      </c>
      <c r="AG452" s="47">
        <f t="shared" si="140"/>
        <v>19241.074857434796</v>
      </c>
      <c r="AH452" s="45" t="str">
        <f t="shared" si="144"/>
        <v>-248.53988,42.09215,19241</v>
      </c>
      <c r="AI452" s="44">
        <f t="shared" si="146"/>
        <v>1021.31455634017</v>
      </c>
    </row>
    <row r="453" spans="1:35" ht="18" customHeight="1" x14ac:dyDescent="0.25">
      <c r="A453" s="36">
        <f t="shared" si="141"/>
        <v>0.74471064814814814</v>
      </c>
      <c r="B453" s="42">
        <f t="shared" si="126"/>
        <v>42.092149848623585</v>
      </c>
      <c r="C453" s="43">
        <f t="shared" si="127"/>
        <v>111.46011764454147</v>
      </c>
      <c r="D453" s="18">
        <f t="shared" si="128"/>
        <v>19.192779503706333</v>
      </c>
      <c r="E453" s="21" t="str">
        <f t="shared" si="129"/>
        <v>Umbra</v>
      </c>
      <c r="F453" s="23">
        <f>IF($E453&lt;&gt;"Umbra",fracil2($S$2,$S$3,$S$4,$A453,$Q$2,$O$3,$Q$4,$U453,$V453,$W453),0)</f>
        <v>0</v>
      </c>
      <c r="G453" s="19">
        <f t="shared" si="130"/>
        <v>69.298855318685128</v>
      </c>
      <c r="H453" s="19">
        <f t="shared" si="131"/>
        <v>-3.8059070480609294</v>
      </c>
      <c r="I453" s="19">
        <f t="shared" si="132"/>
        <v>-2.5978890986660339</v>
      </c>
      <c r="J453" s="28">
        <f t="shared" si="133"/>
        <v>6.2584998679424356E-3</v>
      </c>
      <c r="K453" s="24">
        <f t="shared" si="134"/>
        <v>1049.5197298461774</v>
      </c>
      <c r="L453" s="32">
        <f t="shared" si="135"/>
        <v>0.55447180171246513</v>
      </c>
      <c r="M453" s="35">
        <f t="shared" si="136"/>
        <v>13.500163077488137</v>
      </c>
      <c r="O453" s="29">
        <f t="shared" si="137"/>
        <v>1046.5807188616582</v>
      </c>
      <c r="T453" s="48">
        <v>0.74471064814814814</v>
      </c>
      <c r="U453" s="29">
        <v>-1261.6258477023298</v>
      </c>
      <c r="V453" s="29">
        <v>4583.936674937534</v>
      </c>
      <c r="W453" s="29">
        <v>4266.0688322482374</v>
      </c>
      <c r="X453" s="4">
        <v>-0.32481245399443454</v>
      </c>
      <c r="Y453" s="4">
        <v>-0.12645449575681525</v>
      </c>
      <c r="Z453" s="4">
        <v>-3.2275958602164471E-2</v>
      </c>
      <c r="AA453" s="3">
        <f t="shared" si="142"/>
        <v>0.35005086383365158</v>
      </c>
      <c r="AB453" s="3">
        <f t="shared" si="145"/>
        <v>1.927532009914126E-2</v>
      </c>
      <c r="AC453" s="3">
        <f t="shared" si="143"/>
        <v>4.8160241146637084E-2</v>
      </c>
      <c r="AD453" s="48"/>
      <c r="AE453" s="46">
        <f t="shared" si="138"/>
        <v>42.092149848623585</v>
      </c>
      <c r="AF453" s="46">
        <f t="shared" si="139"/>
        <v>-248.53988235545853</v>
      </c>
      <c r="AG453" s="47">
        <f t="shared" si="140"/>
        <v>19192.779503706333</v>
      </c>
      <c r="AH453" s="45" t="str">
        <f t="shared" si="144"/>
        <v>-248.53988,42.09215,19193</v>
      </c>
      <c r="AI453" s="44">
        <f t="shared" si="146"/>
        <v>1021.31455634017</v>
      </c>
    </row>
    <row r="454" spans="1:35" ht="18" customHeight="1" x14ac:dyDescent="0.25">
      <c r="A454" s="36">
        <f t="shared" si="141"/>
        <v>0.74472222222222229</v>
      </c>
      <c r="B454" s="42">
        <f t="shared" ref="B454:B517" si="147">latitude($U454,$V454,$W454)</f>
        <v>42.092149838264348</v>
      </c>
      <c r="C454" s="43">
        <f t="shared" ref="C454:C517" si="148">longitude($S$2,$S$3,$S$4,$A454,$U454,$V454)</f>
        <v>111.4601190289473</v>
      </c>
      <c r="D454" s="18">
        <f t="shared" ref="D454:D517" si="149">altitude($U454,$V454,$W454)</f>
        <v>19.144712992485438</v>
      </c>
      <c r="E454" s="21" t="str">
        <f t="shared" ref="E454:E517" si="150">illum2($S$2,$S$3,$S$4,$A454,$U454,$V454,$W454)</f>
        <v>Umbra</v>
      </c>
      <c r="F454" s="23">
        <f>IF($E454&lt;&gt;"Umbra",fracil2($S$2,$S$3,$S$4,$A454,$Q$2,$O$3,$Q$4,$U454,$V454,$W454),0)</f>
        <v>0</v>
      </c>
      <c r="G454" s="19">
        <f t="shared" ref="G454:G517" si="151">azimuth($S$2,$S$3,$S$4,$A454,$Q$2,$O$3,$Q$4,$U454,$V454,$W454)</f>
        <v>69.298865324006087</v>
      </c>
      <c r="H454" s="19">
        <f t="shared" ref="H454:H517" si="152">elev($S$2,$S$3,$S$4,$A454,$Q$2,$O$3,$Q$4,$U454,$V454,$W454)</f>
        <v>-3.8085188593736734</v>
      </c>
      <c r="I454" s="19">
        <f t="shared" ref="I454:I517" si="153">elev($S$2,$S$3,$S$4,$A454,$Q$2,$O$3,$Q$4,$U454,$V454,$W454)+DEGREES(ACOS($Q$3/$Q$4))</f>
        <v>-2.6005009099787779</v>
      </c>
      <c r="J454" s="28">
        <f t="shared" ref="J454:J517" si="154">vang($S$2,$S$3,$S$4,$A454,$Q$2,$O$3,$Q$4,$U454,$V454,$W454,$X454,$Y454,$Z454)</f>
        <v>6.2493634702083956E-3</v>
      </c>
      <c r="K454" s="24">
        <f t="shared" ref="K454:K517" si="155">slant_rng($S$2,$S$3,$S$4,$A454,$Q$2,$O$3,$Q$4,$U454,$V454,$W454)</f>
        <v>1049.5150911283915</v>
      </c>
      <c r="L454" s="32">
        <f t="shared" ref="L454:L517" si="156">radec2("ra",$S$2,$S$3,$S$4,$A454,$Q$2,$O$3,$Q$4,$U454,$V454,$W454)/24</f>
        <v>0.55448895340644444</v>
      </c>
      <c r="M454" s="35">
        <f t="shared" ref="M454:M517" si="157">radec2("dec",$S$2,$S$3,$S$4,$A454,$Q$2,$O$3,$Q$4,$U454,$V454,$W454)</f>
        <v>13.49841093559281</v>
      </c>
      <c r="O454" s="29">
        <f t="shared" ref="O454:O517" si="158">DEGREES(ACOS(SIN(RADIANS($B454))*SIN(RADIANS($O$2))+COS(RADIANS($B454))*COS(RADIANS($O$2))*COS(RADIANS($C454-$O$3))))*111.2</f>
        <v>1046.5808299132909</v>
      </c>
      <c r="T454" s="48">
        <v>0.74472222222222229</v>
      </c>
      <c r="U454" s="29">
        <v>-1261.950753736784</v>
      </c>
      <c r="V454" s="29">
        <v>4583.8102446183184</v>
      </c>
      <c r="W454" s="29">
        <v>4266.0366112078436</v>
      </c>
      <c r="X454" s="4">
        <v>-0.32483745408264125</v>
      </c>
      <c r="Y454" s="4">
        <v>-0.12634325287128947</v>
      </c>
      <c r="Z454" s="4">
        <v>-3.2150225689952537E-2</v>
      </c>
      <c r="AA454" s="3">
        <f t="shared" si="142"/>
        <v>0.35002232233516989</v>
      </c>
      <c r="AB454" s="3">
        <f t="shared" si="145"/>
        <v>1.9123173004218872E-2</v>
      </c>
      <c r="AC454" s="3">
        <f t="shared" si="143"/>
        <v>4.7972719312156485E-2</v>
      </c>
      <c r="AD454" s="48"/>
      <c r="AE454" s="46">
        <f t="shared" ref="AE454:AE517" si="159">$B454</f>
        <v>42.092149838264348</v>
      </c>
      <c r="AF454" s="46">
        <f t="shared" ref="AF454:AF517" si="160">$C454-360</f>
        <v>-248.5398809710527</v>
      </c>
      <c r="AG454" s="47">
        <f t="shared" ref="AG454:AG517" si="161">$D454*1000</f>
        <v>19144.712992485438</v>
      </c>
      <c r="AH454" s="45" t="str">
        <f t="shared" si="144"/>
        <v>-248.53988,42.09215,19145</v>
      </c>
      <c r="AI454" s="44">
        <f t="shared" si="146"/>
        <v>1021.314651275468</v>
      </c>
    </row>
    <row r="455" spans="1:35" ht="18" customHeight="1" x14ac:dyDescent="0.25">
      <c r="A455" s="36">
        <f t="shared" ref="A455:A518" si="162">$T455+$S$5/86400</f>
        <v>0.74473378472222229</v>
      </c>
      <c r="B455" s="42">
        <f t="shared" si="147"/>
        <v>42.092149827976868</v>
      </c>
      <c r="C455" s="43">
        <f t="shared" si="148"/>
        <v>111.46011810471059</v>
      </c>
      <c r="D455" s="18">
        <f t="shared" si="149"/>
        <v>19.096907476558044</v>
      </c>
      <c r="E455" s="21" t="str">
        <f t="shared" si="150"/>
        <v>Umbra</v>
      </c>
      <c r="F455" s="23">
        <f>IF($E455&lt;&gt;"Umbra",fracil2($S$2,$S$3,$S$4,$A455,$Q$2,$O$3,$Q$4,$U455,$V455,$W455),0)</f>
        <v>0</v>
      </c>
      <c r="G455" s="19">
        <f t="shared" si="151"/>
        <v>69.298872932725118</v>
      </c>
      <c r="H455" s="19">
        <f t="shared" si="152"/>
        <v>-3.8111155161093158</v>
      </c>
      <c r="I455" s="19">
        <f t="shared" si="153"/>
        <v>-2.6030975667144203</v>
      </c>
      <c r="J455" s="28">
        <f t="shared" si="154"/>
        <v>6.2403176933248259E-3</v>
      </c>
      <c r="K455" s="24">
        <f t="shared" si="155"/>
        <v>1049.510294573251</v>
      </c>
      <c r="L455" s="32">
        <f t="shared" si="156"/>
        <v>0.55450606570423555</v>
      </c>
      <c r="M455" s="35">
        <f t="shared" si="157"/>
        <v>13.496670668353202</v>
      </c>
      <c r="O455" s="29">
        <f t="shared" si="158"/>
        <v>1046.5807553443231</v>
      </c>
      <c r="T455" s="48">
        <v>0.74473378472222229</v>
      </c>
      <c r="U455" s="29">
        <v>-1262.2751805193941</v>
      </c>
      <c r="V455" s="29">
        <v>4583.6841209177892</v>
      </c>
      <c r="W455" s="29">
        <v>4266.004565125063</v>
      </c>
      <c r="X455" s="4">
        <v>-0.3248621505446837</v>
      </c>
      <c r="Y455" s="4">
        <v>-0.12623326153294648</v>
      </c>
      <c r="Z455" s="4">
        <v>-3.2025691666008313E-2</v>
      </c>
      <c r="AA455" s="3">
        <f t="shared" ref="AA455:AA518" si="163">SQRT($X455*$X455+$Y455*$Y455+$Z455*$Z455)</f>
        <v>0.34999414009444252</v>
      </c>
      <c r="AB455" s="3">
        <f t="shared" si="145"/>
        <v>1.8959755846690088E-2</v>
      </c>
      <c r="AC455" s="3">
        <f t="shared" ref="AC455:AC518" si="164">vrel($S$2,$S$3,$S$4,$A455,$B455,$C455,$U455,$V455,$W455,$X455,$Y455,$Z455)</f>
        <v>4.7786985865689573E-2</v>
      </c>
      <c r="AD455" s="48"/>
      <c r="AE455" s="46">
        <f t="shared" si="159"/>
        <v>42.092149827976868</v>
      </c>
      <c r="AF455" s="46">
        <f t="shared" si="160"/>
        <v>-248.5398818952894</v>
      </c>
      <c r="AG455" s="47">
        <f t="shared" si="161"/>
        <v>19096.907476558044</v>
      </c>
      <c r="AH455" s="45" t="str">
        <f t="shared" ref="AH455:AH518" si="165">CONCATENATE(TEXT($AF455,"00.00000"),",",TEXT($AE455,"00.00000"),",",TEXT($AG455,"00000"))</f>
        <v>-248.53988,42.09215,19097</v>
      </c>
      <c r="AI455" s="44">
        <f t="shared" si="146"/>
        <v>1021.314651275468</v>
      </c>
    </row>
    <row r="456" spans="1:35" ht="18" customHeight="1" x14ac:dyDescent="0.25">
      <c r="A456" s="36">
        <f t="shared" si="162"/>
        <v>0.74474535879629633</v>
      </c>
      <c r="B456" s="42">
        <f t="shared" si="147"/>
        <v>42.092149817723659</v>
      </c>
      <c r="C456" s="43">
        <f t="shared" si="148"/>
        <v>111.46012149889783</v>
      </c>
      <c r="D456" s="18">
        <f t="shared" si="149"/>
        <v>19.049189950511391</v>
      </c>
      <c r="E456" s="21" t="str">
        <f t="shared" si="150"/>
        <v>Umbra</v>
      </c>
      <c r="F456" s="23">
        <f>IF($E456&lt;&gt;"Umbra",fracil2($S$2,$S$3,$S$4,$A456,$Q$2,$O$3,$Q$4,$U456,$V456,$W456),0)</f>
        <v>0</v>
      </c>
      <c r="G456" s="19">
        <f t="shared" si="151"/>
        <v>69.298884921452341</v>
      </c>
      <c r="H456" s="19">
        <f t="shared" si="152"/>
        <v>-3.8137092840540014</v>
      </c>
      <c r="I456" s="19">
        <f t="shared" si="153"/>
        <v>-2.605691334659106</v>
      </c>
      <c r="J456" s="28">
        <f t="shared" si="154"/>
        <v>6.2313283068222277E-3</v>
      </c>
      <c r="K456" s="24">
        <f t="shared" si="155"/>
        <v>1049.5058563922382</v>
      </c>
      <c r="L456" s="32">
        <f t="shared" si="156"/>
        <v>0.55452317505612791</v>
      </c>
      <c r="M456" s="35">
        <f t="shared" si="157"/>
        <v>13.494929051678366</v>
      </c>
      <c r="O456" s="29">
        <f t="shared" si="158"/>
        <v>1046.5810279916034</v>
      </c>
      <c r="T456" s="48">
        <v>0.74474535879629633</v>
      </c>
      <c r="U456" s="29">
        <v>-1262.6002926684403</v>
      </c>
      <c r="V456" s="29">
        <v>4583.5578499889671</v>
      </c>
      <c r="W456" s="29">
        <v>4265.9725780269473</v>
      </c>
      <c r="X456" s="4">
        <v>-0.32488663427158743</v>
      </c>
      <c r="Y456" s="4">
        <v>-0.12612411747317701</v>
      </c>
      <c r="Z456" s="4">
        <v>-3.1901900714775826E-2</v>
      </c>
      <c r="AA456" s="3">
        <f t="shared" si="163"/>
        <v>0.34996621180611615</v>
      </c>
      <c r="AB456" s="3">
        <f t="shared" ref="AB456:AB519" si="166">-($AC456-$AC455)/(($A456-$A455)*86400)*1000/9.806</f>
        <v>1.8827746077497078E-2</v>
      </c>
      <c r="AC456" s="3">
        <f t="shared" si="164"/>
        <v>4.7602360987654198E-2</v>
      </c>
      <c r="AD456" s="48"/>
      <c r="AE456" s="46">
        <f t="shared" si="159"/>
        <v>42.092149817723659</v>
      </c>
      <c r="AF456" s="46">
        <f t="shared" si="160"/>
        <v>-248.53987850110218</v>
      </c>
      <c r="AG456" s="47">
        <f t="shared" si="161"/>
        <v>19049.189950511391</v>
      </c>
      <c r="AH456" s="45" t="str">
        <f t="shared" si="165"/>
        <v>-248.53988,42.09215,19049</v>
      </c>
      <c r="AI456" s="44">
        <f t="shared" ref="AI456:AI519" si="167">IFERROR(ACOS(SIN(RADIANS($B455))*SIN(RADIANS($B456))+COS(RADIANS($B455))*COS(RADIANS($B456))*COS(RADIANS($C455-$C456)))*6371,0)+AI455</f>
        <v>1021.3149360813619</v>
      </c>
    </row>
    <row r="457" spans="1:35" ht="18" customHeight="1" x14ac:dyDescent="0.25">
      <c r="A457" s="36">
        <f t="shared" si="162"/>
        <v>0.744757037037037</v>
      </c>
      <c r="B457" s="42">
        <f t="shared" si="147"/>
        <v>42.092149807445765</v>
      </c>
      <c r="C457" s="43">
        <f t="shared" si="148"/>
        <v>111.46011990673851</v>
      </c>
      <c r="D457" s="18">
        <f t="shared" si="149"/>
        <v>19.001286408130909</v>
      </c>
      <c r="E457" s="21" t="str">
        <f t="shared" si="150"/>
        <v>Umbra</v>
      </c>
      <c r="F457" s="23">
        <f>IF($E457&lt;&gt;"Umbra",fracil2($S$2,$S$3,$S$4,$A457,$Q$2,$O$3,$Q$4,$U457,$V457,$W457),0)</f>
        <v>0</v>
      </c>
      <c r="G457" s="19">
        <f t="shared" si="151"/>
        <v>69.29889186790038</v>
      </c>
      <c r="H457" s="19">
        <f t="shared" si="152"/>
        <v>-3.8163110240694293</v>
      </c>
      <c r="I457" s="19">
        <f t="shared" si="153"/>
        <v>-2.6082930746745339</v>
      </c>
      <c r="J457" s="28">
        <f t="shared" si="154"/>
        <v>6.2223451086602377E-3</v>
      </c>
      <c r="K457" s="24">
        <f t="shared" si="155"/>
        <v>1049.501000722654</v>
      </c>
      <c r="L457" s="32">
        <f t="shared" si="156"/>
        <v>0.55454041537997179</v>
      </c>
      <c r="M457" s="35">
        <f t="shared" si="157"/>
        <v>13.493185824518486</v>
      </c>
      <c r="O457" s="29">
        <f t="shared" si="158"/>
        <v>1046.58089971971</v>
      </c>
      <c r="T457" s="48">
        <v>0.744757037037037</v>
      </c>
      <c r="U457" s="29">
        <v>-1262.9279656163906</v>
      </c>
      <c r="V457" s="29">
        <v>4583.4307040080448</v>
      </c>
      <c r="W457" s="29">
        <v>4265.9404662354063</v>
      </c>
      <c r="X457" s="4">
        <v>-0.32491104586954778</v>
      </c>
      <c r="Y457" s="4">
        <v>-0.12601519371478417</v>
      </c>
      <c r="Z457" s="4">
        <v>-3.1778141189854753E-2</v>
      </c>
      <c r="AA457" s="3">
        <f t="shared" si="163"/>
        <v>0.3499383760499844</v>
      </c>
      <c r="AB457" s="3">
        <f t="shared" si="166"/>
        <v>1.8655037133857071E-2</v>
      </c>
      <c r="AC457" s="3">
        <f t="shared" si="164"/>
        <v>4.7417783311873588E-2</v>
      </c>
      <c r="AD457" s="48"/>
      <c r="AE457" s="46">
        <f t="shared" si="159"/>
        <v>42.092149807445765</v>
      </c>
      <c r="AF457" s="46">
        <f t="shared" si="160"/>
        <v>-248.5398800932615</v>
      </c>
      <c r="AG457" s="47">
        <f t="shared" si="161"/>
        <v>19001.286408130909</v>
      </c>
      <c r="AH457" s="45" t="str">
        <f t="shared" si="165"/>
        <v>-248.53988,42.09215,19001</v>
      </c>
      <c r="AI457" s="44">
        <f t="shared" si="167"/>
        <v>1021.3149360813619</v>
      </c>
    </row>
    <row r="458" spans="1:35" ht="18" customHeight="1" x14ac:dyDescent="0.25">
      <c r="A458" s="36">
        <f t="shared" si="162"/>
        <v>0.74476850694444441</v>
      </c>
      <c r="B458" s="42">
        <f t="shared" si="147"/>
        <v>42.09214979740181</v>
      </c>
      <c r="C458" s="43">
        <f t="shared" si="148"/>
        <v>111.46011952189014</v>
      </c>
      <c r="D458" s="18">
        <f t="shared" si="149"/>
        <v>18.954404611785321</v>
      </c>
      <c r="E458" s="21" t="str">
        <f t="shared" si="150"/>
        <v>Umbra</v>
      </c>
      <c r="F458" s="23">
        <f>IF($E458&lt;&gt;"Umbra",fracil2($S$2,$S$3,$S$4,$A458,$Q$2,$O$3,$Q$4,$U458,$V458,$W458),0)</f>
        <v>0</v>
      </c>
      <c r="G458" s="19">
        <f t="shared" si="151"/>
        <v>69.298899860572376</v>
      </c>
      <c r="H458" s="19">
        <f t="shared" si="152"/>
        <v>-3.8188578012544867</v>
      </c>
      <c r="I458" s="19">
        <f t="shared" si="153"/>
        <v>-2.6108398518595912</v>
      </c>
      <c r="J458" s="28">
        <f t="shared" si="154"/>
        <v>6.213592378232248E-3</v>
      </c>
      <c r="K458" s="24">
        <f t="shared" si="155"/>
        <v>1049.4963451449337</v>
      </c>
      <c r="L458" s="32">
        <f t="shared" si="156"/>
        <v>0.55455732764452004</v>
      </c>
      <c r="M458" s="35">
        <f t="shared" si="157"/>
        <v>13.49147851101619</v>
      </c>
      <c r="O458" s="29">
        <f t="shared" si="158"/>
        <v>1046.5808685254135</v>
      </c>
      <c r="T458" s="48">
        <v>0.74476850694444441</v>
      </c>
      <c r="U458" s="29">
        <v>-1263.2499087706885</v>
      </c>
      <c r="V458" s="29">
        <v>4583.3058970566244</v>
      </c>
      <c r="W458" s="29">
        <v>4265.9090393651259</v>
      </c>
      <c r="X458" s="4">
        <v>-0.32493477465991999</v>
      </c>
      <c r="Y458" s="4">
        <v>-0.12590921780571754</v>
      </c>
      <c r="Z458" s="4">
        <v>-3.1657517939180278E-2</v>
      </c>
      <c r="AA458" s="3">
        <f t="shared" si="163"/>
        <v>0.3499113278443699</v>
      </c>
      <c r="AB458" s="3">
        <f t="shared" si="166"/>
        <v>1.8512507316873129E-2</v>
      </c>
      <c r="AC458" s="3">
        <f t="shared" si="164"/>
        <v>4.7237883467944983E-2</v>
      </c>
      <c r="AD458" s="48"/>
      <c r="AE458" s="46">
        <f t="shared" si="159"/>
        <v>42.09214979740181</v>
      </c>
      <c r="AF458" s="46">
        <f t="shared" si="160"/>
        <v>-248.53988047810986</v>
      </c>
      <c r="AG458" s="47">
        <f t="shared" si="161"/>
        <v>18954.404611785321</v>
      </c>
      <c r="AH458" s="45" t="str">
        <f t="shared" si="165"/>
        <v>-248.53988,42.09215,18954</v>
      </c>
      <c r="AI458" s="44">
        <f t="shared" si="167"/>
        <v>1021.3149360813619</v>
      </c>
    </row>
    <row r="459" spans="1:35" ht="18" customHeight="1" x14ac:dyDescent="0.25">
      <c r="A459" s="36">
        <f t="shared" si="162"/>
        <v>0.74478013888888883</v>
      </c>
      <c r="B459" s="42">
        <f t="shared" si="147"/>
        <v>42.092149787269747</v>
      </c>
      <c r="C459" s="43">
        <f t="shared" si="148"/>
        <v>111.46011919543082</v>
      </c>
      <c r="D459" s="18">
        <f t="shared" si="149"/>
        <v>18.907041132335507</v>
      </c>
      <c r="E459" s="21" t="str">
        <f t="shared" si="150"/>
        <v>Umbra</v>
      </c>
      <c r="F459" s="23">
        <f>IF($E459&lt;&gt;"Umbra",fracil2($S$2,$S$3,$S$4,$A459,$Q$2,$O$3,$Q$4,$U459,$V459,$W459),0)</f>
        <v>0</v>
      </c>
      <c r="G459" s="19">
        <f t="shared" si="151"/>
        <v>69.298907998858567</v>
      </c>
      <c r="H459" s="19">
        <f t="shared" si="152"/>
        <v>-3.8214307949584656</v>
      </c>
      <c r="I459" s="19">
        <f t="shared" si="153"/>
        <v>-2.6134128455635706</v>
      </c>
      <c r="J459" s="28">
        <f t="shared" si="154"/>
        <v>6.2047885478656193E-3</v>
      </c>
      <c r="K459" s="24">
        <f t="shared" si="155"/>
        <v>1049.4916488574925</v>
      </c>
      <c r="L459" s="32">
        <f t="shared" si="156"/>
        <v>0.55457445790991666</v>
      </c>
      <c r="M459" s="35">
        <f t="shared" si="157"/>
        <v>13.489753548085149</v>
      </c>
      <c r="O459" s="29">
        <f t="shared" si="158"/>
        <v>1046.5808420235824</v>
      </c>
      <c r="T459" s="48">
        <v>0.74478013888888883</v>
      </c>
      <c r="U459" s="29">
        <v>-1263.5764291046494</v>
      </c>
      <c r="V459" s="29">
        <v>4583.1794316657333</v>
      </c>
      <c r="W459" s="29">
        <v>4265.8772896033488</v>
      </c>
      <c r="X459" s="4">
        <v>-0.32495858569200287</v>
      </c>
      <c r="Y459" s="4">
        <v>-0.12580277543745882</v>
      </c>
      <c r="Z459" s="4">
        <v>-3.153614917172911E-2</v>
      </c>
      <c r="AA459" s="3">
        <f t="shared" si="163"/>
        <v>0.34988419430905421</v>
      </c>
      <c r="AB459" s="3">
        <f t="shared" si="166"/>
        <v>1.8367411963278808E-2</v>
      </c>
      <c r="AC459" s="3">
        <f t="shared" si="164"/>
        <v>4.7056872072024837E-2</v>
      </c>
      <c r="AD459" s="48"/>
      <c r="AE459" s="46">
        <f t="shared" si="159"/>
        <v>42.092149787269747</v>
      </c>
      <c r="AF459" s="46">
        <f t="shared" si="160"/>
        <v>-248.53988080456918</v>
      </c>
      <c r="AG459" s="47">
        <f t="shared" si="161"/>
        <v>18907.041132335507</v>
      </c>
      <c r="AH459" s="45" t="str">
        <f t="shared" si="165"/>
        <v>-248.53988,42.09215,18907</v>
      </c>
      <c r="AI459" s="44">
        <f t="shared" si="167"/>
        <v>1021.3149360813619</v>
      </c>
    </row>
    <row r="460" spans="1:35" ht="18" customHeight="1" x14ac:dyDescent="0.25">
      <c r="A460" s="36">
        <f t="shared" si="162"/>
        <v>0.74479179398148154</v>
      </c>
      <c r="B460" s="42">
        <f t="shared" si="147"/>
        <v>42.092149777165382</v>
      </c>
      <c r="C460" s="43">
        <f t="shared" si="148"/>
        <v>111.46012130492089</v>
      </c>
      <c r="D460" s="18">
        <f t="shared" si="149"/>
        <v>18.859737791353837</v>
      </c>
      <c r="E460" s="21" t="str">
        <f t="shared" si="150"/>
        <v>Umbra</v>
      </c>
      <c r="F460" s="23">
        <f>IF($E460&lt;&gt;"Umbra",fracil2($S$2,$S$3,$S$4,$A460,$Q$2,$O$3,$Q$4,$U460,$V460,$W460),0)</f>
        <v>0</v>
      </c>
      <c r="G460" s="19">
        <f t="shared" si="151"/>
        <v>69.298918605964332</v>
      </c>
      <c r="H460" s="19">
        <f t="shared" si="152"/>
        <v>-3.8240015960401919</v>
      </c>
      <c r="I460" s="19">
        <f t="shared" si="153"/>
        <v>-2.6159836466452964</v>
      </c>
      <c r="J460" s="28">
        <f t="shared" si="154"/>
        <v>6.1960344494264756E-3</v>
      </c>
      <c r="K460" s="24">
        <f t="shared" si="155"/>
        <v>1049.48715664715</v>
      </c>
      <c r="L460" s="32">
        <f t="shared" si="156"/>
        <v>0.55459160195717383</v>
      </c>
      <c r="M460" s="35">
        <f t="shared" si="157"/>
        <v>13.488028189900721</v>
      </c>
      <c r="O460" s="29">
        <f t="shared" si="158"/>
        <v>1046.5810113807449</v>
      </c>
      <c r="T460" s="48">
        <v>0.74479179398148154</v>
      </c>
      <c r="U460" s="29">
        <v>-1263.9038128042459</v>
      </c>
      <c r="V460" s="29">
        <v>4583.0527479853245</v>
      </c>
      <c r="W460" s="29">
        <v>4265.845580156194</v>
      </c>
      <c r="X460" s="4">
        <v>-0.32498220427295138</v>
      </c>
      <c r="Y460" s="4">
        <v>-0.12569709282443853</v>
      </c>
      <c r="Z460" s="4">
        <v>-3.1415429827804812E-2</v>
      </c>
      <c r="AA460" s="3">
        <f t="shared" si="163"/>
        <v>0.34985728728995708</v>
      </c>
      <c r="AB460" s="3">
        <f t="shared" si="166"/>
        <v>1.8232813561487139E-2</v>
      </c>
      <c r="AC460" s="3">
        <f t="shared" si="164"/>
        <v>4.6876829565450584E-2</v>
      </c>
      <c r="AD460" s="48"/>
      <c r="AE460" s="46">
        <f t="shared" si="159"/>
        <v>42.092149777165382</v>
      </c>
      <c r="AF460" s="46">
        <f t="shared" si="160"/>
        <v>-248.5398786950791</v>
      </c>
      <c r="AG460" s="47">
        <f t="shared" si="161"/>
        <v>18859.737791353837</v>
      </c>
      <c r="AH460" s="45" t="str">
        <f t="shared" si="165"/>
        <v>-248.53988,42.09215,18860</v>
      </c>
      <c r="AI460" s="44">
        <f t="shared" si="167"/>
        <v>1021.3151259519578</v>
      </c>
    </row>
    <row r="461" spans="1:35" ht="18" customHeight="1" x14ac:dyDescent="0.25">
      <c r="A461" s="36">
        <f t="shared" si="162"/>
        <v>0.74480329861111105</v>
      </c>
      <c r="B461" s="42">
        <f t="shared" si="147"/>
        <v>42.092149767249367</v>
      </c>
      <c r="C461" s="43">
        <f t="shared" si="148"/>
        <v>111.460121089821</v>
      </c>
      <c r="D461" s="18">
        <f t="shared" si="149"/>
        <v>18.813247986612623</v>
      </c>
      <c r="E461" s="21" t="str">
        <f t="shared" si="150"/>
        <v>Umbra</v>
      </c>
      <c r="F461" s="23">
        <f>IF($E461&lt;&gt;"Umbra",fracil2($S$2,$S$3,$S$4,$A461,$Q$2,$O$3,$Q$4,$U461,$V461,$W461),0)</f>
        <v>0</v>
      </c>
      <c r="G461" s="19">
        <f t="shared" si="151"/>
        <v>69.298926701423397</v>
      </c>
      <c r="H461" s="19">
        <f t="shared" si="152"/>
        <v>-3.8265272178034153</v>
      </c>
      <c r="I461" s="19">
        <f t="shared" si="153"/>
        <v>-2.6185092684085198</v>
      </c>
      <c r="J461" s="28">
        <f t="shared" si="154"/>
        <v>6.1874691730100457E-3</v>
      </c>
      <c r="K461" s="24">
        <f t="shared" si="155"/>
        <v>1049.482559599358</v>
      </c>
      <c r="L461" s="32">
        <f t="shared" si="156"/>
        <v>0.55460850359423508</v>
      </c>
      <c r="M461" s="35">
        <f t="shared" si="157"/>
        <v>13.486334852430803</v>
      </c>
      <c r="O461" s="29">
        <f t="shared" si="158"/>
        <v>1046.5809938379768</v>
      </c>
      <c r="T461" s="48">
        <v>0.74480329861111105</v>
      </c>
      <c r="U461" s="29">
        <v>-1264.2268148060552</v>
      </c>
      <c r="V461" s="29">
        <v>4582.9278726367265</v>
      </c>
      <c r="W461" s="29">
        <v>4265.8144160583024</v>
      </c>
      <c r="X461" s="4">
        <v>-0.325005258472571</v>
      </c>
      <c r="Y461" s="4">
        <v>-0.12559383650608044</v>
      </c>
      <c r="Z461" s="4">
        <v>-3.1297269177978516E-2</v>
      </c>
      <c r="AA461" s="3">
        <f t="shared" si="163"/>
        <v>0.3498310290142051</v>
      </c>
      <c r="AB461" s="3">
        <f t="shared" si="166"/>
        <v>1.807973209930944E-2</v>
      </c>
      <c r="AC461" s="3">
        <f t="shared" si="164"/>
        <v>4.6700603451604372E-2</v>
      </c>
      <c r="AD461" s="48"/>
      <c r="AE461" s="46">
        <f t="shared" si="159"/>
        <v>42.092149767249367</v>
      </c>
      <c r="AF461" s="46">
        <f t="shared" si="160"/>
        <v>-248.539878910179</v>
      </c>
      <c r="AG461" s="47">
        <f t="shared" si="161"/>
        <v>18813.247986612623</v>
      </c>
      <c r="AH461" s="45" t="str">
        <f t="shared" si="165"/>
        <v>-248.53988,42.09215,18813</v>
      </c>
      <c r="AI461" s="44">
        <f t="shared" si="167"/>
        <v>1021.3151259519578</v>
      </c>
    </row>
    <row r="462" spans="1:35" ht="18" customHeight="1" x14ac:dyDescent="0.25">
      <c r="A462" s="36">
        <f t="shared" si="162"/>
        <v>0.74481493055555559</v>
      </c>
      <c r="B462" s="42">
        <f t="shared" si="147"/>
        <v>42.092149757273965</v>
      </c>
      <c r="C462" s="43">
        <f t="shared" si="148"/>
        <v>111.46012165447586</v>
      </c>
      <c r="D462" s="18">
        <f t="shared" si="149"/>
        <v>18.766412385448348</v>
      </c>
      <c r="E462" s="21" t="str">
        <f t="shared" si="150"/>
        <v>Umbra</v>
      </c>
      <c r="F462" s="23">
        <f>IF($E462&lt;&gt;"Umbra",fracil2($S$2,$S$3,$S$4,$A462,$Q$2,$O$3,$Q$4,$U462,$V462,$W462),0)</f>
        <v>0</v>
      </c>
      <c r="G462" s="19">
        <f t="shared" si="151"/>
        <v>69.298935652469169</v>
      </c>
      <c r="H462" s="19">
        <f t="shared" si="152"/>
        <v>-3.8290719847920411</v>
      </c>
      <c r="I462" s="19">
        <f t="shared" si="153"/>
        <v>-2.6210540353971457</v>
      </c>
      <c r="J462" s="28">
        <f t="shared" si="154"/>
        <v>6.1788776140016839E-3</v>
      </c>
      <c r="K462" s="24">
        <f t="shared" si="155"/>
        <v>1049.4779933004422</v>
      </c>
      <c r="L462" s="32">
        <f t="shared" si="156"/>
        <v>0.55462557199773799</v>
      </c>
      <c r="M462" s="35">
        <f t="shared" si="157"/>
        <v>13.484628062352039</v>
      </c>
      <c r="O462" s="29">
        <f t="shared" si="158"/>
        <v>1046.5810389885601</v>
      </c>
      <c r="T462" s="48">
        <v>0.74481493055555559</v>
      </c>
      <c r="U462" s="29">
        <v>-1264.5534754762025</v>
      </c>
      <c r="V462" s="29">
        <v>4582.8016956385509</v>
      </c>
      <c r="W462" s="29">
        <v>4265.783020159527</v>
      </c>
      <c r="X462" s="4">
        <v>-0.32502832714979968</v>
      </c>
      <c r="Y462" s="4">
        <v>-0.12549041639676267</v>
      </c>
      <c r="Z462" s="4">
        <v>-3.117870745546826E-2</v>
      </c>
      <c r="AA462" s="3">
        <f t="shared" si="163"/>
        <v>0.34980475962431351</v>
      </c>
      <c r="AB462" s="3">
        <f t="shared" si="166"/>
        <v>1.7942508082048905E-2</v>
      </c>
      <c r="AC462" s="3">
        <f t="shared" si="164"/>
        <v>4.6523779496179168E-2</v>
      </c>
      <c r="AD462" s="48"/>
      <c r="AE462" s="46">
        <f t="shared" si="159"/>
        <v>42.092149757273965</v>
      </c>
      <c r="AF462" s="46">
        <f t="shared" si="160"/>
        <v>-248.53987834552413</v>
      </c>
      <c r="AG462" s="47">
        <f t="shared" si="161"/>
        <v>18766.412385448348</v>
      </c>
      <c r="AH462" s="45" t="str">
        <f t="shared" si="165"/>
        <v>-248.53988,42.09215,18766</v>
      </c>
      <c r="AI462" s="44">
        <f t="shared" si="167"/>
        <v>1021.3151259519578</v>
      </c>
    </row>
    <row r="463" spans="1:35" ht="18" customHeight="1" x14ac:dyDescent="0.25">
      <c r="A463" s="36">
        <f t="shared" si="162"/>
        <v>0.74482646990740742</v>
      </c>
      <c r="B463" s="42">
        <f t="shared" si="147"/>
        <v>42.092149747425182</v>
      </c>
      <c r="C463" s="43">
        <f t="shared" si="148"/>
        <v>111.46012407707734</v>
      </c>
      <c r="D463" s="18">
        <f t="shared" si="149"/>
        <v>18.720103883996671</v>
      </c>
      <c r="E463" s="21" t="str">
        <f t="shared" si="150"/>
        <v>Umbra</v>
      </c>
      <c r="F463" s="23">
        <f>IF($E463&lt;&gt;"Umbra",fracil2($S$2,$S$3,$S$4,$A463,$Q$2,$O$3,$Q$4,$U463,$V463,$W463),0)</f>
        <v>0</v>
      </c>
      <c r="G463" s="19">
        <f t="shared" si="151"/>
        <v>69.298946400468353</v>
      </c>
      <c r="H463" s="19">
        <f t="shared" si="152"/>
        <v>-3.8315889377930845</v>
      </c>
      <c r="I463" s="19">
        <f t="shared" si="153"/>
        <v>-2.623570988398189</v>
      </c>
      <c r="J463" s="28">
        <f t="shared" si="154"/>
        <v>6.1704195844602284E-3</v>
      </c>
      <c r="K463" s="24">
        <f t="shared" si="155"/>
        <v>1049.4736304562743</v>
      </c>
      <c r="L463" s="32">
        <f t="shared" si="156"/>
        <v>0.55464248482009837</v>
      </c>
      <c r="M463" s="35">
        <f t="shared" si="157"/>
        <v>13.482938494252615</v>
      </c>
      <c r="O463" s="29">
        <f t="shared" si="158"/>
        <v>1046.5812335272949</v>
      </c>
      <c r="T463" s="48">
        <v>0.74482646990740742</v>
      </c>
      <c r="U463" s="29">
        <v>-1264.8777037199332</v>
      </c>
      <c r="V463" s="29">
        <v>4582.6765692863428</v>
      </c>
      <c r="W463" s="29">
        <v>4265.7519775993442</v>
      </c>
      <c r="X463" s="4">
        <v>-0.32505098073965277</v>
      </c>
      <c r="Y463" s="4">
        <v>-0.12538875814562767</v>
      </c>
      <c r="Z463" s="4">
        <v>-3.1061952856579891E-2</v>
      </c>
      <c r="AA463" s="3">
        <f t="shared" si="163"/>
        <v>0.34977896686961785</v>
      </c>
      <c r="AB463" s="3">
        <f t="shared" si="166"/>
        <v>1.7810772356456117E-2</v>
      </c>
      <c r="AC463" s="3">
        <f t="shared" si="164"/>
        <v>4.6349651019753267E-2</v>
      </c>
      <c r="AD463" s="48"/>
      <c r="AE463" s="46">
        <f t="shared" si="159"/>
        <v>42.092149747425182</v>
      </c>
      <c r="AF463" s="46">
        <f t="shared" si="160"/>
        <v>-248.53987592292265</v>
      </c>
      <c r="AG463" s="47">
        <f t="shared" si="161"/>
        <v>18720.103883996671</v>
      </c>
      <c r="AH463" s="45" t="str">
        <f t="shared" si="165"/>
        <v>-248.53988,42.09215,18720</v>
      </c>
      <c r="AI463" s="44">
        <f t="shared" si="167"/>
        <v>1021.3153158225538</v>
      </c>
    </row>
    <row r="464" spans="1:35" ht="18" customHeight="1" x14ac:dyDescent="0.25">
      <c r="A464" s="36">
        <f t="shared" si="162"/>
        <v>0.74483797453703693</v>
      </c>
      <c r="B464" s="42">
        <f t="shared" si="147"/>
        <v>42.092149737670809</v>
      </c>
      <c r="C464" s="43">
        <f t="shared" si="148"/>
        <v>111.46012054483722</v>
      </c>
      <c r="D464" s="18">
        <f t="shared" si="149"/>
        <v>18.674172695990819</v>
      </c>
      <c r="E464" s="21" t="str">
        <f t="shared" si="150"/>
        <v>Umbra</v>
      </c>
      <c r="F464" s="23">
        <f>IF($E464&lt;&gt;"Umbra",fracil2($S$2,$S$3,$S$4,$A464,$Q$2,$O$3,$Q$4,$U464,$V464,$W464),0)</f>
        <v>0</v>
      </c>
      <c r="G464" s="19">
        <f t="shared" si="151"/>
        <v>69.298951019639105</v>
      </c>
      <c r="H464" s="19">
        <f t="shared" si="152"/>
        <v>-3.8340828462891738</v>
      </c>
      <c r="I464" s="19">
        <f t="shared" si="153"/>
        <v>-2.6260648968942784</v>
      </c>
      <c r="J464" s="28">
        <f t="shared" si="154"/>
        <v>6.1620677170632059E-3</v>
      </c>
      <c r="K464" s="24">
        <f t="shared" si="155"/>
        <v>1049.4688275331496</v>
      </c>
      <c r="L464" s="32">
        <f t="shared" si="156"/>
        <v>0.55465932533651829</v>
      </c>
      <c r="M464" s="35">
        <f t="shared" si="157"/>
        <v>13.481268845358329</v>
      </c>
      <c r="O464" s="29">
        <f t="shared" si="158"/>
        <v>1046.5809492796536</v>
      </c>
      <c r="T464" s="48">
        <v>0.74483797453703693</v>
      </c>
      <c r="U464" s="29">
        <v>-1265.2005161975578</v>
      </c>
      <c r="V464" s="29">
        <v>4582.5520981756426</v>
      </c>
      <c r="W464" s="29">
        <v>4265.7211879696133</v>
      </c>
      <c r="X464" s="4">
        <v>-0.3250732973492908</v>
      </c>
      <c r="Y464" s="4">
        <v>-0.12528851413894104</v>
      </c>
      <c r="Z464" s="4">
        <v>-3.0946612398010224E-2</v>
      </c>
      <c r="AA464" s="3">
        <f t="shared" si="163"/>
        <v>0.34975356073040448</v>
      </c>
      <c r="AB464" s="3">
        <f t="shared" si="166"/>
        <v>1.7648118419423861E-2</v>
      </c>
      <c r="AC464" s="3">
        <f t="shared" si="164"/>
        <v>4.61776319152295E-2</v>
      </c>
      <c r="AD464" s="48"/>
      <c r="AE464" s="46">
        <f t="shared" si="159"/>
        <v>42.092149737670809</v>
      </c>
      <c r="AF464" s="46">
        <f t="shared" si="160"/>
        <v>-248.53987945516278</v>
      </c>
      <c r="AG464" s="47">
        <f t="shared" si="161"/>
        <v>18674.172695990819</v>
      </c>
      <c r="AH464" s="45" t="str">
        <f t="shared" si="165"/>
        <v>-248.53988,42.09215,18674</v>
      </c>
      <c r="AI464" s="44">
        <f t="shared" si="167"/>
        <v>1021.3156006284477</v>
      </c>
    </row>
    <row r="465" spans="1:35" ht="18" customHeight="1" x14ac:dyDescent="0.25">
      <c r="A465" s="36">
        <f t="shared" si="162"/>
        <v>0.74484959490740732</v>
      </c>
      <c r="B465" s="42">
        <f t="shared" si="147"/>
        <v>42.092149727858214</v>
      </c>
      <c r="C465" s="43">
        <f t="shared" si="148"/>
        <v>111.46012149103611</v>
      </c>
      <c r="D465" s="18">
        <f t="shared" si="149"/>
        <v>18.627902498477852</v>
      </c>
      <c r="E465" s="21" t="str">
        <f t="shared" si="150"/>
        <v>Umbra</v>
      </c>
      <c r="F465" s="23">
        <f>IF($E465&lt;&gt;"Umbra",fracil2($S$2,$S$3,$S$4,$A465,$Q$2,$O$3,$Q$4,$U465,$V465,$W465),0)</f>
        <v>0</v>
      </c>
      <c r="G465" s="19">
        <f t="shared" si="151"/>
        <v>69.298960258041859</v>
      </c>
      <c r="H465" s="19">
        <f t="shared" si="152"/>
        <v>-3.8365971251059947</v>
      </c>
      <c r="I465" s="19">
        <f t="shared" si="153"/>
        <v>-2.6285791757110992</v>
      </c>
      <c r="J465" s="28">
        <f t="shared" si="154"/>
        <v>6.1536898230662813E-3</v>
      </c>
      <c r="K465" s="24">
        <f t="shared" si="155"/>
        <v>1049.4643536728479</v>
      </c>
      <c r="L465" s="32">
        <f t="shared" si="156"/>
        <v>0.55467631646148507</v>
      </c>
      <c r="M465" s="35">
        <f t="shared" si="157"/>
        <v>13.479582131677402</v>
      </c>
      <c r="O465" s="29">
        <f t="shared" si="158"/>
        <v>1046.5810251116925</v>
      </c>
      <c r="T465" s="48">
        <v>0.74484959490740732</v>
      </c>
      <c r="U465" s="29">
        <v>-1265.5269500508487</v>
      </c>
      <c r="V465" s="29">
        <v>4582.4263401036333</v>
      </c>
      <c r="W465" s="29">
        <v>4265.690171088535</v>
      </c>
      <c r="X465" s="4">
        <v>-0.32509562606923209</v>
      </c>
      <c r="Y465" s="4">
        <v>-0.12518811688684275</v>
      </c>
      <c r="Z465" s="4">
        <v>-3.0830883243479913E-2</v>
      </c>
      <c r="AA465" s="3">
        <f t="shared" si="163"/>
        <v>0.34972814307772382</v>
      </c>
      <c r="AB465" s="3">
        <f t="shared" si="166"/>
        <v>1.7531189601582162E-2</v>
      </c>
      <c r="AC465" s="3">
        <f t="shared" si="164"/>
        <v>4.6005033426615147E-2</v>
      </c>
      <c r="AD465" s="48"/>
      <c r="AE465" s="46">
        <f t="shared" si="159"/>
        <v>42.092149727858214</v>
      </c>
      <c r="AF465" s="46">
        <f t="shared" si="160"/>
        <v>-248.53987850896391</v>
      </c>
      <c r="AG465" s="47">
        <f t="shared" si="161"/>
        <v>18627.902498477852</v>
      </c>
      <c r="AH465" s="45" t="str">
        <f t="shared" si="165"/>
        <v>-248.53988,42.09215,18628</v>
      </c>
      <c r="AI465" s="44">
        <f t="shared" si="167"/>
        <v>1021.3156006284477</v>
      </c>
    </row>
    <row r="466" spans="1:35" ht="18" customHeight="1" x14ac:dyDescent="0.25">
      <c r="A466" s="36">
        <f t="shared" si="162"/>
        <v>0.74486118055555561</v>
      </c>
      <c r="B466" s="42">
        <f t="shared" si="147"/>
        <v>42.092149718123927</v>
      </c>
      <c r="C466" s="43">
        <f t="shared" si="148"/>
        <v>111.46012316328597</v>
      </c>
      <c r="D466" s="18">
        <f t="shared" si="149"/>
        <v>18.581934457350144</v>
      </c>
      <c r="E466" s="21" t="str">
        <f t="shared" si="150"/>
        <v>Umbra</v>
      </c>
      <c r="F466" s="23">
        <f>IF($E466&lt;&gt;"Umbra",fracil2($S$2,$S$3,$S$4,$A466,$Q$2,$O$3,$Q$4,$U466,$V466,$W466),0)</f>
        <v>0</v>
      </c>
      <c r="G466" s="19">
        <f t="shared" si="151"/>
        <v>69.298970181477173</v>
      </c>
      <c r="H466" s="19">
        <f t="shared" si="152"/>
        <v>-3.8390953214883692</v>
      </c>
      <c r="I466" s="19">
        <f t="shared" si="153"/>
        <v>-2.6310773720934737</v>
      </c>
      <c r="J466" s="28">
        <f t="shared" si="154"/>
        <v>6.1454023463161211E-3</v>
      </c>
      <c r="K466" s="24">
        <f t="shared" si="155"/>
        <v>1049.4599699540333</v>
      </c>
      <c r="L466" s="32">
        <f t="shared" si="156"/>
        <v>0.55469323714661944</v>
      </c>
      <c r="M466" s="35">
        <f t="shared" si="157"/>
        <v>13.477905628378229</v>
      </c>
      <c r="O466" s="29">
        <f t="shared" si="158"/>
        <v>1046.5811593225724</v>
      </c>
      <c r="T466" s="48">
        <v>0.74486118055555561</v>
      </c>
      <c r="U466" s="29">
        <v>-1265.8524875998444</v>
      </c>
      <c r="V466" s="29">
        <v>4582.3010357982321</v>
      </c>
      <c r="W466" s="29">
        <v>4265.6593567569216</v>
      </c>
      <c r="X466" s="4">
        <v>-0.32511765816508209</v>
      </c>
      <c r="Y466" s="4">
        <v>-0.12508895491247365</v>
      </c>
      <c r="Z466" s="4">
        <v>-3.0716366158360545E-2</v>
      </c>
      <c r="AA466" s="3">
        <f t="shared" si="163"/>
        <v>0.34970306467318313</v>
      </c>
      <c r="AB466" s="3">
        <f t="shared" si="166"/>
        <v>1.7399538117689382E-2</v>
      </c>
      <c r="AC466" s="3">
        <f t="shared" si="164"/>
        <v>4.5834242935960161E-2</v>
      </c>
      <c r="AD466" s="48"/>
      <c r="AE466" s="46">
        <f t="shared" si="159"/>
        <v>42.092149718123927</v>
      </c>
      <c r="AF466" s="46">
        <f t="shared" si="160"/>
        <v>-248.53987683671403</v>
      </c>
      <c r="AG466" s="47">
        <f t="shared" si="161"/>
        <v>18581.934457350144</v>
      </c>
      <c r="AH466" s="45" t="str">
        <f t="shared" si="165"/>
        <v>-248.53988,42.09215,18582</v>
      </c>
      <c r="AI466" s="44">
        <f t="shared" si="167"/>
        <v>1021.3157348872327</v>
      </c>
    </row>
    <row r="467" spans="1:35" ht="18" customHeight="1" x14ac:dyDescent="0.25">
      <c r="A467" s="36">
        <f t="shared" si="162"/>
        <v>0.74487280092592589</v>
      </c>
      <c r="B467" s="42">
        <f t="shared" si="147"/>
        <v>42.09214970841856</v>
      </c>
      <c r="C467" s="43">
        <f t="shared" si="148"/>
        <v>111.46012141764209</v>
      </c>
      <c r="D467" s="18">
        <f t="shared" si="149"/>
        <v>18.536037190748175</v>
      </c>
      <c r="E467" s="21" t="str">
        <f t="shared" si="150"/>
        <v>Umbra</v>
      </c>
      <c r="F467" s="23">
        <f>IF($E467&lt;&gt;"Umbra",fracil2($S$2,$S$3,$S$4,$A467,$Q$2,$O$3,$Q$4,$U467,$V467,$W467),0)</f>
        <v>0</v>
      </c>
      <c r="G467" s="19">
        <f t="shared" si="151"/>
        <v>69.298976613250503</v>
      </c>
      <c r="H467" s="19">
        <f t="shared" si="152"/>
        <v>-3.8415882226371294</v>
      </c>
      <c r="I467" s="19">
        <f t="shared" si="153"/>
        <v>-2.6335702732422339</v>
      </c>
      <c r="J467" s="28">
        <f t="shared" si="154"/>
        <v>6.1371636498611416E-3</v>
      </c>
      <c r="K467" s="24">
        <f t="shared" si="155"/>
        <v>1049.4553201296487</v>
      </c>
      <c r="L467" s="32">
        <f t="shared" si="156"/>
        <v>0.55471018795706428</v>
      </c>
      <c r="M467" s="35">
        <f t="shared" si="157"/>
        <v>13.476235228488996</v>
      </c>
      <c r="O467" s="29">
        <f t="shared" si="158"/>
        <v>1046.5810187243371</v>
      </c>
      <c r="T467" s="48">
        <v>0.74487280092592589</v>
      </c>
      <c r="U467" s="29">
        <v>-1266.1787566545647</v>
      </c>
      <c r="V467" s="29">
        <v>4582.1755575433353</v>
      </c>
      <c r="W467" s="29">
        <v>4265.6285898696433</v>
      </c>
      <c r="X467" s="4">
        <v>-0.32513950660842356</v>
      </c>
      <c r="Y467" s="4">
        <v>-0.12499052089994393</v>
      </c>
      <c r="Z467" s="4">
        <v>-3.0602477830540757E-2</v>
      </c>
      <c r="AA467" s="3">
        <f t="shared" si="163"/>
        <v>0.34967819594847083</v>
      </c>
      <c r="AB467" s="3">
        <f t="shared" si="166"/>
        <v>1.7252268405033248E-2</v>
      </c>
      <c r="AC467" s="3">
        <f t="shared" si="164"/>
        <v>4.5664390489005807E-2</v>
      </c>
      <c r="AD467" s="48"/>
      <c r="AE467" s="46">
        <f t="shared" si="159"/>
        <v>42.09214970841856</v>
      </c>
      <c r="AF467" s="46">
        <f t="shared" si="160"/>
        <v>-248.53987858235791</v>
      </c>
      <c r="AG467" s="47">
        <f t="shared" si="161"/>
        <v>18536.037190748175</v>
      </c>
      <c r="AH467" s="45" t="str">
        <f t="shared" si="165"/>
        <v>-248.53988,42.09215,18536</v>
      </c>
      <c r="AI467" s="44">
        <f t="shared" si="167"/>
        <v>1021.3158691460177</v>
      </c>
    </row>
    <row r="468" spans="1:35" ht="18" customHeight="1" x14ac:dyDescent="0.25">
      <c r="A468" s="36">
        <f t="shared" si="162"/>
        <v>0.74488430555555551</v>
      </c>
      <c r="B468" s="42">
        <f t="shared" si="147"/>
        <v>42.092149698845716</v>
      </c>
      <c r="C468" s="43">
        <f t="shared" si="148"/>
        <v>111.46012529051843</v>
      </c>
      <c r="D468" s="18">
        <f t="shared" si="149"/>
        <v>18.490703382530228</v>
      </c>
      <c r="E468" s="21" t="str">
        <f t="shared" si="150"/>
        <v>Umbra</v>
      </c>
      <c r="F468" s="23">
        <f>IF($E468&lt;&gt;"Umbra",fracil2($S$2,$S$3,$S$4,$A468,$Q$2,$O$3,$Q$4,$U468,$V468,$W468),0)</f>
        <v>0</v>
      </c>
      <c r="G468" s="19">
        <f t="shared" si="151"/>
        <v>69.298988663315555</v>
      </c>
      <c r="H468" s="19">
        <f t="shared" si="152"/>
        <v>-3.8440529488620689</v>
      </c>
      <c r="I468" s="19">
        <f t="shared" si="153"/>
        <v>-2.6360349994671735</v>
      </c>
      <c r="J468" s="28">
        <f t="shared" si="154"/>
        <v>6.1290601294912463E-3</v>
      </c>
      <c r="K468" s="24">
        <f t="shared" si="155"/>
        <v>1049.4511797597092</v>
      </c>
      <c r="L468" s="32">
        <f t="shared" si="156"/>
        <v>0.55472695193945731</v>
      </c>
      <c r="M468" s="35">
        <f t="shared" si="157"/>
        <v>13.474579457859905</v>
      </c>
      <c r="O468" s="29">
        <f t="shared" si="158"/>
        <v>1046.5813298768178</v>
      </c>
      <c r="T468" s="48">
        <v>0.74488430555555551</v>
      </c>
      <c r="U468" s="29">
        <v>-1266.5022335546594</v>
      </c>
      <c r="V468" s="29">
        <v>4582.0512584321386</v>
      </c>
      <c r="W468" s="29">
        <v>4265.5982006935719</v>
      </c>
      <c r="X468" s="4">
        <v>-0.32516093948449504</v>
      </c>
      <c r="Y468" s="4">
        <v>-0.12489386107159234</v>
      </c>
      <c r="Z468" s="4">
        <v>-3.0490432550994373E-2</v>
      </c>
      <c r="AA468" s="3">
        <f t="shared" si="163"/>
        <v>0.34965379960320236</v>
      </c>
      <c r="AB468" s="3">
        <f t="shared" si="166"/>
        <v>1.7143799251956835E-2</v>
      </c>
      <c r="AC468" s="3">
        <f t="shared" si="164"/>
        <v>4.5497287066114021E-2</v>
      </c>
      <c r="AD468" s="48"/>
      <c r="AE468" s="46">
        <f t="shared" si="159"/>
        <v>42.092149698845716</v>
      </c>
      <c r="AF468" s="46">
        <f t="shared" si="160"/>
        <v>-248.53987470948158</v>
      </c>
      <c r="AG468" s="47">
        <f t="shared" si="161"/>
        <v>18490.703382530228</v>
      </c>
      <c r="AH468" s="45" t="str">
        <f t="shared" si="165"/>
        <v>-248.53987,42.09215,18491</v>
      </c>
      <c r="AI468" s="44">
        <f t="shared" si="167"/>
        <v>1021.3161980115365</v>
      </c>
    </row>
    <row r="469" spans="1:35" ht="18" customHeight="1" x14ac:dyDescent="0.25">
      <c r="A469" s="36">
        <f t="shared" si="162"/>
        <v>0.74489591435185176</v>
      </c>
      <c r="B469" s="42">
        <f t="shared" si="147"/>
        <v>42.09214968924492</v>
      </c>
      <c r="C469" s="43">
        <f t="shared" si="148"/>
        <v>111.4601250456117</v>
      </c>
      <c r="D469" s="18">
        <f t="shared" si="149"/>
        <v>18.445172033234485</v>
      </c>
      <c r="E469" s="21" t="str">
        <f t="shared" si="150"/>
        <v>Umbra</v>
      </c>
      <c r="F469" s="23">
        <f>IF($E469&lt;&gt;"Umbra",fracil2($S$2,$S$3,$S$4,$A469,$Q$2,$O$3,$Q$4,$U469,$V469,$W469),0)</f>
        <v>0</v>
      </c>
      <c r="G469" s="19">
        <f t="shared" si="151"/>
        <v>69.298996557298466</v>
      </c>
      <c r="H469" s="19">
        <f t="shared" si="152"/>
        <v>-3.8465266569472507</v>
      </c>
      <c r="I469" s="19">
        <f t="shared" si="153"/>
        <v>-2.6385087075523552</v>
      </c>
      <c r="J469" s="28">
        <f t="shared" si="154"/>
        <v>6.1209564676256208E-3</v>
      </c>
      <c r="K469" s="24">
        <f t="shared" si="155"/>
        <v>1049.4466905687525</v>
      </c>
      <c r="L469" s="32">
        <f t="shared" si="156"/>
        <v>0.55474384736308802</v>
      </c>
      <c r="M469" s="35">
        <f t="shared" si="157"/>
        <v>13.472920744896793</v>
      </c>
      <c r="O469" s="29">
        <f t="shared" si="158"/>
        <v>1046.5813099453646</v>
      </c>
      <c r="T469" s="48">
        <v>0.74489591435185176</v>
      </c>
      <c r="U469" s="29">
        <v>-1266.828337796692</v>
      </c>
      <c r="V469" s="29">
        <v>4581.9260548559123</v>
      </c>
      <c r="W469" s="29">
        <v>4265.5676790984808</v>
      </c>
      <c r="X469" s="4">
        <v>-0.32518231954888571</v>
      </c>
      <c r="Y469" s="4">
        <v>-0.12479734142247093</v>
      </c>
      <c r="Z469" s="4">
        <v>-3.0378339527161905E-2</v>
      </c>
      <c r="AA469" s="3">
        <f t="shared" si="163"/>
        <v>0.34962946226789571</v>
      </c>
      <c r="AB469" s="3">
        <f t="shared" si="166"/>
        <v>1.699717444934383E-2</v>
      </c>
      <c r="AC469" s="3">
        <f t="shared" si="164"/>
        <v>4.5330112750586508E-2</v>
      </c>
      <c r="AD469" s="48"/>
      <c r="AE469" s="46">
        <f t="shared" si="159"/>
        <v>42.09214968924492</v>
      </c>
      <c r="AF469" s="46">
        <f t="shared" si="160"/>
        <v>-248.5398749543883</v>
      </c>
      <c r="AG469" s="47">
        <f t="shared" si="161"/>
        <v>18445.172033234485</v>
      </c>
      <c r="AH469" s="45" t="str">
        <f t="shared" si="165"/>
        <v>-248.53987,42.09215,18445</v>
      </c>
      <c r="AI469" s="44">
        <f t="shared" si="167"/>
        <v>1021.3161980115365</v>
      </c>
    </row>
    <row r="470" spans="1:35" ht="18" customHeight="1" x14ac:dyDescent="0.25">
      <c r="A470" s="36">
        <f t="shared" si="162"/>
        <v>0.7449075462962963</v>
      </c>
      <c r="B470" s="42">
        <f t="shared" si="147"/>
        <v>42.092149679675352</v>
      </c>
      <c r="C470" s="43">
        <f t="shared" si="148"/>
        <v>111.46012404681413</v>
      </c>
      <c r="D470" s="18">
        <f t="shared" si="149"/>
        <v>18.399725569777729</v>
      </c>
      <c r="E470" s="21" t="str">
        <f t="shared" si="150"/>
        <v>Umbra</v>
      </c>
      <c r="F470" s="23">
        <f>IF($E470&lt;&gt;"Umbra",fracil2($S$2,$S$3,$S$4,$A470,$Q$2,$O$3,$Q$4,$U470,$V470,$W470),0)</f>
        <v>0</v>
      </c>
      <c r="G470" s="19">
        <f t="shared" si="151"/>
        <v>69.299003668760278</v>
      </c>
      <c r="H470" s="19">
        <f t="shared" si="152"/>
        <v>-3.8489954501220205</v>
      </c>
      <c r="I470" s="19">
        <f t="shared" si="153"/>
        <v>-2.640977500727125</v>
      </c>
      <c r="J470" s="28">
        <f t="shared" si="154"/>
        <v>6.112902412292562E-3</v>
      </c>
      <c r="K470" s="24">
        <f t="shared" si="155"/>
        <v>1049.4421509937972</v>
      </c>
      <c r="L470" s="32">
        <f t="shared" si="156"/>
        <v>0.55476075696244465</v>
      </c>
      <c r="M470" s="35">
        <f t="shared" si="157"/>
        <v>13.471265870916188</v>
      </c>
      <c r="O470" s="29">
        <f t="shared" si="158"/>
        <v>1046.5812293994122</v>
      </c>
      <c r="T470" s="48">
        <v>0.7449075462962963</v>
      </c>
      <c r="U470" s="29">
        <v>-1267.1550552231258</v>
      </c>
      <c r="V470" s="29">
        <v>4581.8007206667417</v>
      </c>
      <c r="W470" s="29">
        <v>4265.5372144070816</v>
      </c>
      <c r="X470" s="4">
        <v>-0.32520351395518032</v>
      </c>
      <c r="Y470" s="4">
        <v>-0.12470156133760255</v>
      </c>
      <c r="Z470" s="4">
        <v>-3.0266894114213461E-2</v>
      </c>
      <c r="AA470" s="3">
        <f t="shared" si="163"/>
        <v>0.34960533429590868</v>
      </c>
      <c r="AB470" s="3">
        <f t="shared" si="166"/>
        <v>1.6865312641794541E-2</v>
      </c>
      <c r="AC470" s="3">
        <f t="shared" si="164"/>
        <v>4.5163904588540957E-2</v>
      </c>
      <c r="AD470" s="48"/>
      <c r="AE470" s="46">
        <f t="shared" si="159"/>
        <v>42.092149679675352</v>
      </c>
      <c r="AF470" s="46">
        <f t="shared" si="160"/>
        <v>-248.53987595318586</v>
      </c>
      <c r="AG470" s="47">
        <f t="shared" si="161"/>
        <v>18399.725569777729</v>
      </c>
      <c r="AH470" s="45" t="str">
        <f t="shared" si="165"/>
        <v>-248.53988,42.09215,18400</v>
      </c>
      <c r="AI470" s="44">
        <f t="shared" si="167"/>
        <v>1021.3163322703215</v>
      </c>
    </row>
    <row r="471" spans="1:35" ht="18" customHeight="1" x14ac:dyDescent="0.25">
      <c r="A471" s="36">
        <f t="shared" si="162"/>
        <v>0.74491896990740747</v>
      </c>
      <c r="B471" s="42">
        <f t="shared" si="147"/>
        <v>42.09214967032085</v>
      </c>
      <c r="C471" s="43">
        <f t="shared" si="148"/>
        <v>111.46012470765106</v>
      </c>
      <c r="D471" s="18">
        <f t="shared" si="149"/>
        <v>18.355237332808429</v>
      </c>
      <c r="E471" s="21" t="str">
        <f t="shared" si="150"/>
        <v>Umbra</v>
      </c>
      <c r="F471" s="23">
        <f>IF($E471&lt;&gt;"Umbra",fracil2($S$2,$S$3,$S$4,$A471,$Q$2,$O$3,$Q$4,$U471,$V471,$W471),0)</f>
        <v>0</v>
      </c>
      <c r="G471" s="19">
        <f t="shared" si="151"/>
        <v>69.299012298196189</v>
      </c>
      <c r="H471" s="19">
        <f t="shared" si="152"/>
        <v>-3.8514129140274127</v>
      </c>
      <c r="I471" s="19">
        <f t="shared" si="153"/>
        <v>-2.6433949646325177</v>
      </c>
      <c r="J471" s="28">
        <f t="shared" si="154"/>
        <v>6.1050510801392444E-3</v>
      </c>
      <c r="K471" s="24">
        <f t="shared" si="155"/>
        <v>1049.4378408842595</v>
      </c>
      <c r="L471" s="32">
        <f t="shared" si="156"/>
        <v>0.55477734536833778</v>
      </c>
      <c r="M471" s="35">
        <f t="shared" si="157"/>
        <v>13.469644142434998</v>
      </c>
      <c r="O471" s="29">
        <f t="shared" si="158"/>
        <v>1046.581282298881</v>
      </c>
      <c r="T471" s="48">
        <v>0.74491896990740747</v>
      </c>
      <c r="U471" s="29">
        <v>-1267.4760695621248</v>
      </c>
      <c r="V471" s="29">
        <v>4581.6776754658777</v>
      </c>
      <c r="W471" s="29">
        <v>4265.5073920566392</v>
      </c>
      <c r="X471" s="4">
        <v>-0.32522412067536355</v>
      </c>
      <c r="Y471" s="4">
        <v>-0.12460834102404129</v>
      </c>
      <c r="Z471" s="4">
        <v>-3.0158221513370411E-2</v>
      </c>
      <c r="AA471" s="3">
        <f t="shared" si="163"/>
        <v>0.3495818725944993</v>
      </c>
      <c r="AB471" s="3">
        <f t="shared" si="166"/>
        <v>1.6745586104618064E-2</v>
      </c>
      <c r="AC471" s="3">
        <f t="shared" si="164"/>
        <v>4.5001832065023652E-2</v>
      </c>
      <c r="AD471" s="48"/>
      <c r="AE471" s="46">
        <f t="shared" si="159"/>
        <v>42.09214967032085</v>
      </c>
      <c r="AF471" s="46">
        <f t="shared" si="160"/>
        <v>-248.53987529234894</v>
      </c>
      <c r="AG471" s="47">
        <f t="shared" si="161"/>
        <v>18355.237332808429</v>
      </c>
      <c r="AH471" s="45" t="str">
        <f t="shared" si="165"/>
        <v>-248.53988,42.09215,18355</v>
      </c>
      <c r="AI471" s="44">
        <f t="shared" si="167"/>
        <v>1021.3163322703215</v>
      </c>
    </row>
    <row r="472" spans="1:35" ht="18" customHeight="1" x14ac:dyDescent="0.25">
      <c r="A472" s="36">
        <f t="shared" si="162"/>
        <v>0.74493057870370372</v>
      </c>
      <c r="B472" s="42">
        <f t="shared" si="147"/>
        <v>42.09214966086752</v>
      </c>
      <c r="C472" s="43">
        <f t="shared" si="148"/>
        <v>111.46012299903531</v>
      </c>
      <c r="D472" s="18">
        <f t="shared" si="149"/>
        <v>18.310216737420888</v>
      </c>
      <c r="E472" s="21" t="str">
        <f t="shared" si="150"/>
        <v>Umbra</v>
      </c>
      <c r="F472" s="23">
        <f>IF($E472&lt;&gt;"Umbra",fracil2($S$2,$S$3,$S$4,$A472,$Q$2,$O$3,$Q$4,$U472,$V472,$W472),0)</f>
        <v>0</v>
      </c>
      <c r="G472" s="19">
        <f t="shared" si="151"/>
        <v>69.29901861104608</v>
      </c>
      <c r="H472" s="19">
        <f t="shared" si="152"/>
        <v>-3.8538583053850748</v>
      </c>
      <c r="I472" s="19">
        <f t="shared" si="153"/>
        <v>-2.6458403559901793</v>
      </c>
      <c r="J472" s="28">
        <f t="shared" si="154"/>
        <v>6.0971394724454271E-3</v>
      </c>
      <c r="K472" s="24">
        <f t="shared" si="155"/>
        <v>1049.4332897875918</v>
      </c>
      <c r="L472" s="32">
        <f t="shared" si="156"/>
        <v>0.55479418331610975</v>
      </c>
      <c r="M472" s="35">
        <f t="shared" si="157"/>
        <v>13.468005447242264</v>
      </c>
      <c r="O472" s="29">
        <f t="shared" si="158"/>
        <v>1046.5811446841319</v>
      </c>
      <c r="T472" s="48">
        <v>0.74493057870370372</v>
      </c>
      <c r="U472" s="29">
        <v>-1267.8021234035843</v>
      </c>
      <c r="V472" s="29">
        <v>4581.552800299216</v>
      </c>
      <c r="W472" s="29">
        <v>4265.477212844884</v>
      </c>
      <c r="X472" s="4">
        <v>-0.32524483221210587</v>
      </c>
      <c r="Y472" s="4">
        <v>-0.124514548933439</v>
      </c>
      <c r="Z472" s="4">
        <v>-3.0048673895093098E-2</v>
      </c>
      <c r="AA472" s="3">
        <f t="shared" si="163"/>
        <v>0.34955828781425324</v>
      </c>
      <c r="AB472" s="3">
        <f t="shared" si="166"/>
        <v>1.6611109191759035E-2</v>
      </c>
      <c r="AC472" s="3">
        <f t="shared" si="164"/>
        <v>4.4838454862679747E-2</v>
      </c>
      <c r="AD472" s="48"/>
      <c r="AE472" s="46">
        <f t="shared" si="159"/>
        <v>42.09214966086752</v>
      </c>
      <c r="AF472" s="46">
        <f t="shared" si="160"/>
        <v>-248.53987700096468</v>
      </c>
      <c r="AG472" s="47">
        <f t="shared" si="161"/>
        <v>18310.216737420888</v>
      </c>
      <c r="AH472" s="45" t="str">
        <f t="shared" si="165"/>
        <v>-248.53988,42.09215,18310</v>
      </c>
      <c r="AI472" s="44">
        <f t="shared" si="167"/>
        <v>1021.3164665291065</v>
      </c>
    </row>
    <row r="473" spans="1:35" ht="18" customHeight="1" x14ac:dyDescent="0.25">
      <c r="A473" s="36">
        <f t="shared" si="162"/>
        <v>0.74494224537037035</v>
      </c>
      <c r="B473" s="42">
        <f t="shared" si="147"/>
        <v>42.092149651404782</v>
      </c>
      <c r="C473" s="43">
        <f t="shared" si="148"/>
        <v>111.46012575021398</v>
      </c>
      <c r="D473" s="18">
        <f t="shared" si="149"/>
        <v>18.26508836460107</v>
      </c>
      <c r="E473" s="21" t="str">
        <f t="shared" si="150"/>
        <v>Umbra</v>
      </c>
      <c r="F473" s="23">
        <f>IF($E473&lt;&gt;"Umbra",fracil2($S$2,$S$3,$S$4,$A473,$Q$2,$O$3,$Q$4,$U473,$V473,$W473),0)</f>
        <v>0</v>
      </c>
      <c r="G473" s="19">
        <f t="shared" si="151"/>
        <v>69.299029482769171</v>
      </c>
      <c r="H473" s="19">
        <f t="shared" si="152"/>
        <v>-3.8563114880609226</v>
      </c>
      <c r="I473" s="19">
        <f t="shared" si="153"/>
        <v>-2.6482935386660271</v>
      </c>
      <c r="J473" s="28">
        <f t="shared" si="154"/>
        <v>6.0892416738745824E-3</v>
      </c>
      <c r="K473" s="24">
        <f t="shared" si="155"/>
        <v>1049.4290889366107</v>
      </c>
      <c r="L473" s="32">
        <f t="shared" si="156"/>
        <v>0.55481108716109095</v>
      </c>
      <c r="M473" s="35">
        <f t="shared" si="157"/>
        <v>13.466358136882146</v>
      </c>
      <c r="O473" s="29">
        <f t="shared" si="158"/>
        <v>1046.5813656511993</v>
      </c>
      <c r="T473" s="48">
        <v>0.74494224537037035</v>
      </c>
      <c r="U473" s="29">
        <v>-1268.1301714499821</v>
      </c>
      <c r="V473" s="29">
        <v>4581.4272637913491</v>
      </c>
      <c r="W473" s="29">
        <v>4265.4469613864576</v>
      </c>
      <c r="X473" s="4">
        <v>-0.32526545091326681</v>
      </c>
      <c r="Y473" s="4">
        <v>-0.12442107841705051</v>
      </c>
      <c r="Z473" s="4">
        <v>-2.9939290580117822E-2</v>
      </c>
      <c r="AA473" s="3">
        <f t="shared" si="163"/>
        <v>0.34953480432242129</v>
      </c>
      <c r="AB473" s="3">
        <f t="shared" si="166"/>
        <v>1.6503890947600693E-2</v>
      </c>
      <c r="AC473" s="3">
        <f t="shared" si="164"/>
        <v>4.4675323010811001E-2</v>
      </c>
      <c r="AD473" s="48"/>
      <c r="AE473" s="46">
        <f t="shared" si="159"/>
        <v>42.092149651404782</v>
      </c>
      <c r="AF473" s="46">
        <f t="shared" si="160"/>
        <v>-248.53987424978601</v>
      </c>
      <c r="AG473" s="47">
        <f t="shared" si="161"/>
        <v>18265.08836460107</v>
      </c>
      <c r="AH473" s="45" t="str">
        <f t="shared" si="165"/>
        <v>-248.53987,42.09215,18265</v>
      </c>
      <c r="AI473" s="44">
        <f t="shared" si="167"/>
        <v>1021.3166990721451</v>
      </c>
    </row>
    <row r="474" spans="1:35" ht="18" customHeight="1" x14ac:dyDescent="0.25">
      <c r="A474" s="36">
        <f t="shared" si="162"/>
        <v>0.74495387731481477</v>
      </c>
      <c r="B474" s="42">
        <f t="shared" si="147"/>
        <v>42.092149642026691</v>
      </c>
      <c r="C474" s="43">
        <f t="shared" si="148"/>
        <v>111.46012440601906</v>
      </c>
      <c r="D474" s="18">
        <f t="shared" si="149"/>
        <v>18.220301036169076</v>
      </c>
      <c r="E474" s="21" t="str">
        <f t="shared" si="150"/>
        <v>Umbra</v>
      </c>
      <c r="F474" s="23">
        <f>IF($E474&lt;&gt;"Umbra",fracil2($S$2,$S$3,$S$4,$A474,$Q$2,$O$3,$Q$4,$U474,$V474,$W474),0)</f>
        <v>0</v>
      </c>
      <c r="G474" s="19">
        <f t="shared" si="151"/>
        <v>69.299036124908184</v>
      </c>
      <c r="H474" s="19">
        <f t="shared" si="152"/>
        <v>-3.8587444029224365</v>
      </c>
      <c r="I474" s="19">
        <f t="shared" si="153"/>
        <v>-2.6507264535275414</v>
      </c>
      <c r="J474" s="28">
        <f t="shared" si="154"/>
        <v>6.0814371263182296E-3</v>
      </c>
      <c r="K474" s="24">
        <f t="shared" si="155"/>
        <v>1049.4245938407535</v>
      </c>
      <c r="L474" s="32">
        <f t="shared" si="156"/>
        <v>0.55482792100934142</v>
      </c>
      <c r="M474" s="35">
        <f t="shared" si="157"/>
        <v>13.464727483471258</v>
      </c>
      <c r="O474" s="29">
        <f t="shared" si="158"/>
        <v>1046.5812573389617</v>
      </c>
      <c r="T474" s="48">
        <v>0.74495387731481477</v>
      </c>
      <c r="U474" s="29">
        <v>-1268.4569457344867</v>
      </c>
      <c r="V474" s="29">
        <v>4581.3023158665728</v>
      </c>
      <c r="W474" s="29">
        <v>4265.4169385456162</v>
      </c>
      <c r="X474" s="4">
        <v>-0.32528577304196993</v>
      </c>
      <c r="Y474" s="4">
        <v>-0.12432885379642995</v>
      </c>
      <c r="Z474" s="4">
        <v>-2.9831154878822073E-2</v>
      </c>
      <c r="AA474" s="3">
        <f t="shared" si="163"/>
        <v>0.34951165335543577</v>
      </c>
      <c r="AB474" s="3">
        <f t="shared" si="166"/>
        <v>1.6364321459928742E-2</v>
      </c>
      <c r="AC474" s="3">
        <f t="shared" si="164"/>
        <v>4.451405213189405E-2</v>
      </c>
      <c r="AD474" s="48"/>
      <c r="AE474" s="46">
        <f t="shared" si="159"/>
        <v>42.092149642026691</v>
      </c>
      <c r="AF474" s="46">
        <f t="shared" si="160"/>
        <v>-248.53987559398092</v>
      </c>
      <c r="AG474" s="47">
        <f t="shared" si="161"/>
        <v>18220.301036169076</v>
      </c>
      <c r="AH474" s="45" t="str">
        <f t="shared" si="165"/>
        <v>-248.53988,42.09215,18220</v>
      </c>
      <c r="AI474" s="44">
        <f t="shared" si="167"/>
        <v>1021.3166990721451</v>
      </c>
    </row>
    <row r="475" spans="1:35" ht="18" customHeight="1" x14ac:dyDescent="0.25">
      <c r="A475" s="36">
        <f t="shared" si="162"/>
        <v>0.74496534722222219</v>
      </c>
      <c r="B475" s="42">
        <f t="shared" si="147"/>
        <v>42.092149632821062</v>
      </c>
      <c r="C475" s="43">
        <f t="shared" si="148"/>
        <v>111.46012490077443</v>
      </c>
      <c r="D475" s="18">
        <f t="shared" si="149"/>
        <v>18.176276369839798</v>
      </c>
      <c r="E475" s="21" t="str">
        <f t="shared" si="150"/>
        <v>Umbra</v>
      </c>
      <c r="F475" s="23">
        <f>IF($E475&lt;&gt;"Umbra",fracil2($S$2,$S$3,$S$4,$A475,$Q$2,$O$3,$Q$4,$U475,$V475,$W475),0)</f>
        <v>0</v>
      </c>
      <c r="G475" s="19">
        <f t="shared" si="151"/>
        <v>69.299044502515429</v>
      </c>
      <c r="H475" s="19">
        <f t="shared" si="152"/>
        <v>-3.8611366879134628</v>
      </c>
      <c r="I475" s="19">
        <f t="shared" si="153"/>
        <v>-2.6531187385185673</v>
      </c>
      <c r="J475" s="28">
        <f t="shared" si="154"/>
        <v>6.0737970509269022E-3</v>
      </c>
      <c r="K475" s="24">
        <f t="shared" si="155"/>
        <v>1049.4203232778136</v>
      </c>
      <c r="L475" s="32">
        <f t="shared" si="156"/>
        <v>0.55484450247149164</v>
      </c>
      <c r="M475" s="35">
        <f t="shared" si="157"/>
        <v>13.463122667175579</v>
      </c>
      <c r="O475" s="29">
        <f t="shared" si="158"/>
        <v>1046.5812968886526</v>
      </c>
      <c r="T475" s="48">
        <v>0.74496534722222219</v>
      </c>
      <c r="U475" s="29">
        <v>-1268.7793296986324</v>
      </c>
      <c r="V475" s="29">
        <v>4581.1791446265179</v>
      </c>
      <c r="W475" s="29">
        <v>4265.3874269505122</v>
      </c>
      <c r="X475" s="4">
        <v>-0.32530561290781657</v>
      </c>
      <c r="Y475" s="4">
        <v>-0.12423872157521589</v>
      </c>
      <c r="Z475" s="4">
        <v>-2.9725267293692396E-2</v>
      </c>
      <c r="AA475" s="3">
        <f t="shared" si="163"/>
        <v>0.34948904595660174</v>
      </c>
      <c r="AB475" s="3">
        <f t="shared" si="166"/>
        <v>1.6250454907240624E-2</v>
      </c>
      <c r="AC475" s="3">
        <f t="shared" si="164"/>
        <v>4.4356134338720953E-2</v>
      </c>
      <c r="AD475" s="48"/>
      <c r="AE475" s="46">
        <f t="shared" si="159"/>
        <v>42.092149632821062</v>
      </c>
      <c r="AF475" s="46">
        <f t="shared" si="160"/>
        <v>-248.53987509922558</v>
      </c>
      <c r="AG475" s="47">
        <f t="shared" si="161"/>
        <v>18176.276369839798</v>
      </c>
      <c r="AH475" s="45" t="str">
        <f t="shared" si="165"/>
        <v>-248.53988,42.09215,18176</v>
      </c>
      <c r="AI475" s="44">
        <f t="shared" si="167"/>
        <v>1021.3166990721451</v>
      </c>
    </row>
    <row r="476" spans="1:35" ht="18" customHeight="1" x14ac:dyDescent="0.25">
      <c r="A476" s="36">
        <f t="shared" si="162"/>
        <v>0.74497695601851854</v>
      </c>
      <c r="B476" s="42">
        <f t="shared" si="147"/>
        <v>42.092149623545055</v>
      </c>
      <c r="C476" s="43">
        <f t="shared" si="148"/>
        <v>111.46012759536357</v>
      </c>
      <c r="D476" s="18">
        <f t="shared" si="149"/>
        <v>18.13185420130776</v>
      </c>
      <c r="E476" s="21" t="str">
        <f t="shared" si="150"/>
        <v>Umbra</v>
      </c>
      <c r="F476" s="23">
        <f>IF($E476&lt;&gt;"Umbra",fracil2($S$2,$S$3,$S$4,$A476,$Q$2,$O$3,$Q$4,$U476,$V476,$W476),0)</f>
        <v>0</v>
      </c>
      <c r="G476" s="19">
        <f t="shared" si="151"/>
        <v>69.299055190425378</v>
      </c>
      <c r="H476" s="19">
        <f t="shared" si="152"/>
        <v>-3.8635515337696953</v>
      </c>
      <c r="I476" s="19">
        <f t="shared" si="153"/>
        <v>-2.6555335843748002</v>
      </c>
      <c r="J476" s="28">
        <f t="shared" si="154"/>
        <v>6.066119491734934E-3</v>
      </c>
      <c r="K476" s="24">
        <f t="shared" si="155"/>
        <v>1049.4161926749491</v>
      </c>
      <c r="L476" s="32">
        <f t="shared" si="156"/>
        <v>0.5548612668142584</v>
      </c>
      <c r="M476" s="35">
        <f t="shared" si="157"/>
        <v>13.461501035668338</v>
      </c>
      <c r="O476" s="29">
        <f t="shared" si="158"/>
        <v>1046.5815133104197</v>
      </c>
      <c r="T476" s="48">
        <v>0.74497695601851854</v>
      </c>
      <c r="U476" s="29">
        <v>-1269.1058082914192</v>
      </c>
      <c r="V476" s="29">
        <v>4581.0545071949109</v>
      </c>
      <c r="W476" s="29">
        <v>4265.3576488939416</v>
      </c>
      <c r="X476" s="4">
        <v>-0.32532549554043821</v>
      </c>
      <c r="Y476" s="4">
        <v>-0.12414829797768988</v>
      </c>
      <c r="Z476" s="4">
        <v>-2.9618830161653197E-2</v>
      </c>
      <c r="AA476" s="3">
        <f t="shared" si="163"/>
        <v>0.34946638327532137</v>
      </c>
      <c r="AB476" s="3">
        <f t="shared" si="166"/>
        <v>1.6139331151254651E-2</v>
      </c>
      <c r="AC476" s="3">
        <f t="shared" si="164"/>
        <v>4.4197397270607092E-2</v>
      </c>
      <c r="AD476" s="48"/>
      <c r="AE476" s="46">
        <f t="shared" si="159"/>
        <v>42.092149623545055</v>
      </c>
      <c r="AF476" s="46">
        <f t="shared" si="160"/>
        <v>-248.53987240463641</v>
      </c>
      <c r="AG476" s="47">
        <f t="shared" si="161"/>
        <v>18131.85420130776</v>
      </c>
      <c r="AH476" s="45" t="str">
        <f t="shared" si="165"/>
        <v>-248.53987,42.09215,18132</v>
      </c>
      <c r="AI476" s="44">
        <f t="shared" si="167"/>
        <v>1021.3169316151836</v>
      </c>
    </row>
    <row r="477" spans="1:35" ht="18" customHeight="1" x14ac:dyDescent="0.25">
      <c r="A477" s="36">
        <f t="shared" si="162"/>
        <v>0.74498844907407413</v>
      </c>
      <c r="B477" s="42">
        <f t="shared" si="147"/>
        <v>42.092149614416002</v>
      </c>
      <c r="C477" s="43">
        <f t="shared" si="148"/>
        <v>111.46012599950539</v>
      </c>
      <c r="D477" s="18">
        <f t="shared" si="149"/>
        <v>18.088076226526027</v>
      </c>
      <c r="E477" s="21" t="str">
        <f t="shared" si="150"/>
        <v>Umbra</v>
      </c>
      <c r="F477" s="23">
        <f>IF($E477&lt;&gt;"Umbra",fracil2($S$2,$S$3,$S$4,$A477,$Q$2,$O$3,$Q$4,$U477,$V477,$W477),0)</f>
        <v>0</v>
      </c>
      <c r="G477" s="19">
        <f t="shared" si="151"/>
        <v>69.299061395976409</v>
      </c>
      <c r="H477" s="19">
        <f t="shared" si="152"/>
        <v>-3.8659295575177595</v>
      </c>
      <c r="I477" s="19">
        <f t="shared" si="153"/>
        <v>-2.6579116081228644</v>
      </c>
      <c r="J477" s="28">
        <f t="shared" si="154"/>
        <v>6.0585850460919939E-3</v>
      </c>
      <c r="K477" s="24">
        <f t="shared" si="155"/>
        <v>1049.4117816790533</v>
      </c>
      <c r="L477" s="32">
        <f t="shared" si="156"/>
        <v>0.5548778451407409</v>
      </c>
      <c r="M477" s="35">
        <f t="shared" si="157"/>
        <v>13.459907312397128</v>
      </c>
      <c r="O477" s="29">
        <f t="shared" si="158"/>
        <v>1046.5813847698489</v>
      </c>
      <c r="T477" s="48">
        <v>0.74498844907407413</v>
      </c>
      <c r="U477" s="29">
        <v>-1269.428719593305</v>
      </c>
      <c r="V477" s="29">
        <v>4580.9313279193211</v>
      </c>
      <c r="W477" s="29">
        <v>4265.3283026687004</v>
      </c>
      <c r="X477" s="4">
        <v>-0.32534495607939562</v>
      </c>
      <c r="Y477" s="4">
        <v>-0.12405969794004854</v>
      </c>
      <c r="Z477" s="4">
        <v>-2.9514334720139236E-2</v>
      </c>
      <c r="AA477" s="3">
        <f t="shared" si="163"/>
        <v>0.34944419447638897</v>
      </c>
      <c r="AB477" s="3">
        <f t="shared" si="166"/>
        <v>1.6004442971357915E-2</v>
      </c>
      <c r="AC477" s="3">
        <f t="shared" si="164"/>
        <v>4.4041556279803939E-2</v>
      </c>
      <c r="AD477" s="48"/>
      <c r="AE477" s="46">
        <f t="shared" si="159"/>
        <v>42.092149614416002</v>
      </c>
      <c r="AF477" s="46">
        <f t="shared" si="160"/>
        <v>-248.53987400049459</v>
      </c>
      <c r="AG477" s="47">
        <f t="shared" si="161"/>
        <v>18088.076226526027</v>
      </c>
      <c r="AH477" s="45" t="str">
        <f t="shared" si="165"/>
        <v>-248.53987,42.09215,18088</v>
      </c>
      <c r="AI477" s="44">
        <f t="shared" si="167"/>
        <v>1021.3170658739687</v>
      </c>
    </row>
    <row r="478" spans="1:35" ht="18" customHeight="1" x14ac:dyDescent="0.25">
      <c r="A478" s="36">
        <f t="shared" si="162"/>
        <v>0.74499998842592596</v>
      </c>
      <c r="B478" s="42">
        <f t="shared" si="147"/>
        <v>42.092149605286885</v>
      </c>
      <c r="C478" s="43">
        <f t="shared" si="148"/>
        <v>111.46012810496065</v>
      </c>
      <c r="D478" s="18">
        <f t="shared" si="149"/>
        <v>18.044238040302844</v>
      </c>
      <c r="E478" s="21" t="str">
        <f t="shared" si="150"/>
        <v>Umbra</v>
      </c>
      <c r="F478" s="23">
        <f>IF($E478&lt;&gt;"Umbra",fracil2($S$2,$S$3,$S$4,$A478,$Q$2,$O$3,$Q$4,$U478,$V478,$W478),0)</f>
        <v>0</v>
      </c>
      <c r="G478" s="19">
        <f t="shared" si="151"/>
        <v>69.299071379832242</v>
      </c>
      <c r="H478" s="19">
        <f t="shared" si="152"/>
        <v>-3.8683124580785715</v>
      </c>
      <c r="I478" s="19">
        <f t="shared" si="153"/>
        <v>-2.660294508683676</v>
      </c>
      <c r="J478" s="28">
        <f t="shared" si="154"/>
        <v>6.0510706652189376E-3</v>
      </c>
      <c r="K478" s="24">
        <f t="shared" si="155"/>
        <v>1049.407664456377</v>
      </c>
      <c r="L478" s="32">
        <f t="shared" si="156"/>
        <v>0.55489447303817718</v>
      </c>
      <c r="M478" s="35">
        <f t="shared" si="157"/>
        <v>13.458307501891962</v>
      </c>
      <c r="O478" s="29">
        <f t="shared" si="158"/>
        <v>1046.5815538269994</v>
      </c>
      <c r="T478" s="48">
        <v>0.74499998842592596</v>
      </c>
      <c r="U478" s="29">
        <v>-1269.7532398491016</v>
      </c>
      <c r="V478" s="29">
        <v>4580.8076304479955</v>
      </c>
      <c r="W478" s="29">
        <v>4265.2989160822308</v>
      </c>
      <c r="X478" s="4">
        <v>-0.32536431022557105</v>
      </c>
      <c r="Y478" s="4">
        <v>-0.12397148574448108</v>
      </c>
      <c r="Z478" s="4">
        <v>-2.9410091510607247E-2</v>
      </c>
      <c r="AA478" s="3">
        <f t="shared" si="163"/>
        <v>0.34942211883181923</v>
      </c>
      <c r="AB478" s="3">
        <f t="shared" si="166"/>
        <v>1.5901725305027165E-2</v>
      </c>
      <c r="AC478" s="3">
        <f t="shared" si="164"/>
        <v>4.3886091758418157E-2</v>
      </c>
      <c r="AD478" s="48"/>
      <c r="AE478" s="46">
        <f t="shared" si="159"/>
        <v>42.092149605286885</v>
      </c>
      <c r="AF478" s="46">
        <f t="shared" si="160"/>
        <v>-248.53987189503937</v>
      </c>
      <c r="AG478" s="47">
        <f t="shared" si="161"/>
        <v>18044.238040302844</v>
      </c>
      <c r="AH478" s="45" t="str">
        <f t="shared" si="165"/>
        <v>-248.53987,42.09215,18044</v>
      </c>
      <c r="AI478" s="44">
        <f t="shared" si="167"/>
        <v>1021.317230306728</v>
      </c>
    </row>
    <row r="479" spans="1:35" ht="18" customHeight="1" x14ac:dyDescent="0.25">
      <c r="A479" s="36">
        <f t="shared" si="162"/>
        <v>0.74501160879629635</v>
      </c>
      <c r="B479" s="42">
        <f t="shared" si="147"/>
        <v>42.092149596144068</v>
      </c>
      <c r="C479" s="43">
        <f t="shared" si="148"/>
        <v>111.46012771031482</v>
      </c>
      <c r="D479" s="18">
        <f t="shared" si="149"/>
        <v>18.000274524977613</v>
      </c>
      <c r="E479" s="21" t="str">
        <f t="shared" si="150"/>
        <v>Umbra</v>
      </c>
      <c r="F479" s="23">
        <f>IF($E479&lt;&gt;"Umbra",fracil2($S$2,$S$3,$S$4,$A479,$Q$2,$O$3,$Q$4,$U479,$V479,$W479),0)</f>
        <v>0</v>
      </c>
      <c r="G479" s="19">
        <f t="shared" si="151"/>
        <v>69.299078841328978</v>
      </c>
      <c r="H479" s="19">
        <f t="shared" si="152"/>
        <v>-3.8707011170630978</v>
      </c>
      <c r="I479" s="19">
        <f t="shared" si="153"/>
        <v>-2.6626831676682023</v>
      </c>
      <c r="J479" s="28">
        <f t="shared" si="154"/>
        <v>6.0435661938382321E-3</v>
      </c>
      <c r="K479" s="24">
        <f t="shared" si="155"/>
        <v>1049.4033356134873</v>
      </c>
      <c r="L479" s="32">
        <f t="shared" si="156"/>
        <v>0.55491119919216592</v>
      </c>
      <c r="M479" s="35">
        <f t="shared" si="157"/>
        <v>13.45670569071933</v>
      </c>
      <c r="O479" s="29">
        <f t="shared" si="158"/>
        <v>1046.5815218674888</v>
      </c>
      <c r="T479" s="48">
        <v>0.74501160879629635</v>
      </c>
      <c r="U479" s="29">
        <v>-1270.0798623003845</v>
      </c>
      <c r="V479" s="29">
        <v>4580.6832274938461</v>
      </c>
      <c r="W479" s="29">
        <v>4265.2694454834109</v>
      </c>
      <c r="X479" s="4">
        <v>-0.32538358603941248</v>
      </c>
      <c r="Y479" s="4">
        <v>-0.12388353279351254</v>
      </c>
      <c r="Z479" s="4">
        <v>-2.930594720180657E-2</v>
      </c>
      <c r="AA479" s="3">
        <f t="shared" si="163"/>
        <v>0.34940012350121474</v>
      </c>
      <c r="AB479" s="3">
        <f t="shared" si="166"/>
        <v>1.5775844499391029E-2</v>
      </c>
      <c r="AC479" s="3">
        <f t="shared" si="164"/>
        <v>4.3730775035532209E-2</v>
      </c>
      <c r="AD479" s="48"/>
      <c r="AE479" s="46">
        <f t="shared" si="159"/>
        <v>42.092149596144068</v>
      </c>
      <c r="AF479" s="46">
        <f t="shared" si="160"/>
        <v>-248.53987228968518</v>
      </c>
      <c r="AG479" s="47">
        <f t="shared" si="161"/>
        <v>18000.274524977613</v>
      </c>
      <c r="AH479" s="45" t="str">
        <f t="shared" si="165"/>
        <v>-248.53987,42.09215,18000</v>
      </c>
      <c r="AI479" s="44">
        <f t="shared" si="167"/>
        <v>1021.317230306728</v>
      </c>
    </row>
    <row r="480" spans="1:35" ht="18" customHeight="1" x14ac:dyDescent="0.25">
      <c r="A480" s="36">
        <f t="shared" si="162"/>
        <v>0.74502329861111116</v>
      </c>
      <c r="B480" s="42">
        <f t="shared" si="147"/>
        <v>42.092149586990693</v>
      </c>
      <c r="C480" s="43">
        <f t="shared" si="148"/>
        <v>111.46012785666645</v>
      </c>
      <c r="D480" s="18">
        <f t="shared" si="149"/>
        <v>17.956199369379647</v>
      </c>
      <c r="E480" s="21" t="str">
        <f t="shared" si="150"/>
        <v>Umbra</v>
      </c>
      <c r="F480" s="23">
        <f>IF($E480&lt;&gt;"Umbra",fracil2($S$2,$S$3,$S$4,$A480,$Q$2,$O$3,$Q$4,$U480,$V480,$W480),0)</f>
        <v>0</v>
      </c>
      <c r="G480" s="19">
        <f t="shared" si="151"/>
        <v>69.299086873497941</v>
      </c>
      <c r="H480" s="19">
        <f t="shared" si="152"/>
        <v>-3.8730960934724181</v>
      </c>
      <c r="I480" s="19">
        <f t="shared" si="153"/>
        <v>-2.6650781440775226</v>
      </c>
      <c r="J480" s="28">
        <f t="shared" si="154"/>
        <v>6.0360736508928113E-3</v>
      </c>
      <c r="K480" s="24">
        <f t="shared" si="155"/>
        <v>1049.3990412248822</v>
      </c>
      <c r="L480" s="32">
        <f t="shared" si="156"/>
        <v>0.55492800730111547</v>
      </c>
      <c r="M480" s="35">
        <f t="shared" si="157"/>
        <v>13.455099209663329</v>
      </c>
      <c r="O480" s="29">
        <f t="shared" si="158"/>
        <v>1046.5815334056897</v>
      </c>
      <c r="T480" s="48">
        <v>0.74502329861111116</v>
      </c>
      <c r="U480" s="29">
        <v>-1270.4084985700026</v>
      </c>
      <c r="V480" s="29">
        <v>4580.5581536041509</v>
      </c>
      <c r="W480" s="29">
        <v>4265.2399000484656</v>
      </c>
      <c r="X480" s="4">
        <v>-0.3254027767492898</v>
      </c>
      <c r="Y480" s="4">
        <v>-0.12379586924812928</v>
      </c>
      <c r="Z480" s="4">
        <v>-2.9201935904500237E-2</v>
      </c>
      <c r="AA480" s="3">
        <f t="shared" si="163"/>
        <v>0.34937821543367381</v>
      </c>
      <c r="AB480" s="3">
        <f t="shared" si="166"/>
        <v>1.5662066937338796E-2</v>
      </c>
      <c r="AC480" s="3">
        <f t="shared" si="164"/>
        <v>4.3575656984860878E-2</v>
      </c>
      <c r="AD480" s="48"/>
      <c r="AE480" s="46">
        <f t="shared" si="159"/>
        <v>42.092149586990693</v>
      </c>
      <c r="AF480" s="46">
        <f t="shared" si="160"/>
        <v>-248.53987214333355</v>
      </c>
      <c r="AG480" s="47">
        <f t="shared" si="161"/>
        <v>17956.199369379647</v>
      </c>
      <c r="AH480" s="45" t="str">
        <f t="shared" si="165"/>
        <v>-248.53987,42.09215,17956</v>
      </c>
      <c r="AI480" s="44">
        <f t="shared" si="167"/>
        <v>1021.317230306728</v>
      </c>
    </row>
    <row r="481" spans="1:35" ht="18" customHeight="1" x14ac:dyDescent="0.25">
      <c r="A481" s="36">
        <f t="shared" si="162"/>
        <v>0.74503472222222233</v>
      </c>
      <c r="B481" s="42">
        <f t="shared" si="147"/>
        <v>42.092149578091778</v>
      </c>
      <c r="C481" s="43">
        <f t="shared" si="148"/>
        <v>111.46012671882784</v>
      </c>
      <c r="D481" s="18">
        <f t="shared" si="149"/>
        <v>17.913292043068395</v>
      </c>
      <c r="E481" s="21" t="str">
        <f t="shared" si="150"/>
        <v>Umbra</v>
      </c>
      <c r="F481" s="23">
        <f>IF($E481&lt;&gt;"Umbra",fracil2($S$2,$S$3,$S$4,$A481,$Q$2,$O$3,$Q$4,$U481,$V481,$W481),0)</f>
        <v>0</v>
      </c>
      <c r="G481" s="19">
        <f t="shared" si="151"/>
        <v>69.299093389672322</v>
      </c>
      <c r="H481" s="19">
        <f t="shared" si="152"/>
        <v>-3.8754270830450026</v>
      </c>
      <c r="I481" s="19">
        <f t="shared" si="153"/>
        <v>-2.6674091336501071</v>
      </c>
      <c r="J481" s="28">
        <f t="shared" si="154"/>
        <v>6.0288092879898112E-3</v>
      </c>
      <c r="K481" s="24">
        <f t="shared" si="155"/>
        <v>1049.394759355604</v>
      </c>
      <c r="L481" s="32">
        <f t="shared" si="156"/>
        <v>0.55494441501470748</v>
      </c>
      <c r="M481" s="35">
        <f t="shared" si="157"/>
        <v>13.453536591184948</v>
      </c>
      <c r="O481" s="29">
        <f t="shared" si="158"/>
        <v>1046.5814416971534</v>
      </c>
      <c r="T481" s="48">
        <v>0.74503472222222233</v>
      </c>
      <c r="U481" s="29">
        <v>-1270.72957006362</v>
      </c>
      <c r="V481" s="29">
        <v>4580.4360509420585</v>
      </c>
      <c r="W481" s="29">
        <v>4265.2111374597216</v>
      </c>
      <c r="X481" s="4">
        <v>-0.32542133149040686</v>
      </c>
      <c r="Y481" s="4">
        <v>-0.12371101617316561</v>
      </c>
      <c r="Z481" s="4">
        <v>-2.9101057456408307E-2</v>
      </c>
      <c r="AA481" s="3">
        <f t="shared" si="163"/>
        <v>0.34935702376890559</v>
      </c>
      <c r="AB481" s="3">
        <f t="shared" si="166"/>
        <v>1.5544269918969025E-2</v>
      </c>
      <c r="AC481" s="3">
        <f t="shared" si="164"/>
        <v>4.3425211426475395E-2</v>
      </c>
      <c r="AD481" s="48"/>
      <c r="AE481" s="46">
        <f t="shared" si="159"/>
        <v>42.092149578091778</v>
      </c>
      <c r="AF481" s="46">
        <f t="shared" si="160"/>
        <v>-248.53987328117216</v>
      </c>
      <c r="AG481" s="47">
        <f t="shared" si="161"/>
        <v>17913.292043068395</v>
      </c>
      <c r="AH481" s="45" t="str">
        <f t="shared" si="165"/>
        <v>-248.53987,42.09215,17913</v>
      </c>
      <c r="AI481" s="44">
        <f t="shared" si="167"/>
        <v>1021.317230306728</v>
      </c>
    </row>
    <row r="482" spans="1:35" ht="18" customHeight="1" x14ac:dyDescent="0.25">
      <c r="A482" s="36">
        <f t="shared" si="162"/>
        <v>0.74504641203703714</v>
      </c>
      <c r="B482" s="42">
        <f t="shared" si="147"/>
        <v>42.092149569025203</v>
      </c>
      <c r="C482" s="43">
        <f t="shared" si="148"/>
        <v>111.4601275324983</v>
      </c>
      <c r="D482" s="18">
        <f t="shared" si="149"/>
        <v>17.869517503175302</v>
      </c>
      <c r="E482" s="21" t="str">
        <f t="shared" si="150"/>
        <v>Umbra</v>
      </c>
      <c r="F482" s="23">
        <f>IF($E482&lt;&gt;"Umbra",fracil2($S$2,$S$3,$S$4,$A482,$Q$2,$O$3,$Q$4,$U482,$V482,$W482),0)</f>
        <v>0</v>
      </c>
      <c r="G482" s="19">
        <f t="shared" si="151"/>
        <v>69.299102047392012</v>
      </c>
      <c r="H482" s="19">
        <f t="shared" si="152"/>
        <v>-3.8778060487593837</v>
      </c>
      <c r="I482" s="19">
        <f t="shared" si="153"/>
        <v>-2.6697880993644887</v>
      </c>
      <c r="J482" s="28">
        <f t="shared" si="154"/>
        <v>6.0214278276437818E-3</v>
      </c>
      <c r="K482" s="24">
        <f t="shared" si="155"/>
        <v>1049.3905516251266</v>
      </c>
      <c r="L482" s="32">
        <f t="shared" si="156"/>
        <v>0.55496118772967895</v>
      </c>
      <c r="M482" s="35">
        <f t="shared" si="157"/>
        <v>13.451940297216382</v>
      </c>
      <c r="O482" s="29">
        <f t="shared" si="158"/>
        <v>1046.581506892139</v>
      </c>
      <c r="T482" s="48">
        <v>0.74504641203703714</v>
      </c>
      <c r="U482" s="29">
        <v>-1271.0582965326655</v>
      </c>
      <c r="V482" s="29">
        <v>4580.3111306171031</v>
      </c>
      <c r="W482" s="29">
        <v>4265.1817935421923</v>
      </c>
      <c r="X482" s="4">
        <v>-0.32544013125552357</v>
      </c>
      <c r="Y482" s="4">
        <v>-0.12362494509447114</v>
      </c>
      <c r="Z482" s="4">
        <v>-2.8998524167828159E-2</v>
      </c>
      <c r="AA482" s="3">
        <f t="shared" si="163"/>
        <v>0.34933554139986317</v>
      </c>
      <c r="AB482" s="3">
        <f t="shared" si="166"/>
        <v>1.5439447400222298E-2</v>
      </c>
      <c r="AC482" s="3">
        <f t="shared" si="164"/>
        <v>4.3272298213056837E-2</v>
      </c>
      <c r="AD482" s="48"/>
      <c r="AE482" s="46">
        <f t="shared" si="159"/>
        <v>42.092149569025203</v>
      </c>
      <c r="AF482" s="46">
        <f t="shared" si="160"/>
        <v>-248.53987246750171</v>
      </c>
      <c r="AG482" s="47">
        <f t="shared" si="161"/>
        <v>17869.517503175302</v>
      </c>
      <c r="AH482" s="45" t="str">
        <f t="shared" si="165"/>
        <v>-248.53987,42.09215,17870</v>
      </c>
      <c r="AI482" s="44">
        <f t="shared" si="167"/>
        <v>1021.317230306728</v>
      </c>
    </row>
    <row r="483" spans="1:35" ht="18" customHeight="1" x14ac:dyDescent="0.25">
      <c r="A483" s="36">
        <f t="shared" si="162"/>
        <v>0.74505802083333339</v>
      </c>
      <c r="B483" s="42">
        <f t="shared" si="147"/>
        <v>42.09214956006997</v>
      </c>
      <c r="C483" s="43">
        <f t="shared" si="148"/>
        <v>111.46012612776201</v>
      </c>
      <c r="D483" s="18">
        <f t="shared" si="149"/>
        <v>17.826221510178584</v>
      </c>
      <c r="E483" s="21" t="str">
        <f t="shared" si="150"/>
        <v>Umbra</v>
      </c>
      <c r="F483" s="23">
        <f>IF($E483&lt;&gt;"Umbra",fracil2($S$2,$S$3,$S$4,$A483,$Q$2,$O$3,$Q$4,$U483,$V483,$W483),0)</f>
        <v>0</v>
      </c>
      <c r="G483" s="19">
        <f t="shared" si="151"/>
        <v>69.299108361480179</v>
      </c>
      <c r="H483" s="19">
        <f t="shared" si="152"/>
        <v>-3.8801580819473305</v>
      </c>
      <c r="I483" s="19">
        <f t="shared" si="153"/>
        <v>-2.6721401325524354</v>
      </c>
      <c r="J483" s="28">
        <f t="shared" si="154"/>
        <v>6.0141569955678266E-3</v>
      </c>
      <c r="K483" s="24">
        <f t="shared" si="155"/>
        <v>1049.3862138729169</v>
      </c>
      <c r="L483" s="32">
        <f t="shared" si="156"/>
        <v>0.55497782624724057</v>
      </c>
      <c r="M483" s="35">
        <f t="shared" si="157"/>
        <v>13.450363717471141</v>
      </c>
      <c r="O483" s="29">
        <f t="shared" si="158"/>
        <v>1046.5813937227454</v>
      </c>
      <c r="T483" s="48">
        <v>0.74505802083333339</v>
      </c>
      <c r="U483" s="29">
        <v>-1271.3845911877572</v>
      </c>
      <c r="V483" s="29">
        <v>4580.1872270874683</v>
      </c>
      <c r="W483" s="29">
        <v>4265.1527704158234</v>
      </c>
      <c r="X483" s="4">
        <v>-0.32545859693364559</v>
      </c>
      <c r="Y483" s="4">
        <v>-0.12354030638559267</v>
      </c>
      <c r="Z483" s="4">
        <v>-2.8897490907371384E-2</v>
      </c>
      <c r="AA483" s="3">
        <f t="shared" si="163"/>
        <v>0.3493144294194056</v>
      </c>
      <c r="AB483" s="3">
        <f t="shared" si="166"/>
        <v>1.5319719545866948E-2</v>
      </c>
      <c r="AC483" s="3">
        <f t="shared" si="164"/>
        <v>4.3121622367681099E-2</v>
      </c>
      <c r="AD483" s="48"/>
      <c r="AE483" s="46">
        <f t="shared" si="159"/>
        <v>42.09214956006997</v>
      </c>
      <c r="AF483" s="46">
        <f t="shared" si="160"/>
        <v>-248.53987387223799</v>
      </c>
      <c r="AG483" s="47">
        <f t="shared" si="161"/>
        <v>17826.221510178584</v>
      </c>
      <c r="AH483" s="45" t="str">
        <f t="shared" si="165"/>
        <v>-248.53987,42.09215,17826</v>
      </c>
      <c r="AI483" s="44">
        <f t="shared" si="167"/>
        <v>1021.317364565513</v>
      </c>
    </row>
    <row r="484" spans="1:35" ht="18" customHeight="1" x14ac:dyDescent="0.25">
      <c r="A484" s="36">
        <f t="shared" si="162"/>
        <v>0.74506945601851848</v>
      </c>
      <c r="B484" s="42">
        <f t="shared" si="147"/>
        <v>42.092149551279235</v>
      </c>
      <c r="C484" s="43">
        <f t="shared" si="148"/>
        <v>111.46013020228929</v>
      </c>
      <c r="D484" s="18">
        <f t="shared" si="149"/>
        <v>17.783664084290649</v>
      </c>
      <c r="E484" s="21" t="str">
        <f t="shared" si="150"/>
        <v>Umbra</v>
      </c>
      <c r="F484" s="23">
        <f>IF($E484&lt;&gt;"Umbra",fracil2($S$2,$S$3,$S$4,$A484,$Q$2,$O$3,$Q$4,$U484,$V484,$W484),0)</f>
        <v>0</v>
      </c>
      <c r="G484" s="19">
        <f t="shared" si="151"/>
        <v>69.29912012072748</v>
      </c>
      <c r="H484" s="19">
        <f t="shared" si="152"/>
        <v>-3.882472342153056</v>
      </c>
      <c r="I484" s="19">
        <f t="shared" si="153"/>
        <v>-2.674454392758161</v>
      </c>
      <c r="J484" s="28">
        <f t="shared" si="154"/>
        <v>6.0070380706544356E-3</v>
      </c>
      <c r="K484" s="24">
        <f t="shared" si="155"/>
        <v>1049.3823908301249</v>
      </c>
      <c r="L484" s="32">
        <f t="shared" si="156"/>
        <v>0.55499419980995601</v>
      </c>
      <c r="M484" s="35">
        <f t="shared" si="157"/>
        <v>13.448808317825614</v>
      </c>
      <c r="O484" s="29">
        <f t="shared" si="158"/>
        <v>1046.581721108204</v>
      </c>
      <c r="T484" s="48">
        <v>0.74506945601851848</v>
      </c>
      <c r="U484" s="29">
        <v>-1271.7064493888586</v>
      </c>
      <c r="V484" s="29">
        <v>4580.0650978075355</v>
      </c>
      <c r="W484" s="29">
        <v>4265.1242423830527</v>
      </c>
      <c r="X484" s="4">
        <v>-0.32547662305723507</v>
      </c>
      <c r="Y484" s="4">
        <v>-0.12345758739051946</v>
      </c>
      <c r="Z484" s="4">
        <v>-2.8798547967961233E-2</v>
      </c>
      <c r="AA484" s="3">
        <f t="shared" si="163"/>
        <v>0.34929380814164485</v>
      </c>
      <c r="AB484" s="3">
        <f t="shared" si="166"/>
        <v>1.5230508019556959E-2</v>
      </c>
      <c r="AC484" s="3">
        <f t="shared" si="164"/>
        <v>4.2974064210382183E-2</v>
      </c>
      <c r="AD484" s="48"/>
      <c r="AE484" s="46">
        <f t="shared" si="159"/>
        <v>42.092149551279235</v>
      </c>
      <c r="AF484" s="46">
        <f t="shared" si="160"/>
        <v>-248.53986979771071</v>
      </c>
      <c r="AG484" s="47">
        <f t="shared" si="161"/>
        <v>17783.664084290649</v>
      </c>
      <c r="AH484" s="45" t="str">
        <f t="shared" si="165"/>
        <v>-248.53987,42.09215,17784</v>
      </c>
      <c r="AI484" s="44">
        <f t="shared" si="167"/>
        <v>1021.3176934310318</v>
      </c>
    </row>
    <row r="485" spans="1:35" ht="18" customHeight="1" x14ac:dyDescent="0.25">
      <c r="A485" s="36">
        <f t="shared" si="162"/>
        <v>0.7450810532407407</v>
      </c>
      <c r="B485" s="42">
        <f t="shared" si="147"/>
        <v>42.092149542414141</v>
      </c>
      <c r="C485" s="43">
        <f t="shared" si="148"/>
        <v>111.46013063252948</v>
      </c>
      <c r="D485" s="18">
        <f t="shared" si="149"/>
        <v>17.740690078263469</v>
      </c>
      <c r="E485" s="21" t="str">
        <f t="shared" si="150"/>
        <v>Umbra</v>
      </c>
      <c r="F485" s="23">
        <f>IF($E485&lt;&gt;"Umbra",fracil2($S$2,$S$3,$S$4,$A485,$Q$2,$O$3,$Q$4,$U485,$V485,$W485),0)</f>
        <v>0</v>
      </c>
      <c r="G485" s="19">
        <f t="shared" si="151"/>
        <v>69.299128245073447</v>
      </c>
      <c r="H485" s="19">
        <f t="shared" si="152"/>
        <v>-3.8848076998393166</v>
      </c>
      <c r="I485" s="19">
        <f t="shared" si="153"/>
        <v>-2.6767897504444216</v>
      </c>
      <c r="J485" s="28">
        <f t="shared" si="154"/>
        <v>5.9998786927803922E-3</v>
      </c>
      <c r="K485" s="24">
        <f t="shared" si="155"/>
        <v>1049.378235633344</v>
      </c>
      <c r="L485" s="32">
        <f t="shared" si="156"/>
        <v>0.55501078766151457</v>
      </c>
      <c r="M485" s="35">
        <f t="shared" si="157"/>
        <v>13.447241492110964</v>
      </c>
      <c r="O485" s="29">
        <f t="shared" si="158"/>
        <v>1046.5817554791781</v>
      </c>
      <c r="T485" s="48">
        <v>0.7450810532407407</v>
      </c>
      <c r="U485" s="29">
        <v>-1272.0325982017052</v>
      </c>
      <c r="V485" s="29">
        <v>4579.9414303714129</v>
      </c>
      <c r="W485" s="29">
        <v>4265.0954351000682</v>
      </c>
      <c r="X485" s="4">
        <v>-0.32549470057959667</v>
      </c>
      <c r="Y485" s="4">
        <v>-0.12337453631595315</v>
      </c>
      <c r="Z485" s="4">
        <v>-2.8699004257221685E-2</v>
      </c>
      <c r="AA485" s="3">
        <f t="shared" si="163"/>
        <v>0.34927311542965023</v>
      </c>
      <c r="AB485" s="3">
        <f t="shared" si="166"/>
        <v>1.5108862691507009E-2</v>
      </c>
      <c r="AC485" s="3">
        <f t="shared" si="164"/>
        <v>4.2825610387814253E-2</v>
      </c>
      <c r="AD485" s="48"/>
      <c r="AE485" s="46">
        <f t="shared" si="159"/>
        <v>42.092149542414141</v>
      </c>
      <c r="AF485" s="46">
        <f t="shared" si="160"/>
        <v>-248.53986936747052</v>
      </c>
      <c r="AG485" s="47">
        <f t="shared" si="161"/>
        <v>17740.690078263469</v>
      </c>
      <c r="AH485" s="45" t="str">
        <f t="shared" si="165"/>
        <v>-248.53987,42.09215,17741</v>
      </c>
      <c r="AI485" s="44">
        <f t="shared" si="167"/>
        <v>1021.3176934310318</v>
      </c>
    </row>
    <row r="486" spans="1:35" ht="18" customHeight="1" x14ac:dyDescent="0.25">
      <c r="A486" s="36">
        <f t="shared" si="162"/>
        <v>0.74509274305555551</v>
      </c>
      <c r="B486" s="42">
        <f t="shared" si="147"/>
        <v>42.092149533529181</v>
      </c>
      <c r="C486" s="43">
        <f t="shared" si="148"/>
        <v>111.46012728288471</v>
      </c>
      <c r="D486" s="18">
        <f t="shared" si="149"/>
        <v>17.697561619022053</v>
      </c>
      <c r="E486" s="21" t="str">
        <f t="shared" si="150"/>
        <v>Umbra</v>
      </c>
      <c r="F486" s="23">
        <f>IF($E486&lt;&gt;"Umbra",fracil2($S$2,$S$3,$S$4,$A486,$Q$2,$O$3,$Q$4,$U486,$V486,$W486),0)</f>
        <v>0</v>
      </c>
      <c r="G486" s="19">
        <f t="shared" si="151"/>
        <v>69.29913254961771</v>
      </c>
      <c r="H486" s="19">
        <f t="shared" si="152"/>
        <v>-3.8871498556875168</v>
      </c>
      <c r="I486" s="19">
        <f t="shared" si="153"/>
        <v>-2.6791319062926213</v>
      </c>
      <c r="J486" s="28">
        <f t="shared" si="154"/>
        <v>5.9927232207301001E-3</v>
      </c>
      <c r="K486" s="24">
        <f t="shared" si="155"/>
        <v>1049.37376296461</v>
      </c>
      <c r="L486" s="32">
        <f t="shared" si="156"/>
        <v>0.55502749006070684</v>
      </c>
      <c r="M486" s="35">
        <f t="shared" si="157"/>
        <v>13.445672933681772</v>
      </c>
      <c r="O486" s="29">
        <f t="shared" si="158"/>
        <v>1046.581485934531</v>
      </c>
      <c r="T486" s="48">
        <v>0.74509274305555551</v>
      </c>
      <c r="U486" s="29">
        <v>-1272.361074639161</v>
      </c>
      <c r="V486" s="29">
        <v>4579.8169709791664</v>
      </c>
      <c r="W486" s="29">
        <v>4265.0665242816021</v>
      </c>
      <c r="X486" s="4">
        <v>-0.32551271611541638</v>
      </c>
      <c r="Y486" s="4">
        <v>-0.12329167130707931</v>
      </c>
      <c r="Z486" s="4">
        <v>-2.8599475959305343E-2</v>
      </c>
      <c r="AA486" s="3">
        <f t="shared" si="163"/>
        <v>0.34925247972158396</v>
      </c>
      <c r="AB486" s="3">
        <f t="shared" si="166"/>
        <v>1.4986837740163595E-2</v>
      </c>
      <c r="AC486" s="3">
        <f t="shared" si="164"/>
        <v>4.2677179847625493E-2</v>
      </c>
      <c r="AD486" s="48"/>
      <c r="AE486" s="46">
        <f t="shared" si="159"/>
        <v>42.092149533529181</v>
      </c>
      <c r="AF486" s="46">
        <f t="shared" si="160"/>
        <v>-248.53987271711529</v>
      </c>
      <c r="AG486" s="47">
        <f t="shared" si="161"/>
        <v>17697.561619022053</v>
      </c>
      <c r="AH486" s="45" t="str">
        <f t="shared" si="165"/>
        <v>-248.53987,42.09215,17698</v>
      </c>
      <c r="AI486" s="44">
        <f t="shared" si="167"/>
        <v>1021.3179619486033</v>
      </c>
    </row>
    <row r="487" spans="1:35" ht="18" customHeight="1" x14ac:dyDescent="0.25">
      <c r="A487" s="36">
        <f t="shared" si="162"/>
        <v>0.74510425925925927</v>
      </c>
      <c r="B487" s="42">
        <f t="shared" si="147"/>
        <v>42.092149524806402</v>
      </c>
      <c r="C487" s="43">
        <f t="shared" si="148"/>
        <v>111.46012936113949</v>
      </c>
      <c r="D487" s="18">
        <f t="shared" si="149"/>
        <v>17.655164923033226</v>
      </c>
      <c r="E487" s="21" t="str">
        <f t="shared" si="150"/>
        <v>Umbra</v>
      </c>
      <c r="F487" s="23">
        <f>IF($E487&lt;&gt;"Umbra",fracil2($S$2,$S$3,$S$4,$A487,$Q$2,$O$3,$Q$4,$U487,$V487,$W487),0)</f>
        <v>0</v>
      </c>
      <c r="G487" s="19">
        <f t="shared" si="151"/>
        <v>69.299142248247563</v>
      </c>
      <c r="H487" s="19">
        <f t="shared" si="152"/>
        <v>-3.8894545829828808</v>
      </c>
      <c r="I487" s="19">
        <f t="shared" si="153"/>
        <v>-2.6814366335879853</v>
      </c>
      <c r="J487" s="28">
        <f t="shared" si="154"/>
        <v>5.9857165028368393E-3</v>
      </c>
      <c r="K487" s="24">
        <f t="shared" si="155"/>
        <v>1049.3698001034757</v>
      </c>
      <c r="L487" s="32">
        <f t="shared" si="156"/>
        <v>0.55504392833875993</v>
      </c>
      <c r="M487" s="35">
        <f t="shared" si="157"/>
        <v>13.444125364390676</v>
      </c>
      <c r="O487" s="29">
        <f t="shared" si="158"/>
        <v>1046.5816528148348</v>
      </c>
      <c r="T487" s="48">
        <v>0.74510425925925927</v>
      </c>
      <c r="U487" s="29">
        <v>-1272.6851095455575</v>
      </c>
      <c r="V487" s="29">
        <v>4579.6942827439352</v>
      </c>
      <c r="W487" s="29">
        <v>4265.0381039957483</v>
      </c>
      <c r="X487" s="4">
        <v>-0.32553030314365278</v>
      </c>
      <c r="Y487" s="4">
        <v>-0.1232106811071217</v>
      </c>
      <c r="Z487" s="4">
        <v>-2.8501996457893072E-2</v>
      </c>
      <c r="AA487" s="3">
        <f t="shared" si="163"/>
        <v>0.34923232096380347</v>
      </c>
      <c r="AB487" s="3">
        <f t="shared" si="166"/>
        <v>1.4899582338691625E-2</v>
      </c>
      <c r="AC487" s="3">
        <f t="shared" si="164"/>
        <v>4.2531805069733572E-2</v>
      </c>
      <c r="AD487" s="48"/>
      <c r="AE487" s="46">
        <f t="shared" si="159"/>
        <v>42.092149524806402</v>
      </c>
      <c r="AF487" s="46">
        <f t="shared" si="160"/>
        <v>-248.53987063886052</v>
      </c>
      <c r="AG487" s="47">
        <f t="shared" si="161"/>
        <v>17655.164923033226</v>
      </c>
      <c r="AH487" s="45" t="str">
        <f t="shared" si="165"/>
        <v>-248.53987,42.09215,17655</v>
      </c>
      <c r="AI487" s="44">
        <f t="shared" si="167"/>
        <v>1021.3181518191992</v>
      </c>
    </row>
    <row r="488" spans="1:35" ht="18" customHeight="1" x14ac:dyDescent="0.25">
      <c r="A488" s="36">
        <f t="shared" si="162"/>
        <v>0.74511585648148149</v>
      </c>
      <c r="B488" s="42">
        <f t="shared" si="147"/>
        <v>42.09214951607256</v>
      </c>
      <c r="C488" s="43">
        <f t="shared" si="148"/>
        <v>111.46012740125772</v>
      </c>
      <c r="D488" s="18">
        <f t="shared" si="149"/>
        <v>17.612656805913502</v>
      </c>
      <c r="E488" s="21" t="str">
        <f t="shared" si="150"/>
        <v>Umbra</v>
      </c>
      <c r="F488" s="23">
        <f>IF($E488&lt;&gt;"Umbra",fracil2($S$2,$S$3,$S$4,$A488,$Q$2,$O$3,$Q$4,$U488,$V488,$W488),0)</f>
        <v>0</v>
      </c>
      <c r="G488" s="19">
        <f t="shared" si="151"/>
        <v>69.299147856510302</v>
      </c>
      <c r="H488" s="19">
        <f t="shared" si="152"/>
        <v>-3.8917636602950414</v>
      </c>
      <c r="I488" s="19">
        <f t="shared" si="153"/>
        <v>-2.6837457109001459</v>
      </c>
      <c r="J488" s="28">
        <f t="shared" si="154"/>
        <v>5.9787197892980769E-3</v>
      </c>
      <c r="K488" s="24">
        <f t="shared" si="155"/>
        <v>1049.3655031453286</v>
      </c>
      <c r="L488" s="32">
        <f t="shared" si="156"/>
        <v>0.55506046486028315</v>
      </c>
      <c r="M488" s="35">
        <f t="shared" si="157"/>
        <v>13.442577899783041</v>
      </c>
      <c r="O488" s="29">
        <f t="shared" si="158"/>
        <v>1046.5814950154686</v>
      </c>
      <c r="T488" s="48">
        <v>0.74511585648148149</v>
      </c>
      <c r="U488" s="29">
        <v>-1273.0111260716744</v>
      </c>
      <c r="V488" s="29">
        <v>4579.5709318517911</v>
      </c>
      <c r="W488" s="29">
        <v>4265.0096090206225</v>
      </c>
      <c r="X488" s="4">
        <v>-0.32554781439438407</v>
      </c>
      <c r="Y488" s="4">
        <v>-0.12312994354082675</v>
      </c>
      <c r="Z488" s="4">
        <v>-2.840461788214696E-2</v>
      </c>
      <c r="AA488" s="3">
        <f t="shared" si="163"/>
        <v>0.34921223456568401</v>
      </c>
      <c r="AB488" s="3">
        <f t="shared" si="166"/>
        <v>1.4780145167963495E-2</v>
      </c>
      <c r="AC488" s="3">
        <f t="shared" si="164"/>
        <v>4.2386581098009579E-2</v>
      </c>
      <c r="AD488" s="48"/>
      <c r="AE488" s="46">
        <f t="shared" si="159"/>
        <v>42.09214951607256</v>
      </c>
      <c r="AF488" s="46">
        <f t="shared" si="160"/>
        <v>-248.53987259874228</v>
      </c>
      <c r="AG488" s="47">
        <f t="shared" si="161"/>
        <v>17612.656805913502</v>
      </c>
      <c r="AH488" s="45" t="str">
        <f t="shared" si="165"/>
        <v>-248.53987,42.09215,17613</v>
      </c>
      <c r="AI488" s="44">
        <f t="shared" si="167"/>
        <v>1021.3182860779842</v>
      </c>
    </row>
    <row r="489" spans="1:35" ht="18" customHeight="1" x14ac:dyDescent="0.25">
      <c r="A489" s="36">
        <f t="shared" si="162"/>
        <v>0.74512740740740746</v>
      </c>
      <c r="B489" s="42">
        <f t="shared" si="147"/>
        <v>42.092149507402674</v>
      </c>
      <c r="C489" s="43">
        <f t="shared" si="148"/>
        <v>111.46013127714879</v>
      </c>
      <c r="D489" s="18">
        <f t="shared" si="149"/>
        <v>17.570403560877821</v>
      </c>
      <c r="E489" s="21" t="str">
        <f t="shared" si="150"/>
        <v>Umbra</v>
      </c>
      <c r="F489" s="23">
        <f>IF($E489&lt;&gt;"Umbra",fracil2($S$2,$S$3,$S$4,$A489,$Q$2,$O$3,$Q$4,$U489,$V489,$W489),0)</f>
        <v>0</v>
      </c>
      <c r="G489" s="19">
        <f t="shared" si="151"/>
        <v>69.29915935931102</v>
      </c>
      <c r="H489" s="19">
        <f t="shared" si="152"/>
        <v>-3.8940613941361946</v>
      </c>
      <c r="I489" s="19">
        <f t="shared" si="153"/>
        <v>-2.6860434447412995</v>
      </c>
      <c r="J489" s="28">
        <f t="shared" si="154"/>
        <v>5.9717917915976118E-3</v>
      </c>
      <c r="K489" s="24">
        <f t="shared" si="155"/>
        <v>1049.3617022956316</v>
      </c>
      <c r="L489" s="32">
        <f t="shared" si="156"/>
        <v>0.55507691953375204</v>
      </c>
      <c r="M489" s="35">
        <f t="shared" si="157"/>
        <v>13.441033619718072</v>
      </c>
      <c r="O489" s="29">
        <f t="shared" si="158"/>
        <v>1046.5818064329417</v>
      </c>
      <c r="T489" s="48">
        <v>0.74512740740740746</v>
      </c>
      <c r="U489" s="29">
        <v>-1273.3363127123484</v>
      </c>
      <c r="V489" s="29">
        <v>4579.447981700936</v>
      </c>
      <c r="W489" s="29">
        <v>4264.9812848979209</v>
      </c>
      <c r="X489" s="4">
        <v>-0.32556509969526592</v>
      </c>
      <c r="Y489" s="4">
        <v>-0.12305015138356314</v>
      </c>
      <c r="Z489" s="4">
        <v>-2.8308176765386564E-2</v>
      </c>
      <c r="AA489" s="3">
        <f t="shared" si="163"/>
        <v>0.34919239219502851</v>
      </c>
      <c r="AB489" s="3">
        <f t="shared" si="166"/>
        <v>1.4696497103114409E-2</v>
      </c>
      <c r="AC489" s="3">
        <f t="shared" si="164"/>
        <v>4.2242755475117029E-2</v>
      </c>
      <c r="AD489" s="48"/>
      <c r="AE489" s="46">
        <f t="shared" si="159"/>
        <v>42.092149507402674</v>
      </c>
      <c r="AF489" s="46">
        <f t="shared" si="160"/>
        <v>-248.53986872285122</v>
      </c>
      <c r="AG489" s="47">
        <f t="shared" si="161"/>
        <v>17570.403560877821</v>
      </c>
      <c r="AH489" s="45" t="str">
        <f t="shared" si="165"/>
        <v>-248.53987,42.09215,17570</v>
      </c>
      <c r="AI489" s="44">
        <f t="shared" si="167"/>
        <v>1021.318614943503</v>
      </c>
    </row>
    <row r="490" spans="1:35" ht="18" customHeight="1" x14ac:dyDescent="0.25">
      <c r="A490" s="36">
        <f t="shared" si="162"/>
        <v>0.74513887731481487</v>
      </c>
      <c r="B490" s="42">
        <f t="shared" si="147"/>
        <v>42.092149498844186</v>
      </c>
      <c r="C490" s="43">
        <f t="shared" si="148"/>
        <v>111.46013015591812</v>
      </c>
      <c r="D490" s="18">
        <f t="shared" si="149"/>
        <v>17.528638423494158</v>
      </c>
      <c r="E490" s="21" t="str">
        <f t="shared" si="150"/>
        <v>Umbra</v>
      </c>
      <c r="F490" s="23">
        <f>IF($E490&lt;&gt;"Umbra",fracil2($S$2,$S$3,$S$4,$A490,$Q$2,$O$3,$Q$4,$U490,$V490,$W490),0)</f>
        <v>0</v>
      </c>
      <c r="G490" s="19">
        <f t="shared" si="151"/>
        <v>69.299165688387376</v>
      </c>
      <c r="H490" s="19">
        <f t="shared" si="152"/>
        <v>-3.8963304907848992</v>
      </c>
      <c r="I490" s="19">
        <f t="shared" si="153"/>
        <v>-2.6883125413900038</v>
      </c>
      <c r="J490" s="28">
        <f t="shared" si="154"/>
        <v>5.9649713558941244E-3</v>
      </c>
      <c r="K490" s="24">
        <f t="shared" si="155"/>
        <v>1049.3575484986516</v>
      </c>
      <c r="L490" s="32">
        <f t="shared" si="156"/>
        <v>0.55509324177247288</v>
      </c>
      <c r="M490" s="35">
        <f t="shared" si="157"/>
        <v>13.439512296419396</v>
      </c>
      <c r="O490" s="29">
        <f t="shared" si="158"/>
        <v>1046.5817160682516</v>
      </c>
      <c r="T490" s="48">
        <v>0.74513887731481487</v>
      </c>
      <c r="U490" s="29">
        <v>-1273.6588483518501</v>
      </c>
      <c r="V490" s="29">
        <v>4579.3261186508134</v>
      </c>
      <c r="W490" s="29">
        <v>4264.9532879751951</v>
      </c>
      <c r="X490" s="4">
        <v>-0.32558206730992745</v>
      </c>
      <c r="Y490" s="4">
        <v>-0.12297173095534135</v>
      </c>
      <c r="Z490" s="4">
        <v>-2.8213194056973721E-2</v>
      </c>
      <c r="AA490" s="3">
        <f t="shared" si="163"/>
        <v>0.34917289913000898</v>
      </c>
      <c r="AB490" s="3">
        <f t="shared" si="166"/>
        <v>1.4576463820705517E-2</v>
      </c>
      <c r="AC490" s="3">
        <f t="shared" si="164"/>
        <v>4.2101105102129152E-2</v>
      </c>
      <c r="AD490" s="48"/>
      <c r="AE490" s="46">
        <f t="shared" si="159"/>
        <v>42.092149498844186</v>
      </c>
      <c r="AF490" s="46">
        <f t="shared" si="160"/>
        <v>-248.53986984408186</v>
      </c>
      <c r="AG490" s="47">
        <f t="shared" si="161"/>
        <v>17528.638423494158</v>
      </c>
      <c r="AH490" s="45" t="str">
        <f t="shared" si="165"/>
        <v>-248.53987,42.09215,17529</v>
      </c>
      <c r="AI490" s="44">
        <f t="shared" si="167"/>
        <v>1021.318709878801</v>
      </c>
    </row>
    <row r="491" spans="1:35" ht="18" customHeight="1" x14ac:dyDescent="0.25">
      <c r="A491" s="36">
        <f t="shared" si="162"/>
        <v>0.74515048611111112</v>
      </c>
      <c r="B491" s="42">
        <f t="shared" si="147"/>
        <v>42.092149490220905</v>
      </c>
      <c r="C491" s="43">
        <f t="shared" si="148"/>
        <v>111.46012981110131</v>
      </c>
      <c r="D491" s="18">
        <f t="shared" si="149"/>
        <v>17.486502035762896</v>
      </c>
      <c r="E491" s="21" t="str">
        <f t="shared" si="150"/>
        <v>Umbra</v>
      </c>
      <c r="F491" s="23">
        <f>IF($E491&lt;&gt;"Umbra",fracil2($S$2,$S$3,$S$4,$A491,$Q$2,$O$3,$Q$4,$U491,$V491,$W491),0)</f>
        <v>0</v>
      </c>
      <c r="G491" s="19">
        <f t="shared" si="151"/>
        <v>69.299172874192223</v>
      </c>
      <c r="H491" s="19">
        <f t="shared" si="152"/>
        <v>-3.898620110584325</v>
      </c>
      <c r="I491" s="19">
        <f t="shared" si="153"/>
        <v>-2.69060216118943</v>
      </c>
      <c r="J491" s="28">
        <f t="shared" si="154"/>
        <v>5.9581171318881226E-3</v>
      </c>
      <c r="K491" s="24">
        <f t="shared" si="155"/>
        <v>1049.3534227267983</v>
      </c>
      <c r="L491" s="32">
        <f t="shared" si="156"/>
        <v>0.55510974531694213</v>
      </c>
      <c r="M491" s="35">
        <f t="shared" si="157"/>
        <v>13.4379765972232</v>
      </c>
      <c r="O491" s="29">
        <f t="shared" si="158"/>
        <v>1046.5816881281621</v>
      </c>
      <c r="T491" s="48">
        <v>0.74515048611111112</v>
      </c>
      <c r="U491" s="29">
        <v>-1273.9853682925605</v>
      </c>
      <c r="V491" s="29">
        <v>4579.2028354235326</v>
      </c>
      <c r="W491" s="29">
        <v>4264.9250421887364</v>
      </c>
      <c r="X491" s="4">
        <v>-0.32559906707811159</v>
      </c>
      <c r="Y491" s="4">
        <v>-0.12289306579197125</v>
      </c>
      <c r="Z491" s="4">
        <v>-2.811771278543854E-2</v>
      </c>
      <c r="AA491" s="3">
        <f t="shared" si="163"/>
        <v>0.34915335294705507</v>
      </c>
      <c r="AB491" s="3">
        <f t="shared" si="166"/>
        <v>1.4477636854848E-2</v>
      </c>
      <c r="AC491" s="3">
        <f t="shared" si="164"/>
        <v>4.1958711492010116E-2</v>
      </c>
      <c r="AD491" s="48"/>
      <c r="AE491" s="46">
        <f t="shared" si="159"/>
        <v>42.092149490220905</v>
      </c>
      <c r="AF491" s="46">
        <f t="shared" si="160"/>
        <v>-248.5398701888987</v>
      </c>
      <c r="AG491" s="47">
        <f t="shared" si="161"/>
        <v>17486.502035762896</v>
      </c>
      <c r="AH491" s="45" t="str">
        <f t="shared" si="165"/>
        <v>-248.53987,42.09215,17487</v>
      </c>
      <c r="AI491" s="44">
        <f t="shared" si="167"/>
        <v>1021.318709878801</v>
      </c>
    </row>
    <row r="492" spans="1:35" ht="18" customHeight="1" x14ac:dyDescent="0.25">
      <c r="A492" s="36">
        <f t="shared" si="162"/>
        <v>0.74516209490740737</v>
      </c>
      <c r="B492" s="42">
        <f t="shared" si="147"/>
        <v>42.092149481634046</v>
      </c>
      <c r="C492" s="43">
        <f t="shared" si="148"/>
        <v>111.46013148050918</v>
      </c>
      <c r="D492" s="18">
        <f t="shared" si="149"/>
        <v>17.444487820649556</v>
      </c>
      <c r="E492" s="21" t="str">
        <f t="shared" si="150"/>
        <v>Umbra</v>
      </c>
      <c r="F492" s="23">
        <f>IF($E492&lt;&gt;"Umbra",fracil2($S$2,$S$3,$S$4,$A492,$Q$2,$O$3,$Q$4,$U492,$V492,$W492),0)</f>
        <v>0</v>
      </c>
      <c r="G492" s="19">
        <f t="shared" si="151"/>
        <v>69.299182088402645</v>
      </c>
      <c r="H492" s="19">
        <f t="shared" si="152"/>
        <v>-3.9009039667860494</v>
      </c>
      <c r="I492" s="19">
        <f t="shared" si="153"/>
        <v>-2.692886017391154</v>
      </c>
      <c r="J492" s="28">
        <f t="shared" si="154"/>
        <v>5.9513092511676909E-3</v>
      </c>
      <c r="K492" s="24">
        <f t="shared" si="155"/>
        <v>1049.3494725874393</v>
      </c>
      <c r="L492" s="32">
        <f t="shared" si="156"/>
        <v>0.55512623267993122</v>
      </c>
      <c r="M492" s="35">
        <f t="shared" si="157"/>
        <v>13.436443222403859</v>
      </c>
      <c r="O492" s="29">
        <f t="shared" si="158"/>
        <v>1046.5818221392356</v>
      </c>
      <c r="T492" s="48">
        <v>0.74516209490740737</v>
      </c>
      <c r="U492" s="29">
        <v>-1274.3120622955585</v>
      </c>
      <c r="V492" s="29">
        <v>4579.0795714703372</v>
      </c>
      <c r="W492" s="29">
        <v>4264.8968783006585</v>
      </c>
      <c r="X492" s="4">
        <v>-0.32561589953219622</v>
      </c>
      <c r="Y492" s="4">
        <v>-0.12281507852042618</v>
      </c>
      <c r="Z492" s="4">
        <v>-2.8022851484217081E-2</v>
      </c>
      <c r="AA492" s="3">
        <f t="shared" si="163"/>
        <v>0.3491339825130837</v>
      </c>
      <c r="AB492" s="3">
        <f t="shared" si="166"/>
        <v>1.4383602956684598E-2</v>
      </c>
      <c r="AC492" s="3">
        <f t="shared" si="164"/>
        <v>4.1817242744585682E-2</v>
      </c>
      <c r="AD492" s="48"/>
      <c r="AE492" s="46">
        <f t="shared" si="159"/>
        <v>42.092149481634046</v>
      </c>
      <c r="AF492" s="46">
        <f t="shared" si="160"/>
        <v>-248.53986851949082</v>
      </c>
      <c r="AG492" s="47">
        <f t="shared" si="161"/>
        <v>17444.487820649556</v>
      </c>
      <c r="AH492" s="45" t="str">
        <f t="shared" si="165"/>
        <v>-248.53987,42.09215,17444</v>
      </c>
      <c r="AI492" s="44">
        <f t="shared" si="167"/>
        <v>1021.318844137586</v>
      </c>
    </row>
    <row r="493" spans="1:35" ht="18" customHeight="1" x14ac:dyDescent="0.25">
      <c r="A493" s="36">
        <f t="shared" si="162"/>
        <v>0.74517378472222218</v>
      </c>
      <c r="B493" s="42">
        <f t="shared" si="147"/>
        <v>42.09214947303203</v>
      </c>
      <c r="C493" s="43">
        <f t="shared" si="148"/>
        <v>111.46013103247817</v>
      </c>
      <c r="D493" s="18">
        <f t="shared" si="149"/>
        <v>17.402344567388354</v>
      </c>
      <c r="E493" s="21" t="str">
        <f t="shared" si="150"/>
        <v>Umbra</v>
      </c>
      <c r="F493" s="23">
        <f>IF($E493&lt;&gt;"Umbra",fracil2($S$2,$S$3,$S$4,$A493,$Q$2,$O$3,$Q$4,$U493,$V493,$W493),0)</f>
        <v>0</v>
      </c>
      <c r="G493" s="19">
        <f t="shared" si="151"/>
        <v>69.299189170439774</v>
      </c>
      <c r="H493" s="19">
        <f t="shared" si="152"/>
        <v>-3.9031939513462772</v>
      </c>
      <c r="I493" s="19">
        <f t="shared" si="153"/>
        <v>-2.6951760019513822</v>
      </c>
      <c r="J493" s="28">
        <f t="shared" si="154"/>
        <v>5.9445076017366266E-3</v>
      </c>
      <c r="K493" s="24">
        <f t="shared" si="155"/>
        <v>1049.3453411906391</v>
      </c>
      <c r="L493" s="32">
        <f t="shared" si="156"/>
        <v>0.55514281834806678</v>
      </c>
      <c r="M493" s="35">
        <f t="shared" si="157"/>
        <v>13.434907310455005</v>
      </c>
      <c r="O493" s="29">
        <f t="shared" si="158"/>
        <v>1046.5817859009096</v>
      </c>
      <c r="T493" s="48">
        <v>0.74517378472222218</v>
      </c>
      <c r="U493" s="29">
        <v>-1274.640887500695</v>
      </c>
      <c r="V493" s="29">
        <v>4578.9555884471447</v>
      </c>
      <c r="W493" s="29">
        <v>4264.8686279138428</v>
      </c>
      <c r="X493" s="4">
        <v>-0.32563266501180987</v>
      </c>
      <c r="Y493" s="4">
        <v>-0.1227373037353275</v>
      </c>
      <c r="Z493" s="4">
        <v>-2.7928043548940285E-2</v>
      </c>
      <c r="AA493" s="3">
        <f t="shared" si="163"/>
        <v>0.34911467151551095</v>
      </c>
      <c r="AB493" s="3">
        <f t="shared" si="166"/>
        <v>1.4275849900960653E-2</v>
      </c>
      <c r="AC493" s="3">
        <f t="shared" si="164"/>
        <v>4.1675853870615655E-2</v>
      </c>
      <c r="AD493" s="48"/>
      <c r="AE493" s="46">
        <f t="shared" si="159"/>
        <v>42.09214947303203</v>
      </c>
      <c r="AF493" s="46">
        <f t="shared" si="160"/>
        <v>-248.53986896752184</v>
      </c>
      <c r="AG493" s="47">
        <f t="shared" si="161"/>
        <v>17402.344567388354</v>
      </c>
      <c r="AH493" s="45" t="str">
        <f t="shared" si="165"/>
        <v>-248.53987,42.09215,17402</v>
      </c>
      <c r="AI493" s="44">
        <f t="shared" si="167"/>
        <v>1021.318844137586</v>
      </c>
    </row>
    <row r="494" spans="1:35" ht="18" customHeight="1" x14ac:dyDescent="0.25">
      <c r="A494" s="36">
        <f t="shared" si="162"/>
        <v>0.74518526620370373</v>
      </c>
      <c r="B494" s="42">
        <f t="shared" si="147"/>
        <v>42.092149464622594</v>
      </c>
      <c r="C494" s="43">
        <f t="shared" si="148"/>
        <v>111.46013050552627</v>
      </c>
      <c r="D494" s="18">
        <f t="shared" si="149"/>
        <v>17.361091773737826</v>
      </c>
      <c r="E494" s="21" t="str">
        <f t="shared" si="150"/>
        <v>Umbra</v>
      </c>
      <c r="F494" s="23">
        <f>IF($E494&lt;&gt;"Umbra",fracil2($S$2,$S$3,$S$4,$A494,$Q$2,$O$3,$Q$4,$U494,$V494,$W494),0)</f>
        <v>0</v>
      </c>
      <c r="G494" s="19">
        <f t="shared" si="151"/>
        <v>69.299196012902996</v>
      </c>
      <c r="H494" s="19">
        <f t="shared" si="152"/>
        <v>-3.9054355298830048</v>
      </c>
      <c r="I494" s="19">
        <f t="shared" si="153"/>
        <v>-2.6974175804881098</v>
      </c>
      <c r="J494" s="28">
        <f t="shared" si="154"/>
        <v>5.9378756946746811E-3</v>
      </c>
      <c r="K494" s="24">
        <f t="shared" si="155"/>
        <v>1049.3412915994777</v>
      </c>
      <c r="L494" s="32">
        <f t="shared" si="156"/>
        <v>0.5551590924267169</v>
      </c>
      <c r="M494" s="35">
        <f t="shared" si="157"/>
        <v>13.433403909173668</v>
      </c>
      <c r="O494" s="29">
        <f t="shared" si="158"/>
        <v>1046.581743321907</v>
      </c>
      <c r="T494" s="48">
        <v>0.74518526620370373</v>
      </c>
      <c r="U494" s="29">
        <v>-1274.9638622068903</v>
      </c>
      <c r="V494" s="29">
        <v>4578.833893630208</v>
      </c>
      <c r="W494" s="29">
        <v>4264.8409744402843</v>
      </c>
      <c r="X494" s="4">
        <v>-0.3256489610726393</v>
      </c>
      <c r="Y494" s="4">
        <v>-0.12266161075675319</v>
      </c>
      <c r="Z494" s="4">
        <v>-2.783557301911415E-2</v>
      </c>
      <c r="AA494" s="3">
        <f t="shared" si="163"/>
        <v>0.34909588328485486</v>
      </c>
      <c r="AB494" s="3">
        <f t="shared" si="166"/>
        <v>1.4176513950695821E-2</v>
      </c>
      <c r="AC494" s="3">
        <f t="shared" si="164"/>
        <v>4.1537951093980632E-2</v>
      </c>
      <c r="AD494" s="48"/>
      <c r="AE494" s="46">
        <f t="shared" si="159"/>
        <v>42.092149464622594</v>
      </c>
      <c r="AF494" s="46">
        <f t="shared" si="160"/>
        <v>-248.53986949447375</v>
      </c>
      <c r="AG494" s="47">
        <f t="shared" si="161"/>
        <v>17361.091773737826</v>
      </c>
      <c r="AH494" s="45" t="str">
        <f t="shared" si="165"/>
        <v>-248.53987,42.09215,17361</v>
      </c>
      <c r="AI494" s="44">
        <f t="shared" si="167"/>
        <v>1021.318844137586</v>
      </c>
    </row>
    <row r="495" spans="1:35" ht="18" customHeight="1" x14ac:dyDescent="0.25">
      <c r="A495" s="36">
        <f t="shared" si="162"/>
        <v>0.74519677083333324</v>
      </c>
      <c r="B495" s="42">
        <f t="shared" si="147"/>
        <v>42.092149456228597</v>
      </c>
      <c r="C495" s="43">
        <f t="shared" si="148"/>
        <v>111.46013308391875</v>
      </c>
      <c r="D495" s="18">
        <f t="shared" si="149"/>
        <v>17.319861781903455</v>
      </c>
      <c r="E495" s="21" t="str">
        <f t="shared" si="150"/>
        <v>Umbra</v>
      </c>
      <c r="F495" s="23">
        <f>IF($E495&lt;&gt;"Umbra",fracil2($S$2,$S$3,$S$4,$A495,$Q$2,$O$3,$Q$4,$U495,$V495,$W495),0)</f>
        <v>0</v>
      </c>
      <c r="G495" s="19">
        <f t="shared" si="151"/>
        <v>69.299206012162799</v>
      </c>
      <c r="H495" s="19">
        <f t="shared" si="152"/>
        <v>-3.9076772070620831</v>
      </c>
      <c r="I495" s="19">
        <f t="shared" si="153"/>
        <v>-2.6996592576671876</v>
      </c>
      <c r="J495" s="28">
        <f t="shared" si="154"/>
        <v>5.9312724780549841E-3</v>
      </c>
      <c r="K495" s="24">
        <f t="shared" si="155"/>
        <v>1049.337495708797</v>
      </c>
      <c r="L495" s="32">
        <f t="shared" si="156"/>
        <v>0.55517538387578835</v>
      </c>
      <c r="M495" s="35">
        <f t="shared" si="157"/>
        <v>13.431898077553408</v>
      </c>
      <c r="O495" s="29">
        <f t="shared" si="158"/>
        <v>1046.5819504231551</v>
      </c>
      <c r="T495" s="48">
        <v>0.74519677083333324</v>
      </c>
      <c r="U495" s="29">
        <v>-1275.2877464460798</v>
      </c>
      <c r="V495" s="29">
        <v>4578.7119372367488</v>
      </c>
      <c r="W495" s="29">
        <v>4264.8133362526396</v>
      </c>
      <c r="X495" s="4">
        <v>-0.32566513522510299</v>
      </c>
      <c r="Y495" s="4">
        <v>-0.122586389432741</v>
      </c>
      <c r="Z495" s="4">
        <v>-2.7743480324255904E-2</v>
      </c>
      <c r="AA495" s="3">
        <f t="shared" si="163"/>
        <v>0.34907721764080024</v>
      </c>
      <c r="AB495" s="3">
        <f t="shared" si="166"/>
        <v>1.4090152502049371E-2</v>
      </c>
      <c r="AC495" s="3">
        <f t="shared" si="164"/>
        <v>4.1400612066759566E-2</v>
      </c>
      <c r="AD495" s="48"/>
      <c r="AE495" s="46">
        <f t="shared" si="159"/>
        <v>42.092149456228597</v>
      </c>
      <c r="AF495" s="46">
        <f t="shared" si="160"/>
        <v>-248.53986691608125</v>
      </c>
      <c r="AG495" s="47">
        <f t="shared" si="161"/>
        <v>17319.861781903455</v>
      </c>
      <c r="AH495" s="45" t="str">
        <f t="shared" si="165"/>
        <v>-248.53987,42.09215,17320</v>
      </c>
      <c r="AI495" s="44">
        <f t="shared" si="167"/>
        <v>1021.3190340081819</v>
      </c>
    </row>
    <row r="496" spans="1:35" ht="18" customHeight="1" x14ac:dyDescent="0.25">
      <c r="A496" s="36">
        <f t="shared" si="162"/>
        <v>0.74520834490740739</v>
      </c>
      <c r="B496" s="42">
        <f t="shared" si="147"/>
        <v>42.092149447828177</v>
      </c>
      <c r="C496" s="43">
        <f t="shared" si="148"/>
        <v>111.46013296484809</v>
      </c>
      <c r="D496" s="18">
        <f t="shared" si="149"/>
        <v>17.278547082073601</v>
      </c>
      <c r="E496" s="21" t="str">
        <f t="shared" si="150"/>
        <v>Umbra</v>
      </c>
      <c r="F496" s="23">
        <f>IF($E496&lt;&gt;"Umbra",fracil2($S$2,$S$3,$S$4,$A496,$Q$2,$O$3,$Q$4,$U496,$V496,$W496),0)</f>
        <v>0</v>
      </c>
      <c r="G496" s="19">
        <f t="shared" si="151"/>
        <v>69.299213280931255</v>
      </c>
      <c r="H496" s="19">
        <f t="shared" si="152"/>
        <v>-3.909922357255847</v>
      </c>
      <c r="I496" s="19">
        <f t="shared" si="153"/>
        <v>-2.701904407860952</v>
      </c>
      <c r="J496" s="28">
        <f t="shared" si="154"/>
        <v>5.9246816431766536E-3</v>
      </c>
      <c r="K496" s="24">
        <f t="shared" si="155"/>
        <v>1049.3334761438487</v>
      </c>
      <c r="L496" s="32">
        <f t="shared" si="156"/>
        <v>0.55519175750904737</v>
      </c>
      <c r="M496" s="35">
        <f t="shared" si="157"/>
        <v>13.430391928203528</v>
      </c>
      <c r="O496" s="29">
        <f t="shared" si="158"/>
        <v>1046.5819406393709</v>
      </c>
      <c r="T496" s="48">
        <v>0.74520834490740739</v>
      </c>
      <c r="U496" s="29">
        <v>-1275.6133905295862</v>
      </c>
      <c r="V496" s="29">
        <v>4578.5893993361888</v>
      </c>
      <c r="W496" s="29">
        <v>4264.7856412825877</v>
      </c>
      <c r="X496" s="4">
        <v>-0.32568122893195961</v>
      </c>
      <c r="Y496" s="4">
        <v>-0.1225114460393017</v>
      </c>
      <c r="Z496" s="4">
        <v>-2.7651527206072717E-2</v>
      </c>
      <c r="AA496" s="3">
        <f t="shared" si="163"/>
        <v>0.34905862580102553</v>
      </c>
      <c r="AB496" s="3">
        <f t="shared" si="166"/>
        <v>1.3984355987335695E-2</v>
      </c>
      <c r="AC496" s="3">
        <f t="shared" si="164"/>
        <v>4.1263481471946854E-2</v>
      </c>
      <c r="AD496" s="48"/>
      <c r="AE496" s="46">
        <f t="shared" si="159"/>
        <v>42.092149447828177</v>
      </c>
      <c r="AF496" s="46">
        <f t="shared" si="160"/>
        <v>-248.53986703515193</v>
      </c>
      <c r="AG496" s="47">
        <f t="shared" si="161"/>
        <v>17278.547082073601</v>
      </c>
      <c r="AH496" s="45" t="str">
        <f t="shared" si="165"/>
        <v>-248.53987,42.09215,17279</v>
      </c>
      <c r="AI496" s="44">
        <f t="shared" si="167"/>
        <v>1021.3191289434799</v>
      </c>
    </row>
    <row r="497" spans="1:35" ht="18" customHeight="1" x14ac:dyDescent="0.25">
      <c r="A497" s="36">
        <f t="shared" si="162"/>
        <v>0.7452200000000001</v>
      </c>
      <c r="B497" s="42">
        <f t="shared" si="147"/>
        <v>42.092149439406867</v>
      </c>
      <c r="C497" s="43">
        <f t="shared" si="148"/>
        <v>111.46013336620351</v>
      </c>
      <c r="D497" s="18">
        <f t="shared" si="149"/>
        <v>17.237076159196477</v>
      </c>
      <c r="E497" s="21" t="str">
        <f t="shared" si="150"/>
        <v>Umbra</v>
      </c>
      <c r="F497" s="23">
        <f>IF($E497&lt;&gt;"Umbra",fracil2($S$2,$S$3,$S$4,$A497,$Q$2,$O$3,$Q$4,$U497,$V497,$W497),0)</f>
        <v>0</v>
      </c>
      <c r="G497" s="19">
        <f t="shared" si="151"/>
        <v>69.299221107401365</v>
      </c>
      <c r="H497" s="19">
        <f t="shared" si="152"/>
        <v>-3.9121762356301666</v>
      </c>
      <c r="I497" s="19">
        <f t="shared" si="153"/>
        <v>-2.7041582862352715</v>
      </c>
      <c r="J497" s="28">
        <f t="shared" si="154"/>
        <v>5.9180915178465403E-3</v>
      </c>
      <c r="K497" s="24">
        <f t="shared" si="155"/>
        <v>1049.3294849140555</v>
      </c>
      <c r="L497" s="32">
        <f t="shared" si="156"/>
        <v>0.5552082298666654</v>
      </c>
      <c r="M497" s="35">
        <f t="shared" si="157"/>
        <v>13.428879508358314</v>
      </c>
      <c r="O497" s="29">
        <f t="shared" si="158"/>
        <v>1046.5819726990119</v>
      </c>
      <c r="T497" s="48">
        <v>0.7452200000000001</v>
      </c>
      <c r="U497" s="29">
        <v>-1275.9413710589636</v>
      </c>
      <c r="V497" s="29">
        <v>4578.4660637283587</v>
      </c>
      <c r="W497" s="29">
        <v>4264.7578415906064</v>
      </c>
      <c r="X497" s="4">
        <v>-0.32569726909806329</v>
      </c>
      <c r="Y497" s="4">
        <v>-0.12243665428650609</v>
      </c>
      <c r="Z497" s="4">
        <v>-2.7559556825386022E-2</v>
      </c>
      <c r="AA497" s="3">
        <f t="shared" si="163"/>
        <v>0.34904007589848668</v>
      </c>
      <c r="AB497" s="3">
        <f t="shared" si="166"/>
        <v>1.3889724383040213E-2</v>
      </c>
      <c r="AC497" s="3">
        <f t="shared" si="164"/>
        <v>4.1126325416184273E-2</v>
      </c>
      <c r="AD497" s="48"/>
      <c r="AE497" s="46">
        <f t="shared" si="159"/>
        <v>42.092149439406867</v>
      </c>
      <c r="AF497" s="46">
        <f t="shared" si="160"/>
        <v>-248.53986663379649</v>
      </c>
      <c r="AG497" s="47">
        <f t="shared" si="161"/>
        <v>17237.076159196477</v>
      </c>
      <c r="AH497" s="45" t="str">
        <f t="shared" si="165"/>
        <v>-248.53987,42.09215,17237</v>
      </c>
      <c r="AI497" s="44">
        <f t="shared" si="167"/>
        <v>1021.3192238787778</v>
      </c>
    </row>
    <row r="498" spans="1:35" ht="18" customHeight="1" x14ac:dyDescent="0.25">
      <c r="A498" s="36">
        <f t="shared" si="162"/>
        <v>0.74523157407407403</v>
      </c>
      <c r="B498" s="42">
        <f t="shared" si="147"/>
        <v>42.092149431087677</v>
      </c>
      <c r="C498" s="43">
        <f t="shared" si="148"/>
        <v>111.46013108287542</v>
      </c>
      <c r="D498" s="18">
        <f t="shared" si="149"/>
        <v>17.196056058575778</v>
      </c>
      <c r="E498" s="21" t="str">
        <f t="shared" si="150"/>
        <v>Umbra</v>
      </c>
      <c r="F498" s="23">
        <f>IF($E498&lt;&gt;"Umbra",fracil2($S$2,$S$3,$S$4,$A498,$Q$2,$O$3,$Q$4,$U498,$V498,$W498),0)</f>
        <v>0</v>
      </c>
      <c r="G498" s="19">
        <f t="shared" si="151"/>
        <v>69.299226120603635</v>
      </c>
      <c r="H498" s="19">
        <f t="shared" si="152"/>
        <v>-3.9144044910474163</v>
      </c>
      <c r="I498" s="19">
        <f t="shared" si="153"/>
        <v>-2.7063865416525212</v>
      </c>
      <c r="J498" s="28">
        <f t="shared" si="154"/>
        <v>5.9115984655658217E-3</v>
      </c>
      <c r="K498" s="24">
        <f t="shared" si="155"/>
        <v>1049.3253229918839</v>
      </c>
      <c r="L498" s="32">
        <f t="shared" si="156"/>
        <v>0.55522457172361495</v>
      </c>
      <c r="M498" s="35">
        <f t="shared" si="157"/>
        <v>13.427386281469499</v>
      </c>
      <c r="O498" s="29">
        <f t="shared" si="158"/>
        <v>1046.5817889038651</v>
      </c>
      <c r="T498" s="48">
        <v>0.74523157407407403</v>
      </c>
      <c r="U498" s="29">
        <v>-1276.2668786507654</v>
      </c>
      <c r="V498" s="29">
        <v>4578.343738158017</v>
      </c>
      <c r="W498" s="29">
        <v>4264.7303441044987</v>
      </c>
      <c r="X498" s="4">
        <v>-0.32571302301914862</v>
      </c>
      <c r="Y498" s="4">
        <v>-0.12236310100279023</v>
      </c>
      <c r="Z498" s="4">
        <v>-2.7468908571832335E-2</v>
      </c>
      <c r="AA498" s="3">
        <f t="shared" si="163"/>
        <v>0.3490218371240103</v>
      </c>
      <c r="AB498" s="3">
        <f t="shared" si="166"/>
        <v>1.3785853443487765E-2</v>
      </c>
      <c r="AC498" s="3">
        <f t="shared" si="164"/>
        <v>4.099114133731914E-2</v>
      </c>
      <c r="AD498" s="48"/>
      <c r="AE498" s="46">
        <f t="shared" si="159"/>
        <v>42.092149431087677</v>
      </c>
      <c r="AF498" s="46">
        <f t="shared" si="160"/>
        <v>-248.53986891712458</v>
      </c>
      <c r="AG498" s="47">
        <f t="shared" si="161"/>
        <v>17196.056058575778</v>
      </c>
      <c r="AH498" s="45" t="str">
        <f t="shared" si="165"/>
        <v>-248.53987,42.09215,17196</v>
      </c>
      <c r="AI498" s="44">
        <f t="shared" si="167"/>
        <v>1021.3194137493738</v>
      </c>
    </row>
    <row r="499" spans="1:35" ht="18" customHeight="1" x14ac:dyDescent="0.25">
      <c r="A499" s="36">
        <f t="shared" si="162"/>
        <v>0.74524312500000001</v>
      </c>
      <c r="B499" s="42">
        <f t="shared" si="147"/>
        <v>42.092149422819752</v>
      </c>
      <c r="C499" s="43">
        <f t="shared" si="148"/>
        <v>111.46013048009048</v>
      </c>
      <c r="D499" s="18">
        <f t="shared" si="149"/>
        <v>17.155235879977226</v>
      </c>
      <c r="E499" s="21" t="str">
        <f t="shared" si="150"/>
        <v>Umbra</v>
      </c>
      <c r="F499" s="23">
        <f>IF($E499&lt;&gt;"Umbra",fracil2($S$2,$S$3,$S$4,$A499,$Q$2,$O$3,$Q$4,$U499,$V499,$W499),0)</f>
        <v>0</v>
      </c>
      <c r="G499" s="19">
        <f t="shared" si="151"/>
        <v>69.299232808651794</v>
      </c>
      <c r="H499" s="19">
        <f t="shared" si="152"/>
        <v>-3.9166226127722887</v>
      </c>
      <c r="I499" s="19">
        <f t="shared" si="153"/>
        <v>-2.7086046633773933</v>
      </c>
      <c r="J499" s="28">
        <f t="shared" si="154"/>
        <v>5.9051614904149985E-3</v>
      </c>
      <c r="K499" s="24">
        <f t="shared" si="155"/>
        <v>1049.3213172645837</v>
      </c>
      <c r="L499" s="32">
        <f t="shared" si="156"/>
        <v>0.55524086555687657</v>
      </c>
      <c r="M499" s="35">
        <f t="shared" si="157"/>
        <v>13.425898564046934</v>
      </c>
      <c r="O499" s="29">
        <f t="shared" si="158"/>
        <v>1046.581740231177</v>
      </c>
      <c r="T499" s="48">
        <v>0.74524312500000001</v>
      </c>
      <c r="U499" s="29">
        <v>-1276.5918816215633</v>
      </c>
      <c r="V499" s="29">
        <v>4578.2216810981417</v>
      </c>
      <c r="W499" s="29">
        <v>4264.7029806353667</v>
      </c>
      <c r="X499" s="4">
        <v>-0.32572858995618897</v>
      </c>
      <c r="Y499" s="4">
        <v>-0.12229032512236394</v>
      </c>
      <c r="Z499" s="4">
        <v>-2.7379019116182554E-2</v>
      </c>
      <c r="AA499" s="3">
        <f t="shared" si="163"/>
        <v>0.34900379456553887</v>
      </c>
      <c r="AB499" s="3">
        <f t="shared" si="166"/>
        <v>1.3697822287311904E-2</v>
      </c>
      <c r="AC499" s="3">
        <f t="shared" si="164"/>
        <v>4.0857089133659902E-2</v>
      </c>
      <c r="AD499" s="48"/>
      <c r="AE499" s="46">
        <f t="shared" si="159"/>
        <v>42.092149422819752</v>
      </c>
      <c r="AF499" s="46">
        <f t="shared" si="160"/>
        <v>-248.53986951990953</v>
      </c>
      <c r="AG499" s="47">
        <f t="shared" si="161"/>
        <v>17155.235879977226</v>
      </c>
      <c r="AH499" s="45" t="str">
        <f t="shared" si="165"/>
        <v>-248.53987,42.09215,17155</v>
      </c>
      <c r="AI499" s="44">
        <f t="shared" si="167"/>
        <v>1021.3195086846717</v>
      </c>
    </row>
    <row r="500" spans="1:35" ht="18" customHeight="1" x14ac:dyDescent="0.25">
      <c r="A500" s="36">
        <f t="shared" si="162"/>
        <v>0.74525473379629625</v>
      </c>
      <c r="B500" s="42">
        <f t="shared" si="147"/>
        <v>42.092149414542057</v>
      </c>
      <c r="C500" s="43">
        <f t="shared" si="148"/>
        <v>111.46013284217929</v>
      </c>
      <c r="D500" s="18">
        <f t="shared" si="149"/>
        <v>17.114316607799083</v>
      </c>
      <c r="E500" s="21" t="str">
        <f t="shared" si="150"/>
        <v>Umbra</v>
      </c>
      <c r="F500" s="23">
        <f>IF($E500&lt;&gt;"Umbra",fracil2($S$2,$S$3,$S$4,$A500,$Q$2,$O$3,$Q$4,$U500,$V500,$W500),0)</f>
        <v>0</v>
      </c>
      <c r="G500" s="19">
        <f t="shared" si="151"/>
        <v>69.299242532312945</v>
      </c>
      <c r="H500" s="19">
        <f t="shared" si="152"/>
        <v>-3.9188473949349123</v>
      </c>
      <c r="I500" s="19">
        <f t="shared" si="153"/>
        <v>-2.7108294455400168</v>
      </c>
      <c r="J500" s="28">
        <f t="shared" si="154"/>
        <v>5.8987330305928804E-3</v>
      </c>
      <c r="K500" s="24">
        <f t="shared" si="155"/>
        <v>1049.3175420836371</v>
      </c>
      <c r="L500" s="32">
        <f t="shared" si="156"/>
        <v>0.55525722578430525</v>
      </c>
      <c r="M500" s="35">
        <f t="shared" si="157"/>
        <v>13.424404120126479</v>
      </c>
      <c r="O500" s="29">
        <f t="shared" si="158"/>
        <v>1046.5819299438099</v>
      </c>
      <c r="T500" s="48">
        <v>0.74525473379629625</v>
      </c>
      <c r="U500" s="29">
        <v>-1276.9187599345453</v>
      </c>
      <c r="V500" s="29">
        <v>4578.0989985040042</v>
      </c>
      <c r="W500" s="29">
        <v>4264.6755507405314</v>
      </c>
      <c r="X500" s="4">
        <v>-0.32574408479901817</v>
      </c>
      <c r="Y500" s="4">
        <v>-0.1222177901825213</v>
      </c>
      <c r="Z500" s="4">
        <v>-2.7289226911244076E-2</v>
      </c>
      <c r="AA500" s="3">
        <f t="shared" si="163"/>
        <v>0.34898581478917179</v>
      </c>
      <c r="AB500" s="3">
        <f t="shared" si="166"/>
        <v>1.3614764041316832E-2</v>
      </c>
      <c r="AC500" s="3">
        <f t="shared" si="164"/>
        <v>4.0723182238342745E-2</v>
      </c>
      <c r="AD500" s="48"/>
      <c r="AE500" s="46">
        <f t="shared" si="159"/>
        <v>42.092149414542057</v>
      </c>
      <c r="AF500" s="46">
        <f t="shared" si="160"/>
        <v>-248.53986715782071</v>
      </c>
      <c r="AG500" s="47">
        <f t="shared" si="161"/>
        <v>17114.316607799083</v>
      </c>
      <c r="AH500" s="45" t="str">
        <f t="shared" si="165"/>
        <v>-248.53987,42.09215,17114</v>
      </c>
      <c r="AI500" s="44">
        <f t="shared" si="167"/>
        <v>1021.3196985552677</v>
      </c>
    </row>
    <row r="501" spans="1:35" ht="18" customHeight="1" x14ac:dyDescent="0.25">
      <c r="A501" s="36">
        <f t="shared" si="162"/>
        <v>0.74526629629629626</v>
      </c>
      <c r="B501" s="42">
        <f t="shared" si="147"/>
        <v>42.092149406339331</v>
      </c>
      <c r="C501" s="43">
        <f t="shared" si="148"/>
        <v>111.46013285894158</v>
      </c>
      <c r="D501" s="18">
        <f t="shared" si="149"/>
        <v>17.073716354480894</v>
      </c>
      <c r="E501" s="21" t="str">
        <f t="shared" si="150"/>
        <v>Umbra</v>
      </c>
      <c r="F501" s="23">
        <f>IF($E501&lt;&gt;"Umbra",fracil2($S$2,$S$3,$S$4,$A501,$Q$2,$O$3,$Q$4,$U501,$V501,$W501),0)</f>
        <v>0</v>
      </c>
      <c r="G501" s="19">
        <f t="shared" si="151"/>
        <v>69.299249811702722</v>
      </c>
      <c r="H501" s="19">
        <f t="shared" si="152"/>
        <v>-3.9210538607774916</v>
      </c>
      <c r="I501" s="19">
        <f t="shared" si="153"/>
        <v>-2.7130359113825966</v>
      </c>
      <c r="J501" s="28">
        <f t="shared" si="154"/>
        <v>5.8923794341414924E-3</v>
      </c>
      <c r="K501" s="24">
        <f t="shared" si="155"/>
        <v>1049.3136106584234</v>
      </c>
      <c r="L501" s="32">
        <f t="shared" si="156"/>
        <v>0.55527350518972474</v>
      </c>
      <c r="M501" s="35">
        <f t="shared" si="157"/>
        <v>13.422923712113979</v>
      </c>
      <c r="O501" s="29">
        <f t="shared" si="158"/>
        <v>1046.5819310863797</v>
      </c>
      <c r="T501" s="48">
        <v>0.74526629629629626</v>
      </c>
      <c r="U501" s="29">
        <v>-1277.2441680264549</v>
      </c>
      <c r="V501" s="29">
        <v>4577.9769454407196</v>
      </c>
      <c r="W501" s="29">
        <v>4264.6483346982177</v>
      </c>
      <c r="X501" s="4">
        <v>-0.3257593492736387</v>
      </c>
      <c r="Y501" s="4">
        <v>-0.12214623678547651</v>
      </c>
      <c r="Z501" s="4">
        <v>-2.7200449329040612E-2</v>
      </c>
      <c r="AA501" s="3">
        <f t="shared" si="163"/>
        <v>0.34896808055141654</v>
      </c>
      <c r="AB501" s="3">
        <f t="shared" si="166"/>
        <v>1.3514791017711289E-2</v>
      </c>
      <c r="AC501" s="3">
        <f t="shared" si="164"/>
        <v>4.0590788723663715E-2</v>
      </c>
      <c r="AD501" s="48"/>
      <c r="AE501" s="46">
        <f t="shared" si="159"/>
        <v>42.092149406339331</v>
      </c>
      <c r="AF501" s="46">
        <f t="shared" si="160"/>
        <v>-248.53986714105844</v>
      </c>
      <c r="AG501" s="47">
        <f t="shared" si="161"/>
        <v>17073.716354480894</v>
      </c>
      <c r="AH501" s="45" t="str">
        <f t="shared" si="165"/>
        <v>-248.53987,42.09215,17074</v>
      </c>
      <c r="AI501" s="44">
        <f t="shared" si="167"/>
        <v>1021.3197934905656</v>
      </c>
    </row>
    <row r="502" spans="1:35" ht="18" customHeight="1" x14ac:dyDescent="0.25">
      <c r="A502" s="36">
        <f t="shared" si="162"/>
        <v>0.74527797453703704</v>
      </c>
      <c r="B502" s="42">
        <f t="shared" si="147"/>
        <v>42.092149398091436</v>
      </c>
      <c r="C502" s="43">
        <f t="shared" si="148"/>
        <v>111.46013319525689</v>
      </c>
      <c r="D502" s="18">
        <f t="shared" si="149"/>
        <v>17.032840418399246</v>
      </c>
      <c r="E502" s="21" t="str">
        <f t="shared" si="150"/>
        <v>Umbra</v>
      </c>
      <c r="F502" s="23">
        <f>IF($E502&lt;&gt;"Umbra",fracil2($S$2,$S$3,$S$4,$A502,$Q$2,$O$3,$Q$4,$U502,$V502,$W502),0)</f>
        <v>0</v>
      </c>
      <c r="G502" s="19">
        <f t="shared" si="151"/>
        <v>69.299257465698432</v>
      </c>
      <c r="H502" s="19">
        <f t="shared" si="152"/>
        <v>-3.923275461056261</v>
      </c>
      <c r="I502" s="19">
        <f t="shared" si="153"/>
        <v>-2.715257511661366</v>
      </c>
      <c r="J502" s="28">
        <f t="shared" si="154"/>
        <v>5.8860069636883948E-3</v>
      </c>
      <c r="K502" s="24">
        <f t="shared" si="155"/>
        <v>1049.309679814555</v>
      </c>
      <c r="L502" s="32">
        <f t="shared" si="156"/>
        <v>0.55528993212933775</v>
      </c>
      <c r="M502" s="35">
        <f t="shared" si="157"/>
        <v>13.421432886995328</v>
      </c>
      <c r="O502" s="29">
        <f t="shared" si="158"/>
        <v>1046.5819579209267</v>
      </c>
      <c r="T502" s="48">
        <v>0.74527797453703704</v>
      </c>
      <c r="U502" s="29">
        <v>-1277.5728738783482</v>
      </c>
      <c r="V502" s="29">
        <v>4577.8537334745324</v>
      </c>
      <c r="W502" s="29">
        <v>4264.6209338551344</v>
      </c>
      <c r="X502" s="4">
        <v>-0.32577460813057235</v>
      </c>
      <c r="Y502" s="4">
        <v>-0.12207461243886368</v>
      </c>
      <c r="Z502" s="4">
        <v>-2.7111381764988084E-2</v>
      </c>
      <c r="AA502" s="3">
        <f t="shared" si="163"/>
        <v>0.34895033074340776</v>
      </c>
      <c r="AB502" s="3">
        <f t="shared" si="166"/>
        <v>1.3424527423612694E-2</v>
      </c>
      <c r="AC502" s="3">
        <f t="shared" si="164"/>
        <v>4.0457963039504129E-2</v>
      </c>
      <c r="AD502" s="48"/>
      <c r="AE502" s="46">
        <f t="shared" si="159"/>
        <v>42.092149398091436</v>
      </c>
      <c r="AF502" s="46">
        <f t="shared" si="160"/>
        <v>-248.5398668047431</v>
      </c>
      <c r="AG502" s="47">
        <f t="shared" si="161"/>
        <v>17032.840418399246</v>
      </c>
      <c r="AH502" s="45" t="str">
        <f t="shared" si="165"/>
        <v>-248.53987,42.09215,17033</v>
      </c>
      <c r="AI502" s="44">
        <f t="shared" si="167"/>
        <v>1021.3197934905656</v>
      </c>
    </row>
    <row r="503" spans="1:35" ht="18" customHeight="1" x14ac:dyDescent="0.25">
      <c r="A503" s="36">
        <f t="shared" si="162"/>
        <v>0.74528937500000003</v>
      </c>
      <c r="B503" s="42">
        <f t="shared" si="147"/>
        <v>42.092149390080017</v>
      </c>
      <c r="C503" s="43">
        <f t="shared" si="148"/>
        <v>111.4601312834731</v>
      </c>
      <c r="D503" s="18">
        <f t="shared" si="149"/>
        <v>16.993087245388779</v>
      </c>
      <c r="E503" s="21" t="str">
        <f t="shared" si="150"/>
        <v>Umbra</v>
      </c>
      <c r="F503" s="23">
        <f>IF($E503&lt;&gt;"Umbra",fracil2($S$2,$S$3,$S$4,$A503,$Q$2,$O$3,$Q$4,$U503,$V503,$W503),0)</f>
        <v>0</v>
      </c>
      <c r="G503" s="19">
        <f t="shared" si="151"/>
        <v>69.299262630622238</v>
      </c>
      <c r="H503" s="19">
        <f t="shared" si="152"/>
        <v>-3.9254351063576438</v>
      </c>
      <c r="I503" s="19">
        <f t="shared" si="153"/>
        <v>-2.7174171569627488</v>
      </c>
      <c r="J503" s="28">
        <f t="shared" si="154"/>
        <v>5.8798329933136672E-3</v>
      </c>
      <c r="K503" s="24">
        <f t="shared" si="155"/>
        <v>1049.3056783022816</v>
      </c>
      <c r="L503" s="32">
        <f t="shared" si="156"/>
        <v>0.55530595328285737</v>
      </c>
      <c r="M503" s="35">
        <f t="shared" si="157"/>
        <v>13.419985304517331</v>
      </c>
      <c r="O503" s="29">
        <f t="shared" si="158"/>
        <v>1046.5818040068582</v>
      </c>
      <c r="T503" s="48">
        <v>0.74528937500000003</v>
      </c>
      <c r="U503" s="29">
        <v>-1277.893601386575</v>
      </c>
      <c r="V503" s="29">
        <v>4577.7335869882854</v>
      </c>
      <c r="W503" s="29">
        <v>4264.5942856477495</v>
      </c>
      <c r="X503" s="4">
        <v>-0.32578934346703087</v>
      </c>
      <c r="Y503" s="4">
        <v>-0.12200535183225522</v>
      </c>
      <c r="Z503" s="4">
        <v>-2.7025058799395391E-2</v>
      </c>
      <c r="AA503" s="3">
        <f t="shared" si="163"/>
        <v>0.34893316837970872</v>
      </c>
      <c r="AB503" s="3">
        <f t="shared" si="166"/>
        <v>1.332784125179827E-2</v>
      </c>
      <c r="AC503" s="3">
        <f t="shared" si="164"/>
        <v>4.0329230620358349E-2</v>
      </c>
      <c r="AD503" s="48"/>
      <c r="AE503" s="46">
        <f t="shared" si="159"/>
        <v>42.092149390080017</v>
      </c>
      <c r="AF503" s="46">
        <f t="shared" si="160"/>
        <v>-248.53986871652688</v>
      </c>
      <c r="AG503" s="47">
        <f t="shared" si="161"/>
        <v>16993.087245388779</v>
      </c>
      <c r="AH503" s="45" t="str">
        <f t="shared" si="165"/>
        <v>-248.53987,42.09215,16993</v>
      </c>
      <c r="AI503" s="44">
        <f t="shared" si="167"/>
        <v>1021.3199833611616</v>
      </c>
    </row>
    <row r="504" spans="1:35" ht="18" customHeight="1" x14ac:dyDescent="0.25">
      <c r="A504" s="36">
        <f t="shared" si="162"/>
        <v>0.74530094907407418</v>
      </c>
      <c r="B504" s="42">
        <f t="shared" si="147"/>
        <v>42.092149381975453</v>
      </c>
      <c r="C504" s="43">
        <f t="shared" si="148"/>
        <v>111.46013309926138</v>
      </c>
      <c r="D504" s="18">
        <f t="shared" si="149"/>
        <v>16.952821802374274</v>
      </c>
      <c r="E504" s="21" t="str">
        <f t="shared" si="150"/>
        <v>Umbra</v>
      </c>
      <c r="F504" s="23">
        <f>IF($E504&lt;&gt;"Umbra",fracil2($S$2,$S$3,$S$4,$A504,$Q$2,$O$3,$Q$4,$U504,$V504,$W504),0)</f>
        <v>0</v>
      </c>
      <c r="G504" s="19">
        <f t="shared" si="151"/>
        <v>69.29927168138525</v>
      </c>
      <c r="H504" s="19">
        <f t="shared" si="152"/>
        <v>-3.9276241879865625</v>
      </c>
      <c r="I504" s="19">
        <f t="shared" si="153"/>
        <v>-2.7196062385916671</v>
      </c>
      <c r="J504" s="28">
        <f t="shared" si="154"/>
        <v>5.8736024247240141E-3</v>
      </c>
      <c r="K504" s="24">
        <f t="shared" si="155"/>
        <v>1049.301928671922</v>
      </c>
      <c r="L504" s="32">
        <f t="shared" si="156"/>
        <v>0.55532220377624431</v>
      </c>
      <c r="M504" s="35">
        <f t="shared" si="157"/>
        <v>13.418515139277186</v>
      </c>
      <c r="O504" s="29">
        <f t="shared" si="158"/>
        <v>1046.5819497994587</v>
      </c>
      <c r="T504" s="48">
        <v>0.74530094907407418</v>
      </c>
      <c r="U504" s="29">
        <v>-1278.219520878321</v>
      </c>
      <c r="V504" s="29">
        <v>4577.6115706245328</v>
      </c>
      <c r="W504" s="29">
        <v>4264.5672940452887</v>
      </c>
      <c r="X504" s="4">
        <v>-0.32580416293155834</v>
      </c>
      <c r="Y504" s="4">
        <v>-0.12193559991776998</v>
      </c>
      <c r="Z504" s="4">
        <v>-2.6937925502614105E-2</v>
      </c>
      <c r="AA504" s="3">
        <f t="shared" si="163"/>
        <v>0.34891588519473327</v>
      </c>
      <c r="AB504" s="3">
        <f t="shared" si="166"/>
        <v>1.3251130438143584E-2</v>
      </c>
      <c r="AC504" s="3">
        <f t="shared" si="164"/>
        <v>4.0199290035281061E-2</v>
      </c>
      <c r="AD504" s="48"/>
      <c r="AE504" s="46">
        <f t="shared" si="159"/>
        <v>42.092149381975453</v>
      </c>
      <c r="AF504" s="46">
        <f t="shared" si="160"/>
        <v>-248.53986690073862</v>
      </c>
      <c r="AG504" s="47">
        <f t="shared" si="161"/>
        <v>16952.821802374274</v>
      </c>
      <c r="AH504" s="45" t="str">
        <f t="shared" si="165"/>
        <v>-248.53987,42.09215,16953</v>
      </c>
      <c r="AI504" s="44">
        <f t="shared" si="167"/>
        <v>1021.3201176199466</v>
      </c>
    </row>
    <row r="505" spans="1:35" ht="18" customHeight="1" x14ac:dyDescent="0.25">
      <c r="A505" s="36">
        <f t="shared" si="162"/>
        <v>0.74531259259259253</v>
      </c>
      <c r="B505" s="42">
        <f t="shared" si="147"/>
        <v>42.092149373864267</v>
      </c>
      <c r="C505" s="43">
        <f t="shared" si="148"/>
        <v>111.46013206269546</v>
      </c>
      <c r="D505" s="18">
        <f t="shared" si="149"/>
        <v>16.912472965814231</v>
      </c>
      <c r="E505" s="21" t="str">
        <f t="shared" si="150"/>
        <v>Umbra</v>
      </c>
      <c r="F505" s="23">
        <f>IF($E505&lt;&gt;"Umbra",fracil2($S$2,$S$3,$S$4,$A505,$Q$2,$O$3,$Q$4,$U505,$V505,$W505),0)</f>
        <v>0</v>
      </c>
      <c r="G505" s="19">
        <f t="shared" si="151"/>
        <v>69.299277843776693</v>
      </c>
      <c r="H505" s="19">
        <f t="shared" si="152"/>
        <v>-3.9298166094786233</v>
      </c>
      <c r="I505" s="19">
        <f t="shared" si="153"/>
        <v>-2.7217986600837278</v>
      </c>
      <c r="J505" s="28">
        <f t="shared" si="154"/>
        <v>5.8673827618792472E-3</v>
      </c>
      <c r="K505" s="24">
        <f t="shared" si="155"/>
        <v>1049.2979429915995</v>
      </c>
      <c r="L505" s="32">
        <f t="shared" si="156"/>
        <v>0.55533853647259945</v>
      </c>
      <c r="M505" s="35">
        <f t="shared" si="157"/>
        <v>13.417044862640473</v>
      </c>
      <c r="O505" s="29">
        <f t="shared" si="158"/>
        <v>1046.5818662532827</v>
      </c>
      <c r="T505" s="48">
        <v>0.74531259259259253</v>
      </c>
      <c r="U505" s="29">
        <v>-1278.5471876146896</v>
      </c>
      <c r="V505" s="29">
        <v>4577.4889757201317</v>
      </c>
      <c r="W505" s="29">
        <v>4264.5402465415127</v>
      </c>
      <c r="X505" s="4">
        <v>-0.32581890713085637</v>
      </c>
      <c r="Y505" s="4">
        <v>-0.12186610548972232</v>
      </c>
      <c r="Z505" s="4">
        <v>-2.6850913580343378E-2</v>
      </c>
      <c r="AA505" s="3">
        <f t="shared" si="163"/>
        <v>0.34889866647964823</v>
      </c>
      <c r="AB505" s="3">
        <f t="shared" si="166"/>
        <v>1.3153721591819089E-2</v>
      </c>
      <c r="AC505" s="3">
        <f t="shared" si="164"/>
        <v>4.0069530728990041E-2</v>
      </c>
      <c r="AD505" s="48"/>
      <c r="AE505" s="46">
        <f t="shared" si="159"/>
        <v>42.092149373864267</v>
      </c>
      <c r="AF505" s="46">
        <f t="shared" si="160"/>
        <v>-248.53986793730454</v>
      </c>
      <c r="AG505" s="47">
        <f t="shared" si="161"/>
        <v>16912.472965814231</v>
      </c>
      <c r="AH505" s="45" t="str">
        <f t="shared" si="165"/>
        <v>-248.53987,42.09215,16912</v>
      </c>
      <c r="AI505" s="44">
        <f t="shared" si="167"/>
        <v>1021.3201176199466</v>
      </c>
    </row>
    <row r="506" spans="1:35" ht="18" customHeight="1" x14ac:dyDescent="0.25">
      <c r="A506" s="36">
        <f t="shared" si="162"/>
        <v>0.7453241435185185</v>
      </c>
      <c r="B506" s="42">
        <f t="shared" si="147"/>
        <v>42.092149365847185</v>
      </c>
      <c r="C506" s="43">
        <f t="shared" si="148"/>
        <v>111.46013427044676</v>
      </c>
      <c r="D506" s="18">
        <f t="shared" si="149"/>
        <v>16.872542613770747</v>
      </c>
      <c r="E506" s="21" t="str">
        <f t="shared" si="150"/>
        <v>Umbra</v>
      </c>
      <c r="F506" s="23">
        <f>IF($E506&lt;&gt;"Umbra",fracil2($S$2,$S$3,$S$4,$A506,$Q$2,$O$3,$Q$4,$U506,$V506,$W506),0)</f>
        <v>0</v>
      </c>
      <c r="G506" s="19">
        <f t="shared" si="151"/>
        <v>69.299287233623673</v>
      </c>
      <c r="H506" s="19">
        <f t="shared" si="152"/>
        <v>-3.9319876772464526</v>
      </c>
      <c r="I506" s="19">
        <f t="shared" si="153"/>
        <v>-2.7239697278515571</v>
      </c>
      <c r="J506" s="28">
        <f t="shared" si="154"/>
        <v>5.8612503179978591E-3</v>
      </c>
      <c r="K506" s="24">
        <f t="shared" si="155"/>
        <v>1049.2942603535387</v>
      </c>
      <c r="L506" s="32">
        <f t="shared" si="156"/>
        <v>0.55535472466487501</v>
      </c>
      <c r="M506" s="35">
        <f t="shared" si="157"/>
        <v>13.415586446020221</v>
      </c>
      <c r="O506" s="29">
        <f t="shared" si="158"/>
        <v>1046.5820435631963</v>
      </c>
      <c r="T506" s="48">
        <v>0.7453241435185185</v>
      </c>
      <c r="U506" s="29">
        <v>-1278.8725156988346</v>
      </c>
      <c r="V506" s="29">
        <v>4577.3673300992587</v>
      </c>
      <c r="W506" s="29">
        <v>4264.5134795661534</v>
      </c>
      <c r="X506" s="4">
        <v>-0.32583339370400127</v>
      </c>
      <c r="Y506" s="4">
        <v>-0.12179772879035981</v>
      </c>
      <c r="Z506" s="4">
        <v>-2.6765102153411727E-2</v>
      </c>
      <c r="AA506" s="3">
        <f t="shared" si="163"/>
        <v>0.34888172477852619</v>
      </c>
      <c r="AB506" s="3">
        <f t="shared" si="166"/>
        <v>1.3076199072191744E-2</v>
      </c>
      <c r="AC506" s="3">
        <f t="shared" si="164"/>
        <v>3.9941561971303802E-2</v>
      </c>
      <c r="AD506" s="48"/>
      <c r="AE506" s="46">
        <f t="shared" si="159"/>
        <v>42.092149365847185</v>
      </c>
      <c r="AF506" s="46">
        <f t="shared" si="160"/>
        <v>-248.53986572955324</v>
      </c>
      <c r="AG506" s="47">
        <f t="shared" si="161"/>
        <v>16872.542613770747</v>
      </c>
      <c r="AH506" s="45" t="str">
        <f t="shared" si="165"/>
        <v>-248.53987,42.09215,16873</v>
      </c>
      <c r="AI506" s="44">
        <f t="shared" si="167"/>
        <v>1021.3203074905425</v>
      </c>
    </row>
    <row r="507" spans="1:35" ht="18" customHeight="1" x14ac:dyDescent="0.25">
      <c r="A507" s="36">
        <f t="shared" si="162"/>
        <v>0.74533576388888889</v>
      </c>
      <c r="B507" s="42">
        <f t="shared" si="147"/>
        <v>42.0921493578237</v>
      </c>
      <c r="C507" s="43">
        <f t="shared" si="148"/>
        <v>111.46013326952452</v>
      </c>
      <c r="D507" s="18">
        <f t="shared" si="149"/>
        <v>16.832531416434904</v>
      </c>
      <c r="E507" s="21" t="str">
        <f t="shared" si="150"/>
        <v>Umbra</v>
      </c>
      <c r="F507" s="23">
        <f>IF($E507&lt;&gt;"Umbra",fracil2($S$2,$S$3,$S$4,$A507,$Q$2,$O$3,$Q$4,$U507,$V507,$W507),0)</f>
        <v>0</v>
      </c>
      <c r="G507" s="19">
        <f t="shared" si="151"/>
        <v>69.299293371961625</v>
      </c>
      <c r="H507" s="19">
        <f t="shared" si="152"/>
        <v>-3.9341617962106361</v>
      </c>
      <c r="I507" s="19">
        <f t="shared" si="153"/>
        <v>-2.7261438468157406</v>
      </c>
      <c r="J507" s="28">
        <f t="shared" si="154"/>
        <v>5.8551288116026473E-3</v>
      </c>
      <c r="K507" s="24">
        <f t="shared" si="155"/>
        <v>1049.2903132223796</v>
      </c>
      <c r="L507" s="32">
        <f t="shared" si="156"/>
        <v>0.5553709951371123</v>
      </c>
      <c r="M507" s="35">
        <f t="shared" si="157"/>
        <v>13.414128380571148</v>
      </c>
      <c r="O507" s="29">
        <f t="shared" si="158"/>
        <v>1046.5819628850745</v>
      </c>
      <c r="T507" s="48">
        <v>0.74533576388888889</v>
      </c>
      <c r="U507" s="29">
        <v>-1279.1995630331464</v>
      </c>
      <c r="V507" s="29">
        <v>4577.2451155463341</v>
      </c>
      <c r="W507" s="29">
        <v>4264.4866583976545</v>
      </c>
      <c r="X507" s="4">
        <v>-0.32584780554153914</v>
      </c>
      <c r="Y507" s="4">
        <v>-0.12172960808853753</v>
      </c>
      <c r="Z507" s="4">
        <v>-2.667941262091985E-2</v>
      </c>
      <c r="AA507" s="3">
        <f t="shared" si="163"/>
        <v>0.34886484620755775</v>
      </c>
      <c r="AB507" s="3">
        <f t="shared" si="166"/>
        <v>1.297956321737322E-2</v>
      </c>
      <c r="AC507" s="3">
        <f t="shared" si="164"/>
        <v>3.9813775264006375E-2</v>
      </c>
      <c r="AD507" s="48"/>
      <c r="AE507" s="46">
        <f t="shared" si="159"/>
        <v>42.0921493578237</v>
      </c>
      <c r="AF507" s="46">
        <f t="shared" si="160"/>
        <v>-248.53986673047547</v>
      </c>
      <c r="AG507" s="47">
        <f t="shared" si="161"/>
        <v>16832.531416434904</v>
      </c>
      <c r="AH507" s="45" t="str">
        <f t="shared" si="165"/>
        <v>-248.53987,42.09215,16833</v>
      </c>
      <c r="AI507" s="44">
        <f t="shared" si="167"/>
        <v>1021.3204024258405</v>
      </c>
    </row>
    <row r="508" spans="1:35" ht="18" customHeight="1" x14ac:dyDescent="0.25">
      <c r="A508" s="36">
        <f t="shared" si="162"/>
        <v>0.74534728009259255</v>
      </c>
      <c r="B508" s="42">
        <f t="shared" si="147"/>
        <v>42.092149349900346</v>
      </c>
      <c r="C508" s="43">
        <f t="shared" si="148"/>
        <v>111.46013597386427</v>
      </c>
      <c r="D508" s="18">
        <f t="shared" si="149"/>
        <v>16.792969940215698</v>
      </c>
      <c r="E508" s="21" t="str">
        <f t="shared" si="150"/>
        <v>Umbra</v>
      </c>
      <c r="F508" s="23">
        <f>IF($E508&lt;&gt;"Umbra",fracil2($S$2,$S$3,$S$4,$A508,$Q$2,$O$3,$Q$4,$U508,$V508,$W508),0)</f>
        <v>0</v>
      </c>
      <c r="G508" s="19">
        <f t="shared" si="151"/>
        <v>69.299303201341047</v>
      </c>
      <c r="H508" s="19">
        <f t="shared" si="152"/>
        <v>-3.936313057048122</v>
      </c>
      <c r="I508" s="19">
        <f t="shared" si="153"/>
        <v>-2.7282951076532269</v>
      </c>
      <c r="J508" s="28">
        <f t="shared" si="154"/>
        <v>5.8490980767576953E-3</v>
      </c>
      <c r="K508" s="24">
        <f t="shared" si="155"/>
        <v>1049.2867091818966</v>
      </c>
      <c r="L508" s="32">
        <f t="shared" si="156"/>
        <v>0.55538710541511882</v>
      </c>
      <c r="M508" s="35">
        <f t="shared" si="157"/>
        <v>13.412682837776384</v>
      </c>
      <c r="O508" s="29">
        <f t="shared" si="158"/>
        <v>1046.5821801246691</v>
      </c>
      <c r="T508" s="48">
        <v>0.74534728009259255</v>
      </c>
      <c r="U508" s="29">
        <v>-1279.5239812489265</v>
      </c>
      <c r="V508" s="29">
        <v>4577.1239560291615</v>
      </c>
      <c r="W508" s="29">
        <v>4264.4601386967406</v>
      </c>
      <c r="X508" s="4">
        <v>-0.32586195338027801</v>
      </c>
      <c r="Y508" s="4">
        <v>-0.12166263961043186</v>
      </c>
      <c r="Z508" s="4">
        <v>-2.6594975443253028E-2</v>
      </c>
      <c r="AA508" s="3">
        <f t="shared" si="163"/>
        <v>0.34884825247751428</v>
      </c>
      <c r="AB508" s="3">
        <f t="shared" si="166"/>
        <v>1.2905526290159067E-2</v>
      </c>
      <c r="AC508" s="3">
        <f t="shared" si="164"/>
        <v>3.9687856431159622E-2</v>
      </c>
      <c r="AD508" s="48"/>
      <c r="AE508" s="46">
        <f t="shared" si="159"/>
        <v>42.092149349900346</v>
      </c>
      <c r="AF508" s="46">
        <f t="shared" si="160"/>
        <v>-248.53986402613572</v>
      </c>
      <c r="AG508" s="47">
        <f t="shared" si="161"/>
        <v>16792.969940215698</v>
      </c>
      <c r="AH508" s="45" t="str">
        <f t="shared" si="165"/>
        <v>-248.53986,42.09215,16793</v>
      </c>
      <c r="AI508" s="44">
        <f t="shared" si="167"/>
        <v>1021.3206349688791</v>
      </c>
    </row>
    <row r="509" spans="1:35" ht="18" customHeight="1" x14ac:dyDescent="0.25">
      <c r="A509" s="36">
        <f t="shared" si="162"/>
        <v>0.7453588541666667</v>
      </c>
      <c r="B509" s="42">
        <f t="shared" si="147"/>
        <v>42.092149341982939</v>
      </c>
      <c r="C509" s="43">
        <f t="shared" si="148"/>
        <v>111.46013299495971</v>
      </c>
      <c r="D509" s="18">
        <f t="shared" si="149"/>
        <v>16.753389505850464</v>
      </c>
      <c r="E509" s="21" t="str">
        <f t="shared" si="150"/>
        <v>Umbra</v>
      </c>
      <c r="F509" s="23">
        <f>IF($E509&lt;&gt;"Umbra",fracil2($S$2,$S$3,$S$4,$A509,$Q$2,$O$3,$Q$4,$U509,$V509,$W509),0)</f>
        <v>0</v>
      </c>
      <c r="G509" s="19">
        <f t="shared" si="151"/>
        <v>69.299307249365555</v>
      </c>
      <c r="H509" s="19">
        <f t="shared" si="152"/>
        <v>-3.9384629598499514</v>
      </c>
      <c r="I509" s="19">
        <f t="shared" si="153"/>
        <v>-2.7304450104550559</v>
      </c>
      <c r="J509" s="28">
        <f t="shared" si="154"/>
        <v>5.8430874304827053E-3</v>
      </c>
      <c r="K509" s="24">
        <f t="shared" si="155"/>
        <v>1049.2826474868361</v>
      </c>
      <c r="L509" s="32">
        <f t="shared" si="156"/>
        <v>0.55540328179293974</v>
      </c>
      <c r="M509" s="35">
        <f t="shared" si="157"/>
        <v>13.411242471051201</v>
      </c>
      <c r="O509" s="29">
        <f t="shared" si="158"/>
        <v>1046.5819404129422</v>
      </c>
      <c r="T509" s="48">
        <v>0.7453588541666667</v>
      </c>
      <c r="U509" s="29">
        <v>-1279.8495996286897</v>
      </c>
      <c r="V509" s="29">
        <v>4577.0024202928189</v>
      </c>
      <c r="W509" s="29">
        <v>4264.4336062882094</v>
      </c>
      <c r="X509" s="4">
        <v>-0.32587600664860772</v>
      </c>
      <c r="Y509" s="4">
        <v>-0.12159602294644621</v>
      </c>
      <c r="Z509" s="4">
        <v>-2.6510784695908719E-2</v>
      </c>
      <c r="AA509" s="3">
        <f t="shared" si="163"/>
        <v>0.34883174484388446</v>
      </c>
      <c r="AB509" s="3">
        <f t="shared" si="166"/>
        <v>1.280349483836722E-2</v>
      </c>
      <c r="AC509" s="3">
        <f t="shared" si="164"/>
        <v>3.9562305360773771E-2</v>
      </c>
      <c r="AD509" s="48"/>
      <c r="AE509" s="46">
        <f t="shared" si="159"/>
        <v>42.092149341982939</v>
      </c>
      <c r="AF509" s="46">
        <f t="shared" si="160"/>
        <v>-248.53986700504029</v>
      </c>
      <c r="AG509" s="47">
        <f t="shared" si="161"/>
        <v>16753.389505850464</v>
      </c>
      <c r="AH509" s="45" t="str">
        <f t="shared" si="165"/>
        <v>-248.53987,42.09215,16753</v>
      </c>
      <c r="AI509" s="44">
        <f t="shared" si="167"/>
        <v>1021.3208861440683</v>
      </c>
    </row>
    <row r="510" spans="1:35" ht="18" customHeight="1" x14ac:dyDescent="0.25">
      <c r="A510" s="36">
        <f t="shared" si="162"/>
        <v>0.74537038194444438</v>
      </c>
      <c r="B510" s="42">
        <f t="shared" si="147"/>
        <v>42.092149334119668</v>
      </c>
      <c r="C510" s="43">
        <f t="shared" si="148"/>
        <v>111.4601363188829</v>
      </c>
      <c r="D510" s="18">
        <f t="shared" si="149"/>
        <v>16.714032359383054</v>
      </c>
      <c r="E510" s="21" t="str">
        <f t="shared" si="150"/>
        <v>Umbra</v>
      </c>
      <c r="F510" s="23">
        <f>IF($E510&lt;&gt;"Umbra",fracil2($S$2,$S$3,$S$4,$A510,$Q$2,$O$3,$Q$4,$U510,$V510,$W510),0)</f>
        <v>0</v>
      </c>
      <c r="G510" s="19">
        <f t="shared" si="151"/>
        <v>69.299317672903626</v>
      </c>
      <c r="H510" s="19">
        <f t="shared" si="152"/>
        <v>-3.9406034077794332</v>
      </c>
      <c r="I510" s="19">
        <f t="shared" si="153"/>
        <v>-2.7325854583845377</v>
      </c>
      <c r="J510" s="28">
        <f t="shared" si="154"/>
        <v>5.8371318935259093E-3</v>
      </c>
      <c r="K510" s="24">
        <f t="shared" si="155"/>
        <v>1049.2791159756239</v>
      </c>
      <c r="L510" s="32">
        <f t="shared" si="156"/>
        <v>0.55541937944086539</v>
      </c>
      <c r="M510" s="35">
        <f t="shared" si="157"/>
        <v>13.409803675161708</v>
      </c>
      <c r="O510" s="29">
        <f t="shared" si="158"/>
        <v>1046.5822074705818</v>
      </c>
      <c r="T510" s="48">
        <v>0.74537038194444438</v>
      </c>
      <c r="U510" s="29">
        <v>-1280.1744201959943</v>
      </c>
      <c r="V510" s="29">
        <v>4576.8812535536717</v>
      </c>
      <c r="W510" s="29">
        <v>4264.4072235596186</v>
      </c>
      <c r="X510" s="4">
        <v>-0.32588988025045673</v>
      </c>
      <c r="Y510" s="4">
        <v>-0.12153016220061834</v>
      </c>
      <c r="Z510" s="4">
        <v>-2.6427352634767559E-2</v>
      </c>
      <c r="AA510" s="3">
        <f t="shared" si="163"/>
        <v>0.34881542302691831</v>
      </c>
      <c r="AB510" s="3">
        <f t="shared" si="166"/>
        <v>1.273904497460728E-2</v>
      </c>
      <c r="AC510" s="3">
        <f t="shared" si="164"/>
        <v>3.9437885962053838E-2</v>
      </c>
      <c r="AD510" s="48"/>
      <c r="AE510" s="46">
        <f t="shared" si="159"/>
        <v>42.092149334119668</v>
      </c>
      <c r="AF510" s="46">
        <f t="shared" si="160"/>
        <v>-248.53986368111708</v>
      </c>
      <c r="AG510" s="47">
        <f t="shared" si="161"/>
        <v>16714.032359383054</v>
      </c>
      <c r="AH510" s="45" t="str">
        <f t="shared" si="165"/>
        <v>-248.53986,42.09215,16714</v>
      </c>
      <c r="AI510" s="44">
        <f t="shared" si="167"/>
        <v>1021.3211709499622</v>
      </c>
    </row>
    <row r="511" spans="1:35" ht="18" customHeight="1" x14ac:dyDescent="0.25">
      <c r="A511" s="36">
        <f t="shared" si="162"/>
        <v>0.74538206018518516</v>
      </c>
      <c r="B511" s="42">
        <f t="shared" si="147"/>
        <v>42.092149326195788</v>
      </c>
      <c r="C511" s="43">
        <f t="shared" si="148"/>
        <v>111.4601358834783</v>
      </c>
      <c r="D511" s="18">
        <f t="shared" si="149"/>
        <v>16.674323345212542</v>
      </c>
      <c r="E511" s="21" t="str">
        <f t="shared" si="150"/>
        <v>Umbra</v>
      </c>
      <c r="F511" s="23">
        <f>IF($E511&lt;&gt;"Umbra",fracil2($S$2,$S$3,$S$4,$A511,$Q$2,$O$3,$Q$4,$U511,$V511,$W511),0)</f>
        <v>0</v>
      </c>
      <c r="G511" s="19">
        <f t="shared" si="151"/>
        <v>69.29932433292835</v>
      </c>
      <c r="H511" s="19">
        <f t="shared" si="152"/>
        <v>-3.9427614057609675</v>
      </c>
      <c r="I511" s="19">
        <f t="shared" si="153"/>
        <v>-2.734743456366072</v>
      </c>
      <c r="J511" s="28">
        <f t="shared" si="154"/>
        <v>5.8311458486573148E-3</v>
      </c>
      <c r="K511" s="24">
        <f t="shared" si="155"/>
        <v>1049.2752494892211</v>
      </c>
      <c r="L511" s="32">
        <f t="shared" si="156"/>
        <v>0.55543567245991599</v>
      </c>
      <c r="M511" s="35">
        <f t="shared" si="157"/>
        <v>13.408355916646785</v>
      </c>
      <c r="O511" s="29">
        <f t="shared" si="158"/>
        <v>1046.5821722644175</v>
      </c>
      <c r="T511" s="48">
        <v>0.74538206018518516</v>
      </c>
      <c r="U511" s="29">
        <v>-1280.5031979200694</v>
      </c>
      <c r="V511" s="29">
        <v>4576.7586824612035</v>
      </c>
      <c r="W511" s="29">
        <v>4264.3806049603127</v>
      </c>
      <c r="X511" s="4">
        <v>-0.3259037761908356</v>
      </c>
      <c r="Y511" s="4">
        <v>-0.12146409747785333</v>
      </c>
      <c r="Z511" s="4">
        <v>-2.634346186525164E-2</v>
      </c>
      <c r="AA511" s="3">
        <f t="shared" si="163"/>
        <v>0.34879904858614752</v>
      </c>
      <c r="AB511" s="3">
        <f t="shared" si="166"/>
        <v>1.2644024005015988E-2</v>
      </c>
      <c r="AC511" s="3">
        <f t="shared" si="164"/>
        <v>3.9312782776965739E-2</v>
      </c>
      <c r="AD511" s="48"/>
      <c r="AE511" s="46">
        <f t="shared" si="159"/>
        <v>42.092149326195788</v>
      </c>
      <c r="AF511" s="46">
        <f t="shared" si="160"/>
        <v>-248.5398641165217</v>
      </c>
      <c r="AG511" s="47">
        <f t="shared" si="161"/>
        <v>16674.323345212542</v>
      </c>
      <c r="AH511" s="45" t="str">
        <f t="shared" si="165"/>
        <v>-248.53986,42.09215,16674</v>
      </c>
      <c r="AI511" s="44">
        <f t="shared" si="167"/>
        <v>1021.3211709499622</v>
      </c>
    </row>
    <row r="512" spans="1:35" ht="18" customHeight="1" x14ac:dyDescent="0.25">
      <c r="A512" s="36">
        <f t="shared" si="162"/>
        <v>0.74539361111111113</v>
      </c>
      <c r="B512" s="42">
        <f t="shared" si="147"/>
        <v>42.092149318392735</v>
      </c>
      <c r="C512" s="43">
        <f t="shared" si="148"/>
        <v>111.46013533709132</v>
      </c>
      <c r="D512" s="18">
        <f t="shared" si="149"/>
        <v>16.635172094939662</v>
      </c>
      <c r="E512" s="21" t="str">
        <f t="shared" si="150"/>
        <v>Umbra</v>
      </c>
      <c r="F512" s="23">
        <f>IF($E512&lt;&gt;"Umbra",fracil2($S$2,$S$3,$S$4,$A512,$Q$2,$O$3,$Q$4,$U512,$V512,$W512),0)</f>
        <v>0</v>
      </c>
      <c r="G512" s="19">
        <f t="shared" si="151"/>
        <v>69.299330780244503</v>
      </c>
      <c r="H512" s="19">
        <f t="shared" si="152"/>
        <v>-3.9448890580148652</v>
      </c>
      <c r="I512" s="19">
        <f t="shared" si="153"/>
        <v>-2.7368711086199697</v>
      </c>
      <c r="J512" s="28">
        <f t="shared" si="154"/>
        <v>5.8252656635102169E-3</v>
      </c>
      <c r="K512" s="24">
        <f t="shared" si="155"/>
        <v>1049.2714293483232</v>
      </c>
      <c r="L512" s="32">
        <f t="shared" si="156"/>
        <v>0.55545177356012365</v>
      </c>
      <c r="M512" s="35">
        <f t="shared" si="157"/>
        <v>13.406928584156628</v>
      </c>
      <c r="O512" s="29">
        <f t="shared" si="158"/>
        <v>1046.5821281379347</v>
      </c>
      <c r="T512" s="48">
        <v>0.74539361111111113</v>
      </c>
      <c r="U512" s="29">
        <v>-1280.828396149087</v>
      </c>
      <c r="V512" s="29">
        <v>4576.6375162168424</v>
      </c>
      <c r="W512" s="29">
        <v>4264.3543602540813</v>
      </c>
      <c r="X512" s="4">
        <v>-0.32591737728798265</v>
      </c>
      <c r="Y512" s="4">
        <v>-0.12139933773978136</v>
      </c>
      <c r="Z512" s="4">
        <v>-2.626103034793334E-2</v>
      </c>
      <c r="AA512" s="3">
        <f t="shared" si="163"/>
        <v>0.34878299519453326</v>
      </c>
      <c r="AB512" s="3">
        <f t="shared" si="166"/>
        <v>1.2560997013064196E-2</v>
      </c>
      <c r="AC512" s="3">
        <f t="shared" si="164"/>
        <v>3.9189855986528542E-2</v>
      </c>
      <c r="AD512" s="48"/>
      <c r="AE512" s="46">
        <f t="shared" si="159"/>
        <v>42.092149318392735</v>
      </c>
      <c r="AF512" s="46">
        <f t="shared" si="160"/>
        <v>-248.53986466290868</v>
      </c>
      <c r="AG512" s="47">
        <f t="shared" si="161"/>
        <v>16635.172094939662</v>
      </c>
      <c r="AH512" s="45" t="str">
        <f t="shared" si="165"/>
        <v>-248.53986,42.09215,16635</v>
      </c>
      <c r="AI512" s="44">
        <f t="shared" si="167"/>
        <v>1021.3211709499622</v>
      </c>
    </row>
    <row r="513" spans="1:35" ht="18" customHeight="1" x14ac:dyDescent="0.25">
      <c r="A513" s="36">
        <f t="shared" si="162"/>
        <v>0.74540517361111114</v>
      </c>
      <c r="B513" s="42">
        <f t="shared" si="147"/>
        <v>42.092149310613891</v>
      </c>
      <c r="C513" s="43">
        <f t="shared" si="148"/>
        <v>111.46013580526977</v>
      </c>
      <c r="D513" s="18">
        <f t="shared" si="149"/>
        <v>16.5960945990455</v>
      </c>
      <c r="E513" s="21" t="str">
        <f t="shared" si="150"/>
        <v>Umbra</v>
      </c>
      <c r="F513" s="23">
        <f>IF($E513&lt;&gt;"Umbra",fracil2($S$2,$S$3,$S$4,$A513,$Q$2,$O$3,$Q$4,$U513,$V513,$W513),0)</f>
        <v>0</v>
      </c>
      <c r="G513" s="19">
        <f t="shared" si="151"/>
        <v>69.29933824708489</v>
      </c>
      <c r="H513" s="19">
        <f t="shared" si="152"/>
        <v>-3.9470131454845547</v>
      </c>
      <c r="I513" s="19">
        <f t="shared" si="153"/>
        <v>-2.7389951960896592</v>
      </c>
      <c r="J513" s="28">
        <f t="shared" si="154"/>
        <v>5.8194178606149815E-3</v>
      </c>
      <c r="K513" s="24">
        <f t="shared" si="155"/>
        <v>1049.2676994007077</v>
      </c>
      <c r="L513" s="32">
        <f t="shared" si="156"/>
        <v>0.55546787669637177</v>
      </c>
      <c r="M513" s="35">
        <f t="shared" si="157"/>
        <v>13.40550285829446</v>
      </c>
      <c r="O513" s="29">
        <f t="shared" si="158"/>
        <v>1046.5821655864495</v>
      </c>
      <c r="T513" s="48">
        <v>0.74540517361111114</v>
      </c>
      <c r="U513" s="29">
        <v>-1281.1540130419598</v>
      </c>
      <c r="V513" s="29">
        <v>4576.5162634728486</v>
      </c>
      <c r="W513" s="29">
        <v>4264.3281649892588</v>
      </c>
      <c r="X513" s="4">
        <v>-0.32593085442076059</v>
      </c>
      <c r="Y513" s="4">
        <v>-0.12133507194096668</v>
      </c>
      <c r="Z513" s="4">
        <v>-2.617903077841853E-2</v>
      </c>
      <c r="AA513" s="3">
        <f t="shared" si="163"/>
        <v>0.34876706151651415</v>
      </c>
      <c r="AB513" s="3">
        <f t="shared" si="166"/>
        <v>1.2482641718848045E-2</v>
      </c>
      <c r="AC513" s="3">
        <f t="shared" si="164"/>
        <v>3.9067573606618146E-2</v>
      </c>
      <c r="AD513" s="48"/>
      <c r="AE513" s="46">
        <f t="shared" si="159"/>
        <v>42.092149310613891</v>
      </c>
      <c r="AF513" s="46">
        <f t="shared" si="160"/>
        <v>-248.53986419473023</v>
      </c>
      <c r="AG513" s="47">
        <f t="shared" si="161"/>
        <v>16596.0945990455</v>
      </c>
      <c r="AH513" s="45" t="str">
        <f t="shared" si="165"/>
        <v>-248.53986,42.09215,16596</v>
      </c>
      <c r="AI513" s="44">
        <f t="shared" si="167"/>
        <v>1021.3211709499622</v>
      </c>
    </row>
    <row r="514" spans="1:35" ht="18" customHeight="1" x14ac:dyDescent="0.25">
      <c r="A514" s="36">
        <f t="shared" si="162"/>
        <v>0.74541666666666673</v>
      </c>
      <c r="B514" s="42">
        <f t="shared" si="147"/>
        <v>42.092149302914642</v>
      </c>
      <c r="C514" s="43">
        <f t="shared" si="148"/>
        <v>111.46013646613179</v>
      </c>
      <c r="D514" s="18">
        <f t="shared" si="149"/>
        <v>16.557370688170522</v>
      </c>
      <c r="E514" s="21" t="str">
        <f t="shared" si="150"/>
        <v>Umbra</v>
      </c>
      <c r="F514" s="23">
        <f>IF($E514&lt;&gt;"Umbra",fracil2($S$2,$S$3,$S$4,$A514,$Q$2,$O$3,$Q$4,$U514,$V514,$W514),0)</f>
        <v>0</v>
      </c>
      <c r="G514" s="19">
        <f t="shared" si="151"/>
        <v>69.299345846829041</v>
      </c>
      <c r="H514" s="19">
        <f t="shared" si="152"/>
        <v>-3.9491181115663077</v>
      </c>
      <c r="I514" s="19">
        <f t="shared" si="153"/>
        <v>-2.7411001621714126</v>
      </c>
      <c r="J514" s="28">
        <f t="shared" si="154"/>
        <v>5.8136439582825378E-3</v>
      </c>
      <c r="K514" s="24">
        <f t="shared" si="155"/>
        <v>1049.2640204700665</v>
      </c>
      <c r="L514" s="32">
        <f t="shared" si="156"/>
        <v>0.55548386918890602</v>
      </c>
      <c r="M514" s="35">
        <f t="shared" si="157"/>
        <v>13.40408979839367</v>
      </c>
      <c r="O514" s="29">
        <f t="shared" si="158"/>
        <v>1046.5822185293387</v>
      </c>
      <c r="T514" s="48">
        <v>0.74541666666666673</v>
      </c>
      <c r="U514" s="29">
        <v>-1281.4777029088054</v>
      </c>
      <c r="V514" s="29">
        <v>4576.395796606781</v>
      </c>
      <c r="W514" s="29">
        <v>4264.3022067478996</v>
      </c>
      <c r="X514" s="4">
        <v>-0.32594411299790071</v>
      </c>
      <c r="Y514" s="4">
        <v>-0.1212717529264024</v>
      </c>
      <c r="Z514" s="4">
        <v>-2.6098044438281561E-2</v>
      </c>
      <c r="AA514" s="3">
        <f t="shared" si="163"/>
        <v>0.34875135953761266</v>
      </c>
      <c r="AB514" s="3">
        <f t="shared" si="166"/>
        <v>1.2402864722342295E-2</v>
      </c>
      <c r="AC514" s="3">
        <f t="shared" si="164"/>
        <v>3.8946802472590775E-2</v>
      </c>
      <c r="AD514" s="48"/>
      <c r="AE514" s="46">
        <f t="shared" si="159"/>
        <v>42.092149302914642</v>
      </c>
      <c r="AF514" s="46">
        <f t="shared" si="160"/>
        <v>-248.53986353386821</v>
      </c>
      <c r="AG514" s="47">
        <f t="shared" si="161"/>
        <v>16557.370688170522</v>
      </c>
      <c r="AH514" s="45" t="str">
        <f t="shared" si="165"/>
        <v>-248.53986,42.09215,16557</v>
      </c>
      <c r="AI514" s="44">
        <f t="shared" si="167"/>
        <v>1021.3211709499622</v>
      </c>
    </row>
    <row r="515" spans="1:35" ht="18" customHeight="1" x14ac:dyDescent="0.25">
      <c r="A515" s="36">
        <f t="shared" si="162"/>
        <v>0.74542827546296297</v>
      </c>
      <c r="B515" s="42">
        <f t="shared" si="147"/>
        <v>42.092149295175396</v>
      </c>
      <c r="C515" s="43">
        <f t="shared" si="148"/>
        <v>111.46013501114049</v>
      </c>
      <c r="D515" s="18">
        <f t="shared" si="149"/>
        <v>16.518397916883259</v>
      </c>
      <c r="E515" s="21" t="str">
        <f t="shared" si="150"/>
        <v>Umbra</v>
      </c>
      <c r="F515" s="23">
        <f>IF($E515&lt;&gt;"Umbra",fracil2($S$2,$S$3,$S$4,$A515,$Q$2,$O$3,$Q$4,$U515,$V515,$W515),0)</f>
        <v>0</v>
      </c>
      <c r="G515" s="19">
        <f t="shared" si="151"/>
        <v>69.2993513374727</v>
      </c>
      <c r="H515" s="19">
        <f t="shared" si="152"/>
        <v>-3.95123572578161</v>
      </c>
      <c r="I515" s="19">
        <f t="shared" si="153"/>
        <v>-2.7432177763867145</v>
      </c>
      <c r="J515" s="28">
        <f t="shared" si="154"/>
        <v>5.8078542605470452E-3</v>
      </c>
      <c r="K515" s="24">
        <f t="shared" si="155"/>
        <v>1049.2601487353065</v>
      </c>
      <c r="L515" s="32">
        <f t="shared" si="156"/>
        <v>0.55550000864870464</v>
      </c>
      <c r="M515" s="35">
        <f t="shared" si="157"/>
        <v>13.402669825913291</v>
      </c>
      <c r="O515" s="29">
        <f t="shared" si="158"/>
        <v>1046.5821013496857</v>
      </c>
      <c r="T515" s="48">
        <v>0.74542827546296297</v>
      </c>
      <c r="U515" s="29">
        <v>-1281.8045003155023</v>
      </c>
      <c r="V515" s="29">
        <v>4576.2742416650881</v>
      </c>
      <c r="W515" s="29">
        <v>4264.2760816858899</v>
      </c>
      <c r="X515" s="4">
        <v>-0.32595735982985119</v>
      </c>
      <c r="Y515" s="4">
        <v>-0.12120839342999726</v>
      </c>
      <c r="Z515" s="4">
        <v>-2.6016809435662112E-2</v>
      </c>
      <c r="AA515" s="3">
        <f t="shared" si="163"/>
        <v>0.34873564406056867</v>
      </c>
      <c r="AB515" s="3">
        <f t="shared" si="166"/>
        <v>1.2316882675315007E-2</v>
      </c>
      <c r="AC515" s="3">
        <f t="shared" si="164"/>
        <v>3.8825660783022603E-2</v>
      </c>
      <c r="AD515" s="48"/>
      <c r="AE515" s="46">
        <f t="shared" si="159"/>
        <v>42.092149295175396</v>
      </c>
      <c r="AF515" s="46">
        <f t="shared" si="160"/>
        <v>-248.53986498885951</v>
      </c>
      <c r="AG515" s="47">
        <f t="shared" si="161"/>
        <v>16518.397916883259</v>
      </c>
      <c r="AH515" s="45" t="str">
        <f t="shared" si="165"/>
        <v>-248.53986,42.09215,16518</v>
      </c>
      <c r="AI515" s="44">
        <f t="shared" si="167"/>
        <v>1021.3212658852601</v>
      </c>
    </row>
    <row r="516" spans="1:35" ht="18" customHeight="1" x14ac:dyDescent="0.25">
      <c r="A516" s="36">
        <f t="shared" si="162"/>
        <v>0.74543986111111105</v>
      </c>
      <c r="B516" s="42">
        <f t="shared" si="147"/>
        <v>42.092149287479195</v>
      </c>
      <c r="C516" s="43">
        <f t="shared" si="148"/>
        <v>111.46013651283394</v>
      </c>
      <c r="D516" s="18">
        <f t="shared" si="149"/>
        <v>16.479596236026737</v>
      </c>
      <c r="E516" s="21" t="str">
        <f t="shared" si="150"/>
        <v>Umbra</v>
      </c>
      <c r="F516" s="23">
        <f>IF($E516&lt;&gt;"Umbra",fracil2($S$2,$S$3,$S$4,$A516,$Q$2,$O$3,$Q$4,$U516,$V516,$W516),0)</f>
        <v>0</v>
      </c>
      <c r="G516" s="19">
        <f t="shared" si="151"/>
        <v>69.299359807036495</v>
      </c>
      <c r="H516" s="19">
        <f t="shared" si="152"/>
        <v>-3.9533453033485983</v>
      </c>
      <c r="I516" s="19">
        <f t="shared" si="153"/>
        <v>-2.7453273539537033</v>
      </c>
      <c r="J516" s="28">
        <f t="shared" si="154"/>
        <v>5.802110669895973E-3</v>
      </c>
      <c r="K516" s="24">
        <f t="shared" si="155"/>
        <v>1049.2565328138778</v>
      </c>
      <c r="L516" s="32">
        <f t="shared" si="156"/>
        <v>0.55551610207658764</v>
      </c>
      <c r="M516" s="35">
        <f t="shared" si="157"/>
        <v>13.401252996882562</v>
      </c>
      <c r="O516" s="29">
        <f t="shared" si="158"/>
        <v>1046.5822218982644</v>
      </c>
      <c r="T516" s="48">
        <v>0.74543986111111105</v>
      </c>
      <c r="U516" s="29">
        <v>-1282.1308897997228</v>
      </c>
      <c r="V516" s="29">
        <v>4576.152906476389</v>
      </c>
      <c r="W516" s="29">
        <v>4264.2500713136369</v>
      </c>
      <c r="X516" s="4">
        <v>-0.32597045139655506</v>
      </c>
      <c r="Y516" s="4">
        <v>-0.12114567886144233</v>
      </c>
      <c r="Z516" s="4">
        <v>-2.5936203226913746E-2</v>
      </c>
      <c r="AA516" s="3">
        <f t="shared" si="163"/>
        <v>0.34872008449227776</v>
      </c>
      <c r="AB516" s="3">
        <f t="shared" si="166"/>
        <v>1.2245936581976357E-2</v>
      </c>
      <c r="AC516" s="3">
        <f t="shared" si="164"/>
        <v>3.8705457045246416E-2</v>
      </c>
      <c r="AD516" s="48"/>
      <c r="AE516" s="46">
        <f t="shared" si="159"/>
        <v>42.092149287479195</v>
      </c>
      <c r="AF516" s="46">
        <f t="shared" si="160"/>
        <v>-248.53986348716606</v>
      </c>
      <c r="AG516" s="47">
        <f t="shared" si="161"/>
        <v>16479.596236026737</v>
      </c>
      <c r="AH516" s="45" t="str">
        <f t="shared" si="165"/>
        <v>-248.53986,42.09215,16480</v>
      </c>
      <c r="AI516" s="44">
        <f t="shared" si="167"/>
        <v>1021.3214001440451</v>
      </c>
    </row>
    <row r="517" spans="1:35" ht="18" customHeight="1" x14ac:dyDescent="0.25">
      <c r="A517" s="36">
        <f t="shared" si="162"/>
        <v>0.74545141203703702</v>
      </c>
      <c r="B517" s="42">
        <f t="shared" si="147"/>
        <v>42.092149279842303</v>
      </c>
      <c r="C517" s="43">
        <f t="shared" si="148"/>
        <v>111.46013618694143</v>
      </c>
      <c r="D517" s="18">
        <f t="shared" si="149"/>
        <v>16.441047140659066</v>
      </c>
      <c r="E517" s="21" t="str">
        <f t="shared" si="150"/>
        <v>Umbra</v>
      </c>
      <c r="F517" s="23">
        <f>IF($E517&lt;&gt;"Umbra",fracil2($S$2,$S$3,$S$4,$A517,$Q$2,$O$3,$Q$4,$U517,$V517,$W517),0)</f>
        <v>0</v>
      </c>
      <c r="G517" s="19">
        <f t="shared" si="151"/>
        <v>69.299366371216209</v>
      </c>
      <c r="H517" s="19">
        <f t="shared" si="152"/>
        <v>-3.9554403964070013</v>
      </c>
      <c r="I517" s="19">
        <f t="shared" si="153"/>
        <v>-2.7474224470121058</v>
      </c>
      <c r="J517" s="28">
        <f t="shared" si="154"/>
        <v>5.7964250910634129E-3</v>
      </c>
      <c r="K517" s="24">
        <f t="shared" si="155"/>
        <v>1049.2527955714008</v>
      </c>
      <c r="L517" s="32">
        <f t="shared" si="156"/>
        <v>0.55553213343252028</v>
      </c>
      <c r="M517" s="35">
        <f t="shared" si="157"/>
        <v>13.399847246081194</v>
      </c>
      <c r="O517" s="29">
        <f t="shared" si="158"/>
        <v>1046.5821955044139</v>
      </c>
      <c r="T517" s="48">
        <v>0.74545141203703702</v>
      </c>
      <c r="U517" s="29">
        <v>-1282.4561719463768</v>
      </c>
      <c r="V517" s="29">
        <v>4576.0320499613717</v>
      </c>
      <c r="W517" s="29">
        <v>4264.2242302606583</v>
      </c>
      <c r="X517" s="4">
        <v>-0.32598336333949646</v>
      </c>
      <c r="Y517" s="4">
        <v>-0.12108372923138093</v>
      </c>
      <c r="Z517" s="4">
        <v>-2.5856385110935569E-2</v>
      </c>
      <c r="AA517" s="3">
        <f t="shared" si="163"/>
        <v>0.34870471076501613</v>
      </c>
      <c r="AB517" s="3">
        <f t="shared" si="166"/>
        <v>1.2162632066774306E-2</v>
      </c>
      <c r="AC517" s="3">
        <f t="shared" si="164"/>
        <v>3.8586428808739227E-2</v>
      </c>
      <c r="AD517" s="48"/>
      <c r="AE517" s="46">
        <f t="shared" si="159"/>
        <v>42.092149279842303</v>
      </c>
      <c r="AF517" s="46">
        <f t="shared" si="160"/>
        <v>-248.53986381305856</v>
      </c>
      <c r="AG517" s="47">
        <f t="shared" si="161"/>
        <v>16441.047140659066</v>
      </c>
      <c r="AH517" s="45" t="str">
        <f t="shared" si="165"/>
        <v>-248.53986,42.09215,16441</v>
      </c>
      <c r="AI517" s="44">
        <f t="shared" si="167"/>
        <v>1021.3214001440451</v>
      </c>
    </row>
    <row r="518" spans="1:35" ht="18" customHeight="1" x14ac:dyDescent="0.25">
      <c r="A518" s="36">
        <f t="shared" si="162"/>
        <v>0.74546307870370365</v>
      </c>
      <c r="B518" s="42">
        <f t="shared" ref="B518:B581" si="168">latitude($U518,$V518,$W518)</f>
        <v>42.092149272163482</v>
      </c>
      <c r="C518" s="43">
        <f t="shared" ref="C518:C581" si="169">longitude($S$2,$S$3,$S$4,$A518,$U518,$V518)</f>
        <v>111.46013502769495</v>
      </c>
      <c r="D518" s="18">
        <f t="shared" ref="D518:D581" si="170">altitude($U518,$V518,$W518)</f>
        <v>16.402239629261203</v>
      </c>
      <c r="E518" s="21" t="str">
        <f t="shared" ref="E518:E581" si="171">illum2($S$2,$S$3,$S$4,$A518,$U518,$V518,$W518)</f>
        <v>Umbra</v>
      </c>
      <c r="F518" s="23">
        <f>IF($E518&lt;&gt;"Umbra",fracil2($S$2,$S$3,$S$4,$A518,$Q$2,$O$3,$Q$4,$U518,$V518,$W518),0)</f>
        <v>0</v>
      </c>
      <c r="G518" s="19">
        <f t="shared" ref="G518:G581" si="172">azimuth($S$2,$S$3,$S$4,$A518,$Q$2,$O$3,$Q$4,$U518,$V518,$W518)</f>
        <v>69.299372133414451</v>
      </c>
      <c r="H518" s="19">
        <f t="shared" ref="H518:H581" si="173">elev($S$2,$S$3,$S$4,$A518,$Q$2,$O$3,$Q$4,$U518,$V518,$W518)</f>
        <v>-3.9575491988792635</v>
      </c>
      <c r="I518" s="19">
        <f t="shared" ref="I518:I581" si="174">elev($S$2,$S$3,$S$4,$A518,$Q$2,$O$3,$Q$4,$U518,$V518,$W518)+DEGREES(ACOS($Q$3/$Q$4))</f>
        <v>-2.7495312494843684</v>
      </c>
      <c r="J518" s="28">
        <f t="shared" ref="J518:J581" si="175">vang($S$2,$S$3,$S$4,$A518,$Q$2,$O$3,$Q$4,$U518,$V518,$W518,$X518,$Y518,$Z518)</f>
        <v>5.790722232796126E-3</v>
      </c>
      <c r="K518" s="24">
        <f t="shared" ref="K518:K581" si="176">slant_rng($S$2,$S$3,$S$4,$A518,$Q$2,$O$3,$Q$4,$U518,$V518,$W518)</f>
        <v>1049.2489678154095</v>
      </c>
      <c r="L518" s="32">
        <f t="shared" ref="L518:L581" si="177">radec2("ra",$S$2,$S$3,$S$4,$A518,$Q$2,$O$3,$Q$4,$U518,$V518,$W518)/24</f>
        <v>0.55554831152782458</v>
      </c>
      <c r="M518" s="35">
        <f t="shared" ref="M518:M581" si="178">radec2("dec",$S$2,$S$3,$S$4,$A518,$Q$2,$O$3,$Q$4,$U518,$V518,$W518)</f>
        <v>13.398432903125395</v>
      </c>
      <c r="O518" s="29">
        <f t="shared" ref="O518:O581" si="179">DEGREES(ACOS(SIN(RADIANS($B518))*SIN(RADIANS($O$2))+COS(RADIANS($B518))*COS(RADIANS($O$2))*COS(RADIANS($C518-$O$3))))*111.2</f>
        <v>1046.5821021051256</v>
      </c>
      <c r="T518" s="48">
        <v>0.74546307870370365</v>
      </c>
      <c r="U518" s="29">
        <v>-1282.7846617834791</v>
      </c>
      <c r="V518" s="29">
        <v>4575.9100689342831</v>
      </c>
      <c r="W518" s="29">
        <v>4264.1982159815007</v>
      </c>
      <c r="X518" s="4">
        <v>-0.32599626582903124</v>
      </c>
      <c r="Y518" s="4">
        <v>-0.12102172671821899</v>
      </c>
      <c r="Z518" s="4">
        <v>-2.577629998688255E-2</v>
      </c>
      <c r="AA518" s="3">
        <f t="shared" si="163"/>
        <v>0.34868931918449325</v>
      </c>
      <c r="AB518" s="3">
        <f t="shared" si="166"/>
        <v>1.2082227300961451E-2</v>
      </c>
      <c r="AC518" s="3">
        <f t="shared" si="164"/>
        <v>3.8467002661259048E-2</v>
      </c>
      <c r="AD518" s="48"/>
      <c r="AE518" s="46">
        <f t="shared" ref="AE518:AE581" si="180">$B518</f>
        <v>42.092149272163482</v>
      </c>
      <c r="AF518" s="46">
        <f t="shared" ref="AF518:AF581" si="181">$C518-360</f>
        <v>-248.53986497230505</v>
      </c>
      <c r="AG518" s="47">
        <f t="shared" ref="AG518:AG581" si="182">$D518*1000</f>
        <v>16402.239629261203</v>
      </c>
      <c r="AH518" s="45" t="str">
        <f t="shared" si="165"/>
        <v>-248.53986,42.09215,16402</v>
      </c>
      <c r="AI518" s="44">
        <f t="shared" si="167"/>
        <v>1021.3214001440451</v>
      </c>
    </row>
    <row r="519" spans="1:35" ht="18" customHeight="1" x14ac:dyDescent="0.25">
      <c r="A519" s="36">
        <f t="shared" ref="A519:A582" si="183">$T519+$S$5/86400</f>
        <v>0.74547454861111107</v>
      </c>
      <c r="B519" s="42">
        <f t="shared" si="168"/>
        <v>42.092149264640582</v>
      </c>
      <c r="C519" s="43">
        <f t="shared" si="169"/>
        <v>111.4601369720465</v>
      </c>
      <c r="D519" s="18">
        <f t="shared" si="170"/>
        <v>16.364175285445526</v>
      </c>
      <c r="E519" s="21" t="str">
        <f t="shared" si="171"/>
        <v>Umbra</v>
      </c>
      <c r="F519" s="23">
        <f>IF($E519&lt;&gt;"Umbra",fracil2($S$2,$S$3,$S$4,$A519,$Q$2,$O$3,$Q$4,$U519,$V519,$W519),0)</f>
        <v>0</v>
      </c>
      <c r="G519" s="19">
        <f t="shared" si="172"/>
        <v>69.299380921726637</v>
      </c>
      <c r="H519" s="19">
        <f t="shared" si="173"/>
        <v>-3.9596189304709322</v>
      </c>
      <c r="I519" s="19">
        <f t="shared" si="174"/>
        <v>-2.7516009810760371</v>
      </c>
      <c r="J519" s="28">
        <f t="shared" si="175"/>
        <v>5.7851481580864696E-3</v>
      </c>
      <c r="K519" s="24">
        <f t="shared" si="176"/>
        <v>1049.2454626813465</v>
      </c>
      <c r="L519" s="32">
        <f t="shared" si="177"/>
        <v>0.55556420333282508</v>
      </c>
      <c r="M519" s="35">
        <f t="shared" si="178"/>
        <v>13.397042420745809</v>
      </c>
      <c r="O519" s="29">
        <f t="shared" si="179"/>
        <v>1046.5822582492026</v>
      </c>
      <c r="T519" s="48">
        <v>0.74547454861111107</v>
      </c>
      <c r="U519" s="29">
        <v>-1283.1078649543169</v>
      </c>
      <c r="V519" s="29">
        <v>4575.790116444623</v>
      </c>
      <c r="W519" s="29">
        <v>4264.1726998790364</v>
      </c>
      <c r="X519" s="4">
        <v>-0.32600882857843783</v>
      </c>
      <c r="Y519" s="4">
        <v>-0.12096126132496647</v>
      </c>
      <c r="Z519" s="4">
        <v>-2.5698006341317747E-2</v>
      </c>
      <c r="AA519" s="3">
        <f t="shared" ref="AA519:AA582" si="184">SQRT($X519*$X519+$Y519*$Y519+$Z519*$Z519)</f>
        <v>0.34867430444804864</v>
      </c>
      <c r="AB519" s="3">
        <f t="shared" si="166"/>
        <v>1.2014552122991776E-2</v>
      </c>
      <c r="AC519" s="3">
        <f t="shared" ref="AC519:AC582" si="185">vrel($S$2,$S$3,$S$4,$A519,$B519,$C519,$U519,$V519,$W519,$X519,$Y519,$Z519)</f>
        <v>3.8350248295423994E-2</v>
      </c>
      <c r="AD519" s="48"/>
      <c r="AE519" s="46">
        <f t="shared" si="180"/>
        <v>42.092149264640582</v>
      </c>
      <c r="AF519" s="46">
        <f t="shared" si="181"/>
        <v>-248.53986302795352</v>
      </c>
      <c r="AG519" s="47">
        <f t="shared" si="182"/>
        <v>16364.175285445526</v>
      </c>
      <c r="AH519" s="45" t="str">
        <f t="shared" ref="AH519:AH582" si="186">CONCATENATE(TEXT($AF519,"00.00000"),",",TEXT($AE519,"00.00000"),",",TEXT($AG519,"00000"))</f>
        <v>-248.53986,42.09215,16364</v>
      </c>
      <c r="AI519" s="44">
        <f t="shared" si="167"/>
        <v>1021.3215900146411</v>
      </c>
    </row>
    <row r="520" spans="1:35" ht="18" customHeight="1" x14ac:dyDescent="0.25">
      <c r="A520" s="36">
        <f t="shared" si="183"/>
        <v>0.74548614583333339</v>
      </c>
      <c r="B520" s="42">
        <f t="shared" si="168"/>
        <v>42.092149257069458</v>
      </c>
      <c r="C520" s="43">
        <f t="shared" si="169"/>
        <v>111.46013720501958</v>
      </c>
      <c r="D520" s="18">
        <f t="shared" si="170"/>
        <v>16.325821622838703</v>
      </c>
      <c r="E520" s="21" t="str">
        <f t="shared" si="171"/>
        <v>Umbra</v>
      </c>
      <c r="F520" s="23">
        <f>IF($E520&lt;&gt;"Umbra",fracil2($S$2,$S$3,$S$4,$A520,$Q$2,$O$3,$Q$4,$U520,$V520,$W520),0)</f>
        <v>0</v>
      </c>
      <c r="G520" s="19">
        <f t="shared" si="172"/>
        <v>69.299388019879231</v>
      </c>
      <c r="H520" s="19">
        <f t="shared" si="173"/>
        <v>-3.961703680807692</v>
      </c>
      <c r="I520" s="19">
        <f t="shared" si="174"/>
        <v>-2.7536857314127969</v>
      </c>
      <c r="J520" s="28">
        <f t="shared" si="175"/>
        <v>5.7795521729344535E-3</v>
      </c>
      <c r="K520" s="24">
        <f t="shared" si="176"/>
        <v>1049.2417933976594</v>
      </c>
      <c r="L520" s="32">
        <f t="shared" si="177"/>
        <v>0.5555802579617527</v>
      </c>
      <c r="M520" s="35">
        <f t="shared" si="178"/>
        <v>13.3956431296875</v>
      </c>
      <c r="O520" s="29">
        <f t="shared" si="179"/>
        <v>1046.5822767916222</v>
      </c>
      <c r="T520" s="48">
        <v>0.74548614583333339</v>
      </c>
      <c r="U520" s="29">
        <v>-1283.4345331273184</v>
      </c>
      <c r="V520" s="29">
        <v>4575.6689432782759</v>
      </c>
      <c r="W520" s="29">
        <v>4264.1469898349806</v>
      </c>
      <c r="X520" s="4">
        <v>-0.32602139277729247</v>
      </c>
      <c r="Y520" s="4">
        <v>-0.12090069091979673</v>
      </c>
      <c r="Z520" s="4">
        <v>-2.5619379651076482E-2</v>
      </c>
      <c r="AA520" s="3">
        <f t="shared" si="184"/>
        <v>0.3486592580543873</v>
      </c>
      <c r="AB520" s="3">
        <f t="shared" ref="AB520:AB583" si="187">-($AC520-$AC519)/(($A520-$A519)*86400)*1000/9.806</f>
        <v>1.1933175877879454E-2</v>
      </c>
      <c r="AC520" s="3">
        <f t="shared" si="185"/>
        <v>3.8232997539319143E-2</v>
      </c>
      <c r="AD520" s="48"/>
      <c r="AE520" s="46">
        <f t="shared" si="180"/>
        <v>42.092149257069458</v>
      </c>
      <c r="AF520" s="46">
        <f t="shared" si="181"/>
        <v>-248.53986279498042</v>
      </c>
      <c r="AG520" s="47">
        <f t="shared" si="182"/>
        <v>16325.821622838703</v>
      </c>
      <c r="AH520" s="45" t="str">
        <f t="shared" si="186"/>
        <v>-248.53986,42.09215,16326</v>
      </c>
      <c r="AI520" s="44">
        <f t="shared" ref="AI520:AI583" si="188">IFERROR(ACOS(SIN(RADIANS($B519))*SIN(RADIANS($B520))+COS(RADIANS($B519))*COS(RADIANS($B520))*COS(RADIANS($C519-$C520)))*6371,0)+AI519</f>
        <v>1021.321684949939</v>
      </c>
    </row>
    <row r="521" spans="1:35" ht="18" customHeight="1" x14ac:dyDescent="0.25">
      <c r="A521" s="36">
        <f t="shared" si="183"/>
        <v>0.74549769675925937</v>
      </c>
      <c r="B521" s="42">
        <f t="shared" si="168"/>
        <v>42.092149249558027</v>
      </c>
      <c r="C521" s="43">
        <f t="shared" si="169"/>
        <v>111.46013882875992</v>
      </c>
      <c r="D521" s="18">
        <f t="shared" si="170"/>
        <v>16.287724820729636</v>
      </c>
      <c r="E521" s="21" t="str">
        <f t="shared" si="171"/>
        <v>Umbra</v>
      </c>
      <c r="F521" s="23">
        <f>IF($E521&lt;&gt;"Umbra",fracil2($S$2,$S$3,$S$4,$A521,$Q$2,$O$3,$Q$4,$U521,$V521,$W521),0)</f>
        <v>0</v>
      </c>
      <c r="G521" s="19">
        <f t="shared" si="172"/>
        <v>69.299396487713864</v>
      </c>
      <c r="H521" s="19">
        <f t="shared" si="173"/>
        <v>-3.9637750697024696</v>
      </c>
      <c r="I521" s="19">
        <f t="shared" si="174"/>
        <v>-2.7557571203075746</v>
      </c>
      <c r="J521" s="28">
        <f t="shared" si="175"/>
        <v>5.7740133126253854E-3</v>
      </c>
      <c r="K521" s="24">
        <f t="shared" si="176"/>
        <v>1049.2382620929627</v>
      </c>
      <c r="L521" s="32">
        <f t="shared" si="177"/>
        <v>0.55559623507365341</v>
      </c>
      <c r="M521" s="35">
        <f t="shared" si="178"/>
        <v>13.394251737394887</v>
      </c>
      <c r="O521" s="29">
        <f t="shared" si="179"/>
        <v>1046.5824071577867</v>
      </c>
      <c r="T521" s="48">
        <v>0.74549769675925937</v>
      </c>
      <c r="U521" s="29">
        <v>-1283.7600183796392</v>
      </c>
      <c r="V521" s="29">
        <v>4575.5482736129225</v>
      </c>
      <c r="W521" s="29">
        <v>4264.1214519758769</v>
      </c>
      <c r="X521" s="4">
        <v>-0.32603378049714071</v>
      </c>
      <c r="Y521" s="4">
        <v>-0.12084087437509836</v>
      </c>
      <c r="Z521" s="4">
        <v>-2.5541535878235162E-2</v>
      </c>
      <c r="AA521" s="3">
        <f t="shared" si="184"/>
        <v>0.3486443933293854</v>
      </c>
      <c r="AB521" s="3">
        <f t="shared" si="187"/>
        <v>1.1861678297724937E-2</v>
      </c>
      <c r="AC521" s="3">
        <f t="shared" si="185"/>
        <v>3.8116914553165945E-2</v>
      </c>
      <c r="AD521" s="48"/>
      <c r="AE521" s="46">
        <f t="shared" si="180"/>
        <v>42.092149249558027</v>
      </c>
      <c r="AF521" s="46">
        <f t="shared" si="181"/>
        <v>-248.53986117124009</v>
      </c>
      <c r="AG521" s="47">
        <f t="shared" si="182"/>
        <v>16287.724820729636</v>
      </c>
      <c r="AH521" s="45" t="str">
        <f t="shared" si="186"/>
        <v>-248.53986,42.09215,16288</v>
      </c>
      <c r="AI521" s="44">
        <f t="shared" si="188"/>
        <v>1021.321819208724</v>
      </c>
    </row>
    <row r="522" spans="1:35" ht="18" customHeight="1" x14ac:dyDescent="0.25">
      <c r="A522" s="36">
        <f t="shared" si="183"/>
        <v>0.74550934027777771</v>
      </c>
      <c r="B522" s="42">
        <f t="shared" si="168"/>
        <v>42.092149242020149</v>
      </c>
      <c r="C522" s="43">
        <f t="shared" si="169"/>
        <v>111.46013944158233</v>
      </c>
      <c r="D522" s="18">
        <f t="shared" si="170"/>
        <v>16.249448888146617</v>
      </c>
      <c r="E522" s="21" t="str">
        <f t="shared" si="171"/>
        <v>Umbra</v>
      </c>
      <c r="F522" s="23">
        <f>IF($E522&lt;&gt;"Umbra",fracil2($S$2,$S$3,$S$4,$A522,$Q$2,$O$3,$Q$4,$U522,$V522,$W522),0)</f>
        <v>0</v>
      </c>
      <c r="G522" s="19">
        <f t="shared" si="172"/>
        <v>69.299403958649762</v>
      </c>
      <c r="H522" s="19">
        <f t="shared" si="173"/>
        <v>-3.9658557837206012</v>
      </c>
      <c r="I522" s="19">
        <f t="shared" si="174"/>
        <v>-2.7578378343257057</v>
      </c>
      <c r="J522" s="28">
        <f t="shared" si="175"/>
        <v>5.7684683305572713E-3</v>
      </c>
      <c r="K522" s="24">
        <f t="shared" si="176"/>
        <v>1049.2346336088863</v>
      </c>
      <c r="L522" s="32">
        <f t="shared" si="177"/>
        <v>0.55561232674889627</v>
      </c>
      <c r="M522" s="35">
        <f t="shared" si="178"/>
        <v>13.392854829118772</v>
      </c>
      <c r="O522" s="29">
        <f t="shared" si="179"/>
        <v>1046.5824562421769</v>
      </c>
      <c r="T522" s="48">
        <v>0.74550934027777771</v>
      </c>
      <c r="U522" s="29">
        <v>-1284.088045382249</v>
      </c>
      <c r="V522" s="29">
        <v>4575.4267263865149</v>
      </c>
      <c r="W522" s="29">
        <v>4264.0957940389617</v>
      </c>
      <c r="X522" s="4">
        <v>-0.32604613403150962</v>
      </c>
      <c r="Y522" s="4">
        <v>-0.12078112504051018</v>
      </c>
      <c r="Z522" s="4">
        <v>-2.5463582223458368E-2</v>
      </c>
      <c r="AA522" s="3">
        <f t="shared" si="184"/>
        <v>0.34862953934311891</v>
      </c>
      <c r="AB522" s="3">
        <f t="shared" si="187"/>
        <v>1.1783935029283338E-2</v>
      </c>
      <c r="AC522" s="3">
        <f t="shared" si="185"/>
        <v>3.8000667966669142E-2</v>
      </c>
      <c r="AD522" s="48"/>
      <c r="AE522" s="46">
        <f t="shared" si="180"/>
        <v>42.092149242020149</v>
      </c>
      <c r="AF522" s="46">
        <f t="shared" si="181"/>
        <v>-248.53986055841767</v>
      </c>
      <c r="AG522" s="47">
        <f t="shared" si="182"/>
        <v>16249.448888146617</v>
      </c>
      <c r="AH522" s="45" t="str">
        <f t="shared" si="186"/>
        <v>-248.53986,42.09215,16249</v>
      </c>
      <c r="AI522" s="44">
        <f t="shared" si="188"/>
        <v>1021.321819208724</v>
      </c>
    </row>
    <row r="523" spans="1:35" ht="18" customHeight="1" x14ac:dyDescent="0.25">
      <c r="A523" s="36">
        <f t="shared" si="183"/>
        <v>0.74552087962962965</v>
      </c>
      <c r="B523" s="42">
        <f t="shared" si="168"/>
        <v>42.09214923458363</v>
      </c>
      <c r="C523" s="43">
        <f t="shared" si="169"/>
        <v>111.46013863800128</v>
      </c>
      <c r="D523" s="18">
        <f t="shared" si="170"/>
        <v>16.211643230258233</v>
      </c>
      <c r="E523" s="21" t="str">
        <f t="shared" si="171"/>
        <v>Umbra</v>
      </c>
      <c r="F523" s="23">
        <f>IF($E523&lt;&gt;"Umbra",fracil2($S$2,$S$3,$S$4,$A523,$Q$2,$O$3,$Q$4,$U523,$V523,$W523),0)</f>
        <v>0</v>
      </c>
      <c r="G523" s="19">
        <f t="shared" si="172"/>
        <v>69.299409903790206</v>
      </c>
      <c r="H523" s="19">
        <f t="shared" si="173"/>
        <v>-3.9679103547668571</v>
      </c>
      <c r="I523" s="19">
        <f t="shared" si="174"/>
        <v>-2.7598924053719616</v>
      </c>
      <c r="J523" s="28">
        <f t="shared" si="175"/>
        <v>5.7630110251567484E-3</v>
      </c>
      <c r="K523" s="24">
        <f t="shared" si="176"/>
        <v>1049.2309377031295</v>
      </c>
      <c r="L523" s="32">
        <f t="shared" si="177"/>
        <v>0.55562826117378572</v>
      </c>
      <c r="M523" s="35">
        <f t="shared" si="178"/>
        <v>13.391476514748451</v>
      </c>
      <c r="O523" s="29">
        <f t="shared" si="179"/>
        <v>1046.5823914456148</v>
      </c>
      <c r="T523" s="48">
        <v>0.74552087962962965</v>
      </c>
      <c r="U523" s="29">
        <v>-1284.4130399435874</v>
      </c>
      <c r="V523" s="29">
        <v>4575.3063663374687</v>
      </c>
      <c r="W523" s="29">
        <v>4264.0704513473092</v>
      </c>
      <c r="X523" s="4">
        <v>-0.32605824511802112</v>
      </c>
      <c r="Y523" s="4">
        <v>-0.12072245152139846</v>
      </c>
      <c r="Z523" s="4">
        <v>-2.5386837094340729E-2</v>
      </c>
      <c r="AA523" s="3">
        <f t="shared" si="184"/>
        <v>0.34861494662225045</v>
      </c>
      <c r="AB523" s="3">
        <f t="shared" si="187"/>
        <v>1.1705946422419046E-2</v>
      </c>
      <c r="AC523" s="3">
        <f t="shared" si="185"/>
        <v>3.7886223821581869E-2</v>
      </c>
      <c r="AD523" s="48"/>
      <c r="AE523" s="46">
        <f t="shared" si="180"/>
        <v>42.09214923458363</v>
      </c>
      <c r="AF523" s="46">
        <f t="shared" si="181"/>
        <v>-248.5398613619987</v>
      </c>
      <c r="AG523" s="47">
        <f t="shared" si="182"/>
        <v>16211.643230258233</v>
      </c>
      <c r="AH523" s="45" t="str">
        <f t="shared" si="186"/>
        <v>-248.53986,42.09215,16212</v>
      </c>
      <c r="AI523" s="44">
        <f t="shared" si="188"/>
        <v>1021.321819208724</v>
      </c>
    </row>
    <row r="524" spans="1:35" ht="18" customHeight="1" x14ac:dyDescent="0.25">
      <c r="A524" s="36">
        <f t="shared" si="183"/>
        <v>0.74553240740740734</v>
      </c>
      <c r="B524" s="42">
        <f t="shared" si="168"/>
        <v>42.092149227183455</v>
      </c>
      <c r="C524" s="43">
        <f t="shared" si="169"/>
        <v>111.460138943641</v>
      </c>
      <c r="D524" s="18">
        <f t="shared" si="170"/>
        <v>16.173979050050548</v>
      </c>
      <c r="E524" s="21" t="str">
        <f t="shared" si="171"/>
        <v>Umbra</v>
      </c>
      <c r="F524" s="23">
        <f>IF($E524&lt;&gt;"Umbra",fracil2($S$2,$S$3,$S$4,$A524,$Q$2,$O$3,$Q$4,$U524,$V524,$W524),0)</f>
        <v>0</v>
      </c>
      <c r="G524" s="19">
        <f t="shared" si="172"/>
        <v>69.299416952678712</v>
      </c>
      <c r="H524" s="19">
        <f t="shared" si="173"/>
        <v>-3.9699577165935072</v>
      </c>
      <c r="I524" s="19">
        <f t="shared" si="174"/>
        <v>-2.7619397671986121</v>
      </c>
      <c r="J524" s="28">
        <f t="shared" si="175"/>
        <v>5.7575931770301562E-3</v>
      </c>
      <c r="K524" s="24">
        <f t="shared" si="176"/>
        <v>1049.2273459788562</v>
      </c>
      <c r="L524" s="32">
        <f t="shared" si="177"/>
        <v>0.55564416650665949</v>
      </c>
      <c r="M524" s="35">
        <f t="shared" si="178"/>
        <v>13.390102183157913</v>
      </c>
      <c r="O524" s="29">
        <f t="shared" si="179"/>
        <v>1046.5824158349517</v>
      </c>
      <c r="T524" s="48">
        <v>0.74553240740740734</v>
      </c>
      <c r="U524" s="29">
        <v>-1284.7378071199691</v>
      </c>
      <c r="V524" s="29">
        <v>4575.1861531031909</v>
      </c>
      <c r="W524" s="29">
        <v>4264.0452034946929</v>
      </c>
      <c r="X524" s="4">
        <v>-0.32607022106781813</v>
      </c>
      <c r="Y524" s="4">
        <v>-0.12066433587035812</v>
      </c>
      <c r="Z524" s="4">
        <v>-2.5310627358092721E-2</v>
      </c>
      <c r="AA524" s="3">
        <f t="shared" si="184"/>
        <v>0.34860048605174176</v>
      </c>
      <c r="AB524" s="3">
        <f t="shared" si="187"/>
        <v>1.163592791623335E-2</v>
      </c>
      <c r="AC524" s="3">
        <f t="shared" si="185"/>
        <v>3.7772578320072768E-2</v>
      </c>
      <c r="AD524" s="48"/>
      <c r="AE524" s="46">
        <f t="shared" si="180"/>
        <v>42.092149227183455</v>
      </c>
      <c r="AF524" s="46">
        <f t="shared" si="181"/>
        <v>-248.539861056359</v>
      </c>
      <c r="AG524" s="47">
        <f t="shared" si="182"/>
        <v>16173.979050050548</v>
      </c>
      <c r="AH524" s="45" t="str">
        <f t="shared" si="186"/>
        <v>-248.53986,42.09215,16174</v>
      </c>
      <c r="AI524" s="44">
        <f t="shared" si="188"/>
        <v>1021.321819208724</v>
      </c>
    </row>
    <row r="525" spans="1:35" ht="18" customHeight="1" x14ac:dyDescent="0.25">
      <c r="A525" s="36">
        <f t="shared" si="183"/>
        <v>0.74554409722222215</v>
      </c>
      <c r="B525" s="42">
        <f t="shared" si="168"/>
        <v>42.092149219711153</v>
      </c>
      <c r="C525" s="43">
        <f t="shared" si="169"/>
        <v>111.46013907911329</v>
      </c>
      <c r="D525" s="18">
        <f t="shared" si="170"/>
        <v>16.135902285315751</v>
      </c>
      <c r="E525" s="21" t="str">
        <f t="shared" si="171"/>
        <v>Umbra</v>
      </c>
      <c r="F525" s="23">
        <f>IF($E525&lt;&gt;"Umbra",fracil2($S$2,$S$3,$S$4,$A525,$Q$2,$O$3,$Q$4,$U525,$V525,$W525),0)</f>
        <v>0</v>
      </c>
      <c r="G525" s="19">
        <f t="shared" si="172"/>
        <v>69.299423902196267</v>
      </c>
      <c r="H525" s="19">
        <f t="shared" si="173"/>
        <v>-3.9720274471487222</v>
      </c>
      <c r="I525" s="19">
        <f t="shared" si="174"/>
        <v>-2.7640094977538272</v>
      </c>
      <c r="J525" s="28">
        <f t="shared" si="175"/>
        <v>5.7521352539188116E-3</v>
      </c>
      <c r="K525" s="24">
        <f t="shared" si="176"/>
        <v>1049.2237023102157</v>
      </c>
      <c r="L525" s="32">
        <f t="shared" si="177"/>
        <v>0.55566028210300322</v>
      </c>
      <c r="M525" s="35">
        <f t="shared" si="178"/>
        <v>13.388712947267331</v>
      </c>
      <c r="O525" s="29">
        <f t="shared" si="179"/>
        <v>1046.5824265404694</v>
      </c>
      <c r="T525" s="48">
        <v>0.74554409722222215</v>
      </c>
      <c r="U525" s="29">
        <v>-1285.067137896353</v>
      </c>
      <c r="V525" s="29">
        <v>4575.0643139740159</v>
      </c>
      <c r="W525" s="29">
        <v>4264.0196790704067</v>
      </c>
      <c r="X525" s="4">
        <v>-0.32608223775670836</v>
      </c>
      <c r="Y525" s="4">
        <v>-0.1206059242670123</v>
      </c>
      <c r="Z525" s="4">
        <v>-2.5233832020403538E-2</v>
      </c>
      <c r="AA525" s="3">
        <f t="shared" si="184"/>
        <v>0.3485859449650211</v>
      </c>
      <c r="AB525" s="3">
        <f t="shared" si="187"/>
        <v>1.1562783822792839E-2</v>
      </c>
      <c r="AC525" s="3">
        <f t="shared" si="185"/>
        <v>3.7658059815324864E-2</v>
      </c>
      <c r="AD525" s="48"/>
      <c r="AE525" s="46">
        <f t="shared" si="180"/>
        <v>42.092149219711153</v>
      </c>
      <c r="AF525" s="46">
        <f t="shared" si="181"/>
        <v>-248.53986092088672</v>
      </c>
      <c r="AG525" s="47">
        <f t="shared" si="182"/>
        <v>16135.902285315751</v>
      </c>
      <c r="AH525" s="45" t="str">
        <f t="shared" si="186"/>
        <v>-248.53986,42.09215,16136</v>
      </c>
      <c r="AI525" s="44">
        <f t="shared" si="188"/>
        <v>1021.321819208724</v>
      </c>
    </row>
    <row r="526" spans="1:35" ht="18" customHeight="1" x14ac:dyDescent="0.25">
      <c r="A526" s="36">
        <f t="shared" si="183"/>
        <v>0.74555555555555564</v>
      </c>
      <c r="B526" s="42">
        <f t="shared" si="168"/>
        <v>42.092149212417546</v>
      </c>
      <c r="C526" s="43">
        <f t="shared" si="169"/>
        <v>111.46013903509832</v>
      </c>
      <c r="D526" s="18">
        <f t="shared" si="170"/>
        <v>16.098693033827658</v>
      </c>
      <c r="E526" s="21" t="str">
        <f t="shared" si="171"/>
        <v>Umbra</v>
      </c>
      <c r="F526" s="23">
        <f>IF($E526&lt;&gt;"Umbra",fracil2($S$2,$S$3,$S$4,$A526,$Q$2,$O$3,$Q$4,$U526,$V526,$W526),0)</f>
        <v>0</v>
      </c>
      <c r="G526" s="19">
        <f t="shared" si="172"/>
        <v>69.299430513858482</v>
      </c>
      <c r="H526" s="19">
        <f t="shared" si="173"/>
        <v>-3.9740499622510055</v>
      </c>
      <c r="I526" s="19">
        <f t="shared" si="174"/>
        <v>-2.76603201285611</v>
      </c>
      <c r="J526" s="28">
        <f t="shared" si="175"/>
        <v>5.7468205022931824E-3</v>
      </c>
      <c r="K526" s="24">
        <f t="shared" si="176"/>
        <v>1049.2201287856299</v>
      </c>
      <c r="L526" s="32">
        <f t="shared" si="177"/>
        <v>0.55567606565837702</v>
      </c>
      <c r="M526" s="35">
        <f t="shared" si="178"/>
        <v>13.387355516989984</v>
      </c>
      <c r="O526" s="29">
        <f t="shared" si="179"/>
        <v>1046.5824228190772</v>
      </c>
      <c r="T526" s="48">
        <v>0.74555555555555564</v>
      </c>
      <c r="U526" s="29">
        <v>-1285.3899452844287</v>
      </c>
      <c r="V526" s="29">
        <v>4574.944949569096</v>
      </c>
      <c r="W526" s="29">
        <v>4263.9947361767017</v>
      </c>
      <c r="X526" s="4">
        <v>-0.32609389225537799</v>
      </c>
      <c r="Y526" s="4">
        <v>-0.12054917619657056</v>
      </c>
      <c r="Z526" s="4">
        <v>-2.515902994716851E-2</v>
      </c>
      <c r="AA526" s="3">
        <f t="shared" si="184"/>
        <v>0.34857181073032339</v>
      </c>
      <c r="AB526" s="3">
        <f t="shared" si="187"/>
        <v>1.1490168291072682E-2</v>
      </c>
      <c r="AC526" s="3">
        <f t="shared" si="185"/>
        <v>3.7546513950963686E-2</v>
      </c>
      <c r="AD526" s="48"/>
      <c r="AE526" s="46">
        <f t="shared" si="180"/>
        <v>42.092149212417546</v>
      </c>
      <c r="AF526" s="46">
        <f t="shared" si="181"/>
        <v>-248.53986096490166</v>
      </c>
      <c r="AG526" s="47">
        <f t="shared" si="182"/>
        <v>16098.693033827658</v>
      </c>
      <c r="AH526" s="45" t="str">
        <f t="shared" si="186"/>
        <v>-248.53986,42.09215,16099</v>
      </c>
      <c r="AI526" s="44">
        <f t="shared" si="188"/>
        <v>1021.321819208724</v>
      </c>
    </row>
    <row r="527" spans="1:35" ht="18" customHeight="1" x14ac:dyDescent="0.25">
      <c r="A527" s="36">
        <f t="shared" si="183"/>
        <v>0.74556722222222227</v>
      </c>
      <c r="B527" s="42">
        <f t="shared" si="168"/>
        <v>42.092149205020412</v>
      </c>
      <c r="C527" s="43">
        <f t="shared" si="169"/>
        <v>111.46013992765138</v>
      </c>
      <c r="D527" s="18">
        <f t="shared" si="170"/>
        <v>16.060911988626685</v>
      </c>
      <c r="E527" s="21" t="str">
        <f t="shared" si="171"/>
        <v>Umbra</v>
      </c>
      <c r="F527" s="23">
        <f>IF($E527&lt;&gt;"Umbra",fracil2($S$2,$S$3,$S$4,$A527,$Q$2,$O$3,$Q$4,$U527,$V527,$W527),0)</f>
        <v>0</v>
      </c>
      <c r="G527" s="19">
        <f t="shared" si="172"/>
        <v>69.299438181129361</v>
      </c>
      <c r="H527" s="19">
        <f t="shared" si="173"/>
        <v>-3.9761039649825896</v>
      </c>
      <c r="I527" s="19">
        <f t="shared" si="174"/>
        <v>-2.7680860155876941</v>
      </c>
      <c r="J527" s="28">
        <f t="shared" si="175"/>
        <v>5.7414427258688063E-3</v>
      </c>
      <c r="K527" s="24">
        <f t="shared" si="176"/>
        <v>1049.2165770965555</v>
      </c>
      <c r="L527" s="32">
        <f t="shared" si="177"/>
        <v>0.55569212311856231</v>
      </c>
      <c r="M527" s="35">
        <f t="shared" si="178"/>
        <v>13.385976227477192</v>
      </c>
      <c r="O527" s="29">
        <f t="shared" si="179"/>
        <v>1046.5824943982561</v>
      </c>
      <c r="T527" s="48">
        <v>0.74556722222222227</v>
      </c>
      <c r="U527" s="29">
        <v>-1285.7187069447693</v>
      </c>
      <c r="V527" s="29">
        <v>4574.8234453006435</v>
      </c>
      <c r="W527" s="29">
        <v>4263.9694099868339</v>
      </c>
      <c r="X527" s="4">
        <v>-0.3261056373679177</v>
      </c>
      <c r="Y527" s="4">
        <v>-0.12049188909621762</v>
      </c>
      <c r="Z527" s="4">
        <v>-2.5083321321829211E-2</v>
      </c>
      <c r="AA527" s="3">
        <f t="shared" si="184"/>
        <v>0.3485575348054395</v>
      </c>
      <c r="AB527" s="3">
        <f t="shared" si="187"/>
        <v>1.1421727631292206E-2</v>
      </c>
      <c r="AC527" s="3">
        <f t="shared" si="185"/>
        <v>3.743361647812235E-2</v>
      </c>
      <c r="AD527" s="48"/>
      <c r="AE527" s="46">
        <f t="shared" si="180"/>
        <v>42.092149205020412</v>
      </c>
      <c r="AF527" s="46">
        <f t="shared" si="181"/>
        <v>-248.53986007234863</v>
      </c>
      <c r="AG527" s="47">
        <f t="shared" si="182"/>
        <v>16060.911988626685</v>
      </c>
      <c r="AH527" s="45" t="str">
        <f t="shared" si="186"/>
        <v>-248.53986,42.09215,16061</v>
      </c>
      <c r="AI527" s="44">
        <f t="shared" si="188"/>
        <v>1021.321914144022</v>
      </c>
    </row>
    <row r="528" spans="1:35" ht="18" customHeight="1" x14ac:dyDescent="0.25">
      <c r="A528" s="36">
        <f t="shared" si="183"/>
        <v>0.7455787962962962</v>
      </c>
      <c r="B528" s="42">
        <f t="shared" si="168"/>
        <v>42.092149197717461</v>
      </c>
      <c r="C528" s="43">
        <f t="shared" si="169"/>
        <v>111.46013788051239</v>
      </c>
      <c r="D528" s="18">
        <f t="shared" si="170"/>
        <v>16.023569126899019</v>
      </c>
      <c r="E528" s="21" t="str">
        <f t="shared" si="171"/>
        <v>Umbra</v>
      </c>
      <c r="F528" s="23">
        <f>IF($E528&lt;&gt;"Umbra",fracil2($S$2,$S$3,$S$4,$A528,$Q$2,$O$3,$Q$4,$U528,$V528,$W528),0)</f>
        <v>0</v>
      </c>
      <c r="G528" s="19">
        <f t="shared" si="172"/>
        <v>69.299442777860705</v>
      </c>
      <c r="H528" s="19">
        <f t="shared" si="173"/>
        <v>-3.9781329294064265</v>
      </c>
      <c r="I528" s="19">
        <f t="shared" si="174"/>
        <v>-2.770114980011531</v>
      </c>
      <c r="J528" s="28">
        <f t="shared" si="175"/>
        <v>5.7361462719633339E-3</v>
      </c>
      <c r="K528" s="24">
        <f t="shared" si="176"/>
        <v>1049.2128322266267</v>
      </c>
      <c r="L528" s="32">
        <f t="shared" si="177"/>
        <v>0.55570804022938536</v>
      </c>
      <c r="M528" s="35">
        <f t="shared" si="178"/>
        <v>13.384615940392997</v>
      </c>
      <c r="O528" s="29">
        <f t="shared" si="179"/>
        <v>1046.5823296188912</v>
      </c>
      <c r="T528" s="48">
        <v>0.7455787962962962</v>
      </c>
      <c r="U528" s="29">
        <v>-1286.0446422272898</v>
      </c>
      <c r="V528" s="29">
        <v>4574.7030466640017</v>
      </c>
      <c r="W528" s="29">
        <v>4263.9443775300906</v>
      </c>
      <c r="X528" s="4">
        <v>-0.32611715838962912</v>
      </c>
      <c r="Y528" s="4">
        <v>-0.12043559693079862</v>
      </c>
      <c r="Z528" s="4">
        <v>-2.5008731858524987E-2</v>
      </c>
      <c r="AA528" s="3">
        <f t="shared" si="184"/>
        <v>0.34854349896874542</v>
      </c>
      <c r="AB528" s="3">
        <f t="shared" si="187"/>
        <v>1.1342883395493254E-2</v>
      </c>
      <c r="AC528" s="3">
        <f t="shared" si="185"/>
        <v>3.7322388163547549E-2</v>
      </c>
      <c r="AD528" s="48"/>
      <c r="AE528" s="46">
        <f t="shared" si="180"/>
        <v>42.092149197717461</v>
      </c>
      <c r="AF528" s="46">
        <f t="shared" si="181"/>
        <v>-248.53986211948762</v>
      </c>
      <c r="AG528" s="47">
        <f t="shared" si="182"/>
        <v>16023.569126899019</v>
      </c>
      <c r="AH528" s="45" t="str">
        <f t="shared" si="186"/>
        <v>-248.53986,42.09215,16024</v>
      </c>
      <c r="AI528" s="44">
        <f t="shared" si="188"/>
        <v>1021.3221040146179</v>
      </c>
    </row>
    <row r="529" spans="1:35" ht="18" customHeight="1" x14ac:dyDescent="0.25">
      <c r="A529" s="36">
        <f t="shared" si="183"/>
        <v>0.74559037037037035</v>
      </c>
      <c r="B529" s="42">
        <f t="shared" si="168"/>
        <v>42.092149190441873</v>
      </c>
      <c r="C529" s="43">
        <f t="shared" si="169"/>
        <v>111.46013741030652</v>
      </c>
      <c r="D529" s="18">
        <f t="shared" si="170"/>
        <v>15.986323081889168</v>
      </c>
      <c r="E529" s="21" t="str">
        <f t="shared" si="171"/>
        <v>Umbra</v>
      </c>
      <c r="F529" s="23">
        <f>IF($E529&lt;&gt;"Umbra",fracil2($S$2,$S$3,$S$4,$A529,$Q$2,$O$3,$Q$4,$U529,$V529,$W529),0)</f>
        <v>0</v>
      </c>
      <c r="G529" s="19">
        <f t="shared" si="172"/>
        <v>69.29944896238942</v>
      </c>
      <c r="H529" s="19">
        <f t="shared" si="173"/>
        <v>-3.9801573073900722</v>
      </c>
      <c r="I529" s="19">
        <f t="shared" si="174"/>
        <v>-2.7721393579951767</v>
      </c>
      <c r="J529" s="28">
        <f t="shared" si="175"/>
        <v>5.7308818607936605E-3</v>
      </c>
      <c r="K529" s="24">
        <f t="shared" si="176"/>
        <v>1049.2092248328561</v>
      </c>
      <c r="L529" s="32">
        <f t="shared" si="177"/>
        <v>0.55572394451883422</v>
      </c>
      <c r="M529" s="35">
        <f t="shared" si="178"/>
        <v>13.38325752374204</v>
      </c>
      <c r="O529" s="29">
        <f t="shared" si="179"/>
        <v>1046.58229163082</v>
      </c>
      <c r="T529" s="48">
        <v>0.74559037037037035</v>
      </c>
      <c r="U529" s="29">
        <v>-1286.3707121417676</v>
      </c>
      <c r="V529" s="29">
        <v>4574.582658574247</v>
      </c>
      <c r="W529" s="29">
        <v>4263.9194099742799</v>
      </c>
      <c r="X529" s="4">
        <v>-0.3261285620758948</v>
      </c>
      <c r="Y529" s="4">
        <v>-0.12037977946685451</v>
      </c>
      <c r="Z529" s="4">
        <v>-2.4934575713259462E-2</v>
      </c>
      <c r="AA529" s="3">
        <f t="shared" si="184"/>
        <v>0.34852957316729893</v>
      </c>
      <c r="AB529" s="3">
        <f t="shared" si="187"/>
        <v>1.127696279021401E-2</v>
      </c>
      <c r="AC529" s="3">
        <f t="shared" si="185"/>
        <v>3.7211806266425985E-2</v>
      </c>
      <c r="AD529" s="48"/>
      <c r="AE529" s="46">
        <f t="shared" si="180"/>
        <v>42.092149190441873</v>
      </c>
      <c r="AF529" s="46">
        <f t="shared" si="181"/>
        <v>-248.53986258969348</v>
      </c>
      <c r="AG529" s="47">
        <f t="shared" si="182"/>
        <v>15986.323081889168</v>
      </c>
      <c r="AH529" s="45" t="str">
        <f t="shared" si="186"/>
        <v>-248.53986,42.09215,15986</v>
      </c>
      <c r="AI529" s="44">
        <f t="shared" si="188"/>
        <v>1021.3221040146179</v>
      </c>
    </row>
    <row r="530" spans="1:35" ht="18" customHeight="1" x14ac:dyDescent="0.25">
      <c r="A530" s="36">
        <f t="shared" si="183"/>
        <v>0.74560196759259256</v>
      </c>
      <c r="B530" s="42">
        <f t="shared" si="168"/>
        <v>42.09214918318078</v>
      </c>
      <c r="C530" s="43">
        <f t="shared" si="169"/>
        <v>111.46013749735484</v>
      </c>
      <c r="D530" s="18">
        <f t="shared" si="170"/>
        <v>15.949108173512286</v>
      </c>
      <c r="E530" s="21" t="str">
        <f t="shared" si="171"/>
        <v>Umbra</v>
      </c>
      <c r="F530" s="23">
        <f>IF($E530&lt;&gt;"Umbra",fracil2($S$2,$S$3,$S$4,$A530,$Q$2,$O$3,$Q$4,$U530,$V530,$W530),0)</f>
        <v>0</v>
      </c>
      <c r="G530" s="19">
        <f t="shared" si="172"/>
        <v>69.299455708579231</v>
      </c>
      <c r="H530" s="19">
        <f t="shared" si="173"/>
        <v>-3.9821802405452398</v>
      </c>
      <c r="I530" s="19">
        <f t="shared" si="174"/>
        <v>-2.7741622911503443</v>
      </c>
      <c r="J530" s="28">
        <f t="shared" si="175"/>
        <v>5.7256401618704213E-3</v>
      </c>
      <c r="K530" s="24">
        <f t="shared" si="176"/>
        <v>1049.2056665689699</v>
      </c>
      <c r="L530" s="32">
        <f t="shared" si="177"/>
        <v>0.5557398678405806</v>
      </c>
      <c r="M530" s="35">
        <f t="shared" si="178"/>
        <v>13.381899637692424</v>
      </c>
      <c r="O530" s="29">
        <f t="shared" si="179"/>
        <v>1046.5822984481597</v>
      </c>
      <c r="T530" s="48">
        <v>0.74560196759259256</v>
      </c>
      <c r="U530" s="29">
        <v>-1286.697489234766</v>
      </c>
      <c r="V530" s="29">
        <v>4574.4620693277348</v>
      </c>
      <c r="W530" s="29">
        <v>4263.8944632913363</v>
      </c>
      <c r="X530" s="4">
        <v>-0.32613986916221038</v>
      </c>
      <c r="Y530" s="4">
        <v>-0.12032433580652996</v>
      </c>
      <c r="Z530" s="4">
        <v>-2.4860719983177341E-2</v>
      </c>
      <c r="AA530" s="3">
        <f t="shared" si="184"/>
        <v>0.34851573198710595</v>
      </c>
      <c r="AB530" s="3">
        <f t="shared" si="187"/>
        <v>1.1208835268108241E-2</v>
      </c>
      <c r="AC530" s="3">
        <f t="shared" si="185"/>
        <v>3.7101672600109707E-2</v>
      </c>
      <c r="AD530" s="48"/>
      <c r="AE530" s="46">
        <f t="shared" si="180"/>
        <v>42.09214918318078</v>
      </c>
      <c r="AF530" s="46">
        <f t="shared" si="181"/>
        <v>-248.53986250264518</v>
      </c>
      <c r="AG530" s="47">
        <f t="shared" si="182"/>
        <v>15949.108173512286</v>
      </c>
      <c r="AH530" s="45" t="str">
        <f t="shared" si="186"/>
        <v>-248.53986,42.09215,15949</v>
      </c>
      <c r="AI530" s="44">
        <f t="shared" si="188"/>
        <v>1021.3221040146179</v>
      </c>
    </row>
    <row r="531" spans="1:35" ht="18" customHeight="1" x14ac:dyDescent="0.25">
      <c r="A531" s="36">
        <f t="shared" si="183"/>
        <v>0.74561344907407401</v>
      </c>
      <c r="B531" s="42">
        <f t="shared" si="168"/>
        <v>42.092149176020222</v>
      </c>
      <c r="C531" s="43">
        <f t="shared" si="169"/>
        <v>111.46013825796017</v>
      </c>
      <c r="D531" s="18">
        <f t="shared" si="170"/>
        <v>15.912367105192061</v>
      </c>
      <c r="E531" s="21" t="str">
        <f t="shared" si="171"/>
        <v>Umbra</v>
      </c>
      <c r="F531" s="23">
        <f>IF($E531&lt;&gt;"Umbra",fracil2($S$2,$S$3,$S$4,$A531,$Q$2,$O$3,$Q$4,$U531,$V531,$W531),0)</f>
        <v>0</v>
      </c>
      <c r="G531" s="19">
        <f t="shared" si="172"/>
        <v>69.299463055611184</v>
      </c>
      <c r="H531" s="19">
        <f t="shared" si="173"/>
        <v>-3.9841777129970453</v>
      </c>
      <c r="I531" s="19">
        <f t="shared" si="174"/>
        <v>-2.7761597636021502</v>
      </c>
      <c r="J531" s="28">
        <f t="shared" si="175"/>
        <v>5.7204829798609812E-3</v>
      </c>
      <c r="K531" s="24">
        <f t="shared" si="176"/>
        <v>1049.2022091778551</v>
      </c>
      <c r="L531" s="32">
        <f t="shared" si="177"/>
        <v>0.55575561971752452</v>
      </c>
      <c r="M531" s="35">
        <f t="shared" si="178"/>
        <v>13.380558314710417</v>
      </c>
      <c r="O531" s="29">
        <f t="shared" si="179"/>
        <v>1046.5823594242204</v>
      </c>
      <c r="T531" s="48">
        <v>0.74561344907407401</v>
      </c>
      <c r="U531" s="29">
        <v>-1287.0210689163262</v>
      </c>
      <c r="V531" s="29">
        <v>4574.3427186047393</v>
      </c>
      <c r="W531" s="29">
        <v>4263.86983424354</v>
      </c>
      <c r="X531" s="4">
        <v>-0.3261509474644449</v>
      </c>
      <c r="Y531" s="4">
        <v>-0.12026991673111422</v>
      </c>
      <c r="Z531" s="4">
        <v>-2.4788036237720697E-2</v>
      </c>
      <c r="AA531" s="3">
        <f t="shared" si="184"/>
        <v>0.34850213793173035</v>
      </c>
      <c r="AB531" s="3">
        <f t="shared" si="187"/>
        <v>1.114214104397118E-2</v>
      </c>
      <c r="AC531" s="3">
        <f t="shared" si="185"/>
        <v>3.6993286843713481E-2</v>
      </c>
      <c r="AD531" s="48"/>
      <c r="AE531" s="46">
        <f t="shared" si="180"/>
        <v>42.092149176020222</v>
      </c>
      <c r="AF531" s="46">
        <f t="shared" si="181"/>
        <v>-248.53986174203982</v>
      </c>
      <c r="AG531" s="47">
        <f t="shared" si="182"/>
        <v>15912.367105192061</v>
      </c>
      <c r="AH531" s="45" t="str">
        <f t="shared" si="186"/>
        <v>-248.53986,42.09215,15912</v>
      </c>
      <c r="AI531" s="44">
        <f t="shared" si="188"/>
        <v>1021.3221040146179</v>
      </c>
    </row>
    <row r="532" spans="1:35" ht="18" customHeight="1" x14ac:dyDescent="0.25">
      <c r="A532" s="36">
        <f t="shared" si="183"/>
        <v>0.74562512731481478</v>
      </c>
      <c r="B532" s="42">
        <f t="shared" si="168"/>
        <v>42.092149168764188</v>
      </c>
      <c r="C532" s="43">
        <f t="shared" si="169"/>
        <v>111.46014052375354</v>
      </c>
      <c r="D532" s="18">
        <f t="shared" si="170"/>
        <v>15.875093243187621</v>
      </c>
      <c r="E532" s="21" t="str">
        <f t="shared" si="171"/>
        <v>Umbra</v>
      </c>
      <c r="F532" s="23">
        <f>IF($E532&lt;&gt;"Umbra",fracil2($S$2,$S$3,$S$4,$A532,$Q$2,$O$3,$Q$4,$U532,$V532,$W532),0)</f>
        <v>0</v>
      </c>
      <c r="G532" s="19">
        <f t="shared" si="172"/>
        <v>69.299472030044114</v>
      </c>
      <c r="H532" s="19">
        <f t="shared" si="173"/>
        <v>-3.9862047911658651</v>
      </c>
      <c r="I532" s="19">
        <f t="shared" si="174"/>
        <v>-2.7781868417709701</v>
      </c>
      <c r="J532" s="28">
        <f t="shared" si="175"/>
        <v>5.7152687543964957E-3</v>
      </c>
      <c r="K532" s="24">
        <f t="shared" si="176"/>
        <v>1049.1988231729342</v>
      </c>
      <c r="L532" s="32">
        <f t="shared" si="177"/>
        <v>0.55577162879687847</v>
      </c>
      <c r="M532" s="35">
        <f t="shared" si="178"/>
        <v>13.37919596591977</v>
      </c>
      <c r="O532" s="29">
        <f t="shared" si="179"/>
        <v>1046.582541419953</v>
      </c>
      <c r="T532" s="48">
        <v>0.74562512731481478</v>
      </c>
      <c r="U532" s="29">
        <v>-1287.3503216012721</v>
      </c>
      <c r="V532" s="29">
        <v>4574.221334735973</v>
      </c>
      <c r="W532" s="29">
        <v>4263.8448480429397</v>
      </c>
      <c r="X532" s="4">
        <v>-0.32616210106266258</v>
      </c>
      <c r="Y532" s="4">
        <v>-0.12021502917202161</v>
      </c>
      <c r="Z532" s="4">
        <v>-2.4714530784061266E-2</v>
      </c>
      <c r="AA532" s="3">
        <f t="shared" si="184"/>
        <v>0.34848841794285912</v>
      </c>
      <c r="AB532" s="3">
        <f t="shared" si="187"/>
        <v>1.1078231270704317E-2</v>
      </c>
      <c r="AC532" s="3">
        <f t="shared" si="185"/>
        <v>3.6883676009650063E-2</v>
      </c>
      <c r="AD532" s="48"/>
      <c r="AE532" s="46">
        <f t="shared" si="180"/>
        <v>42.092149168764188</v>
      </c>
      <c r="AF532" s="46">
        <f t="shared" si="181"/>
        <v>-248.53985947624648</v>
      </c>
      <c r="AG532" s="47">
        <f t="shared" si="182"/>
        <v>15875.093243187621</v>
      </c>
      <c r="AH532" s="45" t="str">
        <f t="shared" si="186"/>
        <v>-248.53986,42.09215,15875</v>
      </c>
      <c r="AI532" s="44">
        <f t="shared" si="188"/>
        <v>1021.3222938852139</v>
      </c>
    </row>
    <row r="533" spans="1:35" ht="18" customHeight="1" x14ac:dyDescent="0.25">
      <c r="A533" s="36">
        <f t="shared" si="183"/>
        <v>0.74563670138888893</v>
      </c>
      <c r="B533" s="42">
        <f t="shared" si="168"/>
        <v>42.092149161610834</v>
      </c>
      <c r="C533" s="43">
        <f t="shared" si="169"/>
        <v>111.46013781608409</v>
      </c>
      <c r="D533" s="18">
        <f t="shared" si="170"/>
        <v>15.838304304266785</v>
      </c>
      <c r="E533" s="21" t="str">
        <f t="shared" si="171"/>
        <v>Umbra</v>
      </c>
      <c r="F533" s="23">
        <f>IF($E533&lt;&gt;"Umbra",fracil2($S$2,$S$3,$S$4,$A533,$Q$2,$O$3,$Q$4,$U533,$V533,$W533),0)</f>
        <v>0</v>
      </c>
      <c r="G533" s="19">
        <f t="shared" si="172"/>
        <v>69.299475855500489</v>
      </c>
      <c r="H533" s="19">
        <f t="shared" si="173"/>
        <v>-3.9882034388181578</v>
      </c>
      <c r="I533" s="19">
        <f t="shared" si="174"/>
        <v>-2.7801854894232623</v>
      </c>
      <c r="J533" s="28">
        <f t="shared" si="175"/>
        <v>5.7101408015219415E-3</v>
      </c>
      <c r="K533" s="24">
        <f t="shared" si="176"/>
        <v>1049.1950847116607</v>
      </c>
      <c r="L533" s="32">
        <f t="shared" si="177"/>
        <v>0.55578748265738742</v>
      </c>
      <c r="M533" s="35">
        <f t="shared" si="178"/>
        <v>13.377856431221801</v>
      </c>
      <c r="O533" s="29">
        <f t="shared" si="179"/>
        <v>1046.5823235355119</v>
      </c>
      <c r="T533" s="48">
        <v>0.74563670138888893</v>
      </c>
      <c r="U533" s="29">
        <v>-1287.6762619136741</v>
      </c>
      <c r="V533" s="29">
        <v>4574.1012304205105</v>
      </c>
      <c r="W533" s="29">
        <v>4263.8201869068935</v>
      </c>
      <c r="X533" s="4">
        <v>-0.32617302442939744</v>
      </c>
      <c r="Y533" s="4">
        <v>-0.12016117518648455</v>
      </c>
      <c r="Z533" s="4">
        <v>-2.4642213504594758E-2</v>
      </c>
      <c r="AA533" s="3">
        <f t="shared" si="184"/>
        <v>0.34847494683839664</v>
      </c>
      <c r="AB533" s="3">
        <f t="shared" si="187"/>
        <v>1.0997225005118565E-2</v>
      </c>
      <c r="AC533" s="3">
        <f t="shared" si="185"/>
        <v>3.6775837221249164E-2</v>
      </c>
      <c r="AD533" s="48"/>
      <c r="AE533" s="46">
        <f t="shared" si="180"/>
        <v>42.092149161610834</v>
      </c>
      <c r="AF533" s="46">
        <f t="shared" si="181"/>
        <v>-248.53986218391591</v>
      </c>
      <c r="AG533" s="47">
        <f t="shared" si="182"/>
        <v>15838.304304266785</v>
      </c>
      <c r="AH533" s="45" t="str">
        <f t="shared" si="186"/>
        <v>-248.53986,42.09215,15838</v>
      </c>
      <c r="AI533" s="44">
        <f t="shared" si="188"/>
        <v>1021.3225264282524</v>
      </c>
    </row>
    <row r="534" spans="1:35" ht="18" customHeight="1" x14ac:dyDescent="0.25">
      <c r="A534" s="36">
        <f t="shared" si="183"/>
        <v>0.74564821759259259</v>
      </c>
      <c r="B534" s="42">
        <f t="shared" si="168"/>
        <v>42.092149154514615</v>
      </c>
      <c r="C534" s="43">
        <f t="shared" si="169"/>
        <v>111.46013936607407</v>
      </c>
      <c r="D534" s="18">
        <f t="shared" si="170"/>
        <v>15.801768742761851</v>
      </c>
      <c r="E534" s="21" t="str">
        <f t="shared" si="171"/>
        <v>Umbra</v>
      </c>
      <c r="F534" s="23">
        <f>IF($E534&lt;&gt;"Umbra",fracil2($S$2,$S$3,$S$4,$A534,$Q$2,$O$3,$Q$4,$U534,$V534,$W534),0)</f>
        <v>0</v>
      </c>
      <c r="G534" s="19">
        <f t="shared" si="172"/>
        <v>69.299483969325138</v>
      </c>
      <c r="H534" s="19">
        <f t="shared" si="173"/>
        <v>-3.990190110782553</v>
      </c>
      <c r="I534" s="19">
        <f t="shared" si="174"/>
        <v>-2.782172161387658</v>
      </c>
      <c r="J534" s="28">
        <f t="shared" si="175"/>
        <v>5.7050650243498716E-3</v>
      </c>
      <c r="K534" s="24">
        <f t="shared" si="176"/>
        <v>1049.1917143347987</v>
      </c>
      <c r="L534" s="32">
        <f t="shared" si="177"/>
        <v>0.55580324479736287</v>
      </c>
      <c r="M534" s="35">
        <f t="shared" si="178"/>
        <v>13.376521706805406</v>
      </c>
      <c r="O534" s="29">
        <f t="shared" si="179"/>
        <v>1046.582447982302</v>
      </c>
      <c r="T534" s="48">
        <v>0.74564821759259259</v>
      </c>
      <c r="U534" s="29">
        <v>-1288.0009147137687</v>
      </c>
      <c r="V534" s="29">
        <v>4573.9816577736137</v>
      </c>
      <c r="W534" s="29">
        <v>4263.7956956207881</v>
      </c>
      <c r="X534" s="4">
        <v>-0.32618378962106154</v>
      </c>
      <c r="Y534" s="4">
        <v>-0.12010800341618212</v>
      </c>
      <c r="Z534" s="4">
        <v>-2.4570619467986284E-2</v>
      </c>
      <c r="AA534" s="3">
        <f t="shared" si="184"/>
        <v>0.34846163696627946</v>
      </c>
      <c r="AB534" s="3">
        <f t="shared" si="187"/>
        <v>1.0941926767157644E-2</v>
      </c>
      <c r="AC534" s="3">
        <f t="shared" si="185"/>
        <v>3.6669077170040268E-2</v>
      </c>
      <c r="AD534" s="48"/>
      <c r="AE534" s="46">
        <f t="shared" si="180"/>
        <v>42.092149154514615</v>
      </c>
      <c r="AF534" s="46">
        <f t="shared" si="181"/>
        <v>-248.53986063392591</v>
      </c>
      <c r="AG534" s="47">
        <f t="shared" si="182"/>
        <v>15801.768742761851</v>
      </c>
      <c r="AH534" s="45" t="str">
        <f t="shared" si="186"/>
        <v>-248.53986,42.09215,15802</v>
      </c>
      <c r="AI534" s="44">
        <f t="shared" si="188"/>
        <v>1021.3226606870375</v>
      </c>
    </row>
    <row r="535" spans="1:35" ht="18" customHeight="1" x14ac:dyDescent="0.25">
      <c r="A535" s="36">
        <f t="shared" si="183"/>
        <v>0.74565995370370375</v>
      </c>
      <c r="B535" s="42">
        <f t="shared" si="168"/>
        <v>42.092149147316732</v>
      </c>
      <c r="C535" s="43">
        <f t="shared" si="169"/>
        <v>111.46013834451462</v>
      </c>
      <c r="D535" s="18">
        <f t="shared" si="170"/>
        <v>15.764667289474346</v>
      </c>
      <c r="E535" s="21" t="str">
        <f t="shared" si="171"/>
        <v>Umbra</v>
      </c>
      <c r="F535" s="23">
        <f>IF($E535&lt;&gt;"Umbra",fracil2($S$2,$S$3,$S$4,$A535,$Q$2,$O$3,$Q$4,$U535,$V535,$W535),0)</f>
        <v>0</v>
      </c>
      <c r="G535" s="19">
        <f t="shared" si="172"/>
        <v>69.299489566957817</v>
      </c>
      <c r="H535" s="19">
        <f t="shared" si="173"/>
        <v>-3.9922064801882251</v>
      </c>
      <c r="I535" s="19">
        <f t="shared" si="174"/>
        <v>-2.7841885307933296</v>
      </c>
      <c r="J535" s="28">
        <f t="shared" si="175"/>
        <v>5.699928702348157E-3</v>
      </c>
      <c r="K535" s="24">
        <f t="shared" si="176"/>
        <v>1049.1880842068931</v>
      </c>
      <c r="L535" s="32">
        <f t="shared" si="177"/>
        <v>0.55581929543125586</v>
      </c>
      <c r="M535" s="35">
        <f t="shared" si="178"/>
        <v>13.375168967634828</v>
      </c>
      <c r="O535" s="29">
        <f t="shared" si="179"/>
        <v>1046.5823656655266</v>
      </c>
      <c r="T535" s="48">
        <v>0.74565995370370375</v>
      </c>
      <c r="U535" s="29">
        <v>-1288.3315748992884</v>
      </c>
      <c r="V535" s="29">
        <v>4573.8599307427276</v>
      </c>
      <c r="W535" s="29">
        <v>4263.7708249948882</v>
      </c>
      <c r="X535" s="4">
        <v>-0.32619463650967706</v>
      </c>
      <c r="Y535" s="4">
        <v>-0.12005432703315054</v>
      </c>
      <c r="Z535" s="4">
        <v>-2.4498147375359949E-2</v>
      </c>
      <c r="AA535" s="3">
        <f t="shared" si="184"/>
        <v>0.3484481906279438</v>
      </c>
      <c r="AB535" s="3">
        <f t="shared" si="187"/>
        <v>1.0868556712802421E-2</v>
      </c>
      <c r="AC535" s="3">
        <f t="shared" si="185"/>
        <v>3.6561008023974315E-2</v>
      </c>
      <c r="AD535" s="48"/>
      <c r="AE535" s="46">
        <f t="shared" si="180"/>
        <v>42.092149147316732</v>
      </c>
      <c r="AF535" s="46">
        <f t="shared" si="181"/>
        <v>-248.53986165548537</v>
      </c>
      <c r="AG535" s="47">
        <f t="shared" si="182"/>
        <v>15764.667289474346</v>
      </c>
      <c r="AH535" s="45" t="str">
        <f t="shared" si="186"/>
        <v>-248.53986,42.09215,15765</v>
      </c>
      <c r="AI535" s="44">
        <f t="shared" si="188"/>
        <v>1021.3227949458225</v>
      </c>
    </row>
    <row r="536" spans="1:35" ht="18" customHeight="1" x14ac:dyDescent="0.25">
      <c r="A536" s="36">
        <f t="shared" si="183"/>
        <v>0.74567128472222233</v>
      </c>
      <c r="B536" s="42">
        <f t="shared" si="168"/>
        <v>42.092149140391584</v>
      </c>
      <c r="C536" s="43">
        <f t="shared" si="169"/>
        <v>111.46013953814625</v>
      </c>
      <c r="D536" s="18">
        <f t="shared" si="170"/>
        <v>15.728931110554186</v>
      </c>
      <c r="E536" s="21" t="str">
        <f t="shared" si="171"/>
        <v>Umbra</v>
      </c>
      <c r="F536" s="23">
        <f>IF($E536&lt;&gt;"Umbra",fracil2($S$2,$S$3,$S$4,$A536,$Q$2,$O$3,$Q$4,$U536,$V536,$W536),0)</f>
        <v>0</v>
      </c>
      <c r="G536" s="19">
        <f t="shared" si="172"/>
        <v>69.299497175104918</v>
      </c>
      <c r="H536" s="19">
        <f t="shared" si="173"/>
        <v>-3.9941495750467979</v>
      </c>
      <c r="I536" s="19">
        <f t="shared" si="174"/>
        <v>-2.7861316256519029</v>
      </c>
      <c r="J536" s="28">
        <f t="shared" si="175"/>
        <v>5.694997871616328E-3</v>
      </c>
      <c r="K536" s="24">
        <f t="shared" si="176"/>
        <v>1049.184764100097</v>
      </c>
      <c r="L536" s="32">
        <f t="shared" si="177"/>
        <v>0.55583477999698583</v>
      </c>
      <c r="M536" s="35">
        <f t="shared" si="178"/>
        <v>13.373863726763631</v>
      </c>
      <c r="O536" s="29">
        <f t="shared" si="179"/>
        <v>1046.5824614642067</v>
      </c>
      <c r="T536" s="48">
        <v>0.74567128472222233</v>
      </c>
      <c r="U536" s="29">
        <v>-1288.6510024193622</v>
      </c>
      <c r="V536" s="29">
        <v>4573.7423940989365</v>
      </c>
      <c r="W536" s="29">
        <v>4263.7468695690523</v>
      </c>
      <c r="X536" s="4">
        <v>-0.32620500393701907</v>
      </c>
      <c r="Y536" s="4">
        <v>-0.12000292706660309</v>
      </c>
      <c r="Z536" s="4">
        <v>-2.4428559412322855E-2</v>
      </c>
      <c r="AA536" s="3">
        <f t="shared" si="184"/>
        <v>0.34843530477416385</v>
      </c>
      <c r="AB536" s="3">
        <f t="shared" si="187"/>
        <v>1.0809098161047425E-2</v>
      </c>
      <c r="AC536" s="3">
        <f t="shared" si="185"/>
        <v>3.6457239881754443E-2</v>
      </c>
      <c r="AD536" s="48"/>
      <c r="AE536" s="46">
        <f t="shared" si="180"/>
        <v>42.092149140391584</v>
      </c>
      <c r="AF536" s="46">
        <f t="shared" si="181"/>
        <v>-248.53986046185375</v>
      </c>
      <c r="AG536" s="47">
        <f t="shared" si="182"/>
        <v>15728.931110554186</v>
      </c>
      <c r="AH536" s="45" t="str">
        <f t="shared" si="186"/>
        <v>-248.53986,42.09215,15729</v>
      </c>
      <c r="AI536" s="44">
        <f t="shared" si="188"/>
        <v>1021.3227949458225</v>
      </c>
    </row>
    <row r="537" spans="1:35" ht="18" customHeight="1" x14ac:dyDescent="0.25">
      <c r="A537" s="36">
        <f t="shared" si="183"/>
        <v>0.7456828703703704</v>
      </c>
      <c r="B537" s="42">
        <f t="shared" si="168"/>
        <v>42.092149133336143</v>
      </c>
      <c r="C537" s="43">
        <f t="shared" si="169"/>
        <v>111.46014242346287</v>
      </c>
      <c r="D537" s="18">
        <f t="shared" si="170"/>
        <v>15.692482173214557</v>
      </c>
      <c r="E537" s="21" t="str">
        <f t="shared" si="171"/>
        <v>Umbra</v>
      </c>
      <c r="F537" s="23">
        <f>IF($E537&lt;&gt;"Umbra",fracil2($S$2,$S$3,$S$4,$A537,$Q$2,$O$3,$Q$4,$U537,$V537,$W537),0)</f>
        <v>0</v>
      </c>
      <c r="G537" s="19">
        <f t="shared" si="172"/>
        <v>69.299506632671736</v>
      </c>
      <c r="H537" s="19">
        <f t="shared" si="173"/>
        <v>-3.9961321354498578</v>
      </c>
      <c r="I537" s="19">
        <f t="shared" si="174"/>
        <v>-2.7881141860549628</v>
      </c>
      <c r="J537" s="28">
        <f t="shared" si="175"/>
        <v>5.6899854917286385E-3</v>
      </c>
      <c r="K537" s="24">
        <f t="shared" si="176"/>
        <v>1049.1815132121578</v>
      </c>
      <c r="L537" s="32">
        <f t="shared" si="177"/>
        <v>0.55585060036306344</v>
      </c>
      <c r="M537" s="35">
        <f t="shared" si="178"/>
        <v>13.372530700304004</v>
      </c>
      <c r="O537" s="29">
        <f t="shared" si="179"/>
        <v>1046.5826932766629</v>
      </c>
      <c r="T537" s="48">
        <v>0.7456828703703704</v>
      </c>
      <c r="U537" s="29">
        <v>-1288.9777485958837</v>
      </c>
      <c r="V537" s="29">
        <v>4573.6222201699611</v>
      </c>
      <c r="W537" s="29">
        <v>4263.7224363526802</v>
      </c>
      <c r="X537" s="4">
        <v>-0.32621549653699933</v>
      </c>
      <c r="Y537" s="4">
        <v>-0.11995080776540558</v>
      </c>
      <c r="Z537" s="4">
        <v>-2.4357804261004971E-2</v>
      </c>
      <c r="AA537" s="3">
        <f t="shared" si="184"/>
        <v>0.34842222818424162</v>
      </c>
      <c r="AB537" s="3">
        <f t="shared" si="187"/>
        <v>1.0748825633715478E-2</v>
      </c>
      <c r="AC537" s="3">
        <f t="shared" si="185"/>
        <v>3.6351731494606764E-2</v>
      </c>
      <c r="AD537" s="48"/>
      <c r="AE537" s="46">
        <f t="shared" si="180"/>
        <v>42.092149133336143</v>
      </c>
      <c r="AF537" s="46">
        <f t="shared" si="181"/>
        <v>-248.53985757653714</v>
      </c>
      <c r="AG537" s="47">
        <f t="shared" si="182"/>
        <v>15692.482173214557</v>
      </c>
      <c r="AH537" s="45" t="str">
        <f t="shared" si="186"/>
        <v>-248.53986,42.09215,15692</v>
      </c>
      <c r="AI537" s="44">
        <f t="shared" si="188"/>
        <v>1021.323027488861</v>
      </c>
    </row>
    <row r="538" spans="1:35" ht="18" customHeight="1" x14ac:dyDescent="0.25">
      <c r="A538" s="36">
        <f t="shared" si="183"/>
        <v>0.74569444444444455</v>
      </c>
      <c r="B538" s="42">
        <f t="shared" si="168"/>
        <v>42.092149126320528</v>
      </c>
      <c r="C538" s="43">
        <f t="shared" si="169"/>
        <v>111.46014261914412</v>
      </c>
      <c r="D538" s="18">
        <f t="shared" si="170"/>
        <v>15.656198184371533</v>
      </c>
      <c r="E538" s="21" t="str">
        <f t="shared" si="171"/>
        <v>Umbra</v>
      </c>
      <c r="F538" s="23">
        <f>IF($E538&lt;&gt;"Umbra",fracil2($S$2,$S$3,$S$4,$A538,$Q$2,$O$3,$Q$4,$U538,$V538,$W538),0)</f>
        <v>0</v>
      </c>
      <c r="G538" s="19">
        <f t="shared" si="172"/>
        <v>69.299513323108926</v>
      </c>
      <c r="H538" s="19">
        <f t="shared" si="173"/>
        <v>-3.9981046165578751</v>
      </c>
      <c r="I538" s="19">
        <f t="shared" si="174"/>
        <v>-2.7900866671629796</v>
      </c>
      <c r="J538" s="28">
        <f t="shared" si="175"/>
        <v>5.6850130469211944E-3</v>
      </c>
      <c r="K538" s="24">
        <f t="shared" si="176"/>
        <v>1049.1780629262594</v>
      </c>
      <c r="L538" s="32">
        <f t="shared" si="177"/>
        <v>0.55586639289796047</v>
      </c>
      <c r="M538" s="35">
        <f t="shared" si="178"/>
        <v>13.371206449079311</v>
      </c>
      <c r="O538" s="29">
        <f t="shared" si="179"/>
        <v>1046.5827088345929</v>
      </c>
      <c r="T538" s="48">
        <v>0.74569444444444455</v>
      </c>
      <c r="U538" s="29">
        <v>-1289.3039691041347</v>
      </c>
      <c r="V538" s="29">
        <v>4573.5022952598556</v>
      </c>
      <c r="W538" s="29">
        <v>4263.6981137087068</v>
      </c>
      <c r="X538" s="4">
        <v>-0.32622586006957477</v>
      </c>
      <c r="Y538" s="4">
        <v>-0.11989922999363775</v>
      </c>
      <c r="Z538" s="4">
        <v>-2.4287589527763137E-2</v>
      </c>
      <c r="AA538" s="3">
        <f t="shared" si="184"/>
        <v>0.34840927676551625</v>
      </c>
      <c r="AB538" s="3">
        <f t="shared" si="187"/>
        <v>1.0677369471753177E-2</v>
      </c>
      <c r="AC538" s="3">
        <f t="shared" si="185"/>
        <v>3.6247029209566066E-2</v>
      </c>
      <c r="AD538" s="48"/>
      <c r="AE538" s="46">
        <f t="shared" si="180"/>
        <v>42.092149126320528</v>
      </c>
      <c r="AF538" s="46">
        <f t="shared" si="181"/>
        <v>-248.53985738085589</v>
      </c>
      <c r="AG538" s="47">
        <f t="shared" si="182"/>
        <v>15656.198184371533</v>
      </c>
      <c r="AH538" s="45" t="str">
        <f t="shared" si="186"/>
        <v>-248.53986,42.09215,15656</v>
      </c>
      <c r="AI538" s="44">
        <f t="shared" si="188"/>
        <v>1021.323027488861</v>
      </c>
    </row>
    <row r="539" spans="1:35" ht="18" customHeight="1" x14ac:dyDescent="0.25">
      <c r="A539" s="36">
        <f t="shared" si="183"/>
        <v>0.74570609953703704</v>
      </c>
      <c r="B539" s="42">
        <f t="shared" si="168"/>
        <v>42.092149119284564</v>
      </c>
      <c r="C539" s="43">
        <f t="shared" si="169"/>
        <v>111.46014256766311</v>
      </c>
      <c r="D539" s="18">
        <f t="shared" si="170"/>
        <v>15.619767874062745</v>
      </c>
      <c r="E539" s="21" t="str">
        <f t="shared" si="171"/>
        <v>Umbra</v>
      </c>
      <c r="F539" s="23">
        <f>IF($E539&lt;&gt;"Umbra",fracil2($S$2,$S$3,$S$4,$A539,$Q$2,$O$3,$Q$4,$U539,$V539,$W539),0)</f>
        <v>0</v>
      </c>
      <c r="G539" s="19">
        <f t="shared" si="172"/>
        <v>69.299519788176411</v>
      </c>
      <c r="H539" s="19">
        <f t="shared" si="173"/>
        <v>-4.0000849614202902</v>
      </c>
      <c r="I539" s="19">
        <f t="shared" si="174"/>
        <v>-2.7920670120253952</v>
      </c>
      <c r="J539" s="28">
        <f t="shared" si="175"/>
        <v>5.6800375205824571E-3</v>
      </c>
      <c r="K539" s="24">
        <f t="shared" si="176"/>
        <v>1049.174580027621</v>
      </c>
      <c r="L539" s="32">
        <f t="shared" si="177"/>
        <v>0.55588228381222915</v>
      </c>
      <c r="M539" s="35">
        <f t="shared" si="178"/>
        <v>13.369877086858414</v>
      </c>
      <c r="O539" s="29">
        <f t="shared" si="179"/>
        <v>1046.5827045193646</v>
      </c>
      <c r="T539" s="48">
        <v>0.74570609953703704</v>
      </c>
      <c r="U539" s="29">
        <v>-1289.6324642532284</v>
      </c>
      <c r="V539" s="29">
        <v>4573.3815898632211</v>
      </c>
      <c r="W539" s="29">
        <v>4263.6736929801209</v>
      </c>
      <c r="X539" s="4">
        <v>-0.32623618365451623</v>
      </c>
      <c r="Y539" s="4">
        <v>-0.11984775036584185</v>
      </c>
      <c r="Z539" s="4">
        <v>-2.4217311888711957E-2</v>
      </c>
      <c r="AA539" s="3">
        <f t="shared" si="184"/>
        <v>0.34839633894220462</v>
      </c>
      <c r="AB539" s="3">
        <f t="shared" si="187"/>
        <v>1.0612622038626781E-2</v>
      </c>
      <c r="AC539" s="3">
        <f t="shared" si="185"/>
        <v>3.6142233366254252E-2</v>
      </c>
      <c r="AD539" s="48"/>
      <c r="AE539" s="46">
        <f t="shared" si="180"/>
        <v>42.092149119284564</v>
      </c>
      <c r="AF539" s="46">
        <f t="shared" si="181"/>
        <v>-248.53985743233687</v>
      </c>
      <c r="AG539" s="47">
        <f t="shared" si="182"/>
        <v>15619.767874062745</v>
      </c>
      <c r="AH539" s="45" t="str">
        <f t="shared" si="186"/>
        <v>-248.53986,42.09215,15620</v>
      </c>
      <c r="AI539" s="44">
        <f t="shared" si="188"/>
        <v>1021.323027488861</v>
      </c>
    </row>
    <row r="540" spans="1:35" ht="18" customHeight="1" x14ac:dyDescent="0.25">
      <c r="A540" s="36">
        <f t="shared" si="183"/>
        <v>0.74571762731481483</v>
      </c>
      <c r="B540" s="42">
        <f t="shared" si="168"/>
        <v>42.092149112355848</v>
      </c>
      <c r="C540" s="43">
        <f t="shared" si="169"/>
        <v>111.46014087145142</v>
      </c>
      <c r="D540" s="18">
        <f t="shared" si="170"/>
        <v>15.583853220376113</v>
      </c>
      <c r="E540" s="21" t="str">
        <f t="shared" si="171"/>
        <v>Umbra</v>
      </c>
      <c r="F540" s="23">
        <f>IF($E540&lt;&gt;"Umbra",fracil2($S$2,$S$3,$S$4,$A540,$Q$2,$O$3,$Q$4,$U540,$V540,$W540),0)</f>
        <v>0</v>
      </c>
      <c r="G540" s="19">
        <f t="shared" si="172"/>
        <v>69.299524486931801</v>
      </c>
      <c r="H540" s="19">
        <f t="shared" si="173"/>
        <v>-4.0020366004459884</v>
      </c>
      <c r="I540" s="19">
        <f t="shared" si="174"/>
        <v>-2.7940186510510934</v>
      </c>
      <c r="J540" s="28">
        <f t="shared" si="175"/>
        <v>5.6751491223258526E-3</v>
      </c>
      <c r="K540" s="24">
        <f t="shared" si="176"/>
        <v>1049.1710152636344</v>
      </c>
      <c r="L540" s="32">
        <f t="shared" si="177"/>
        <v>0.55589798927747891</v>
      </c>
      <c r="M540" s="35">
        <f t="shared" si="178"/>
        <v>13.368568216498838</v>
      </c>
      <c r="O540" s="29">
        <f t="shared" si="179"/>
        <v>1046.5825679650629</v>
      </c>
      <c r="T540" s="48">
        <v>0.74571762731481483</v>
      </c>
      <c r="U540" s="29">
        <v>-1289.9572528620542</v>
      </c>
      <c r="V540" s="29">
        <v>4573.2623009063955</v>
      </c>
      <c r="W540" s="29">
        <v>4263.6496179179248</v>
      </c>
      <c r="X540" s="4">
        <v>-0.32624628124794491</v>
      </c>
      <c r="Y540" s="4">
        <v>-0.11979729844861967</v>
      </c>
      <c r="Z540" s="4">
        <v>-2.4148243705054674E-2</v>
      </c>
      <c r="AA540" s="3">
        <f t="shared" si="184"/>
        <v>0.34838364832141527</v>
      </c>
      <c r="AB540" s="3">
        <f t="shared" si="187"/>
        <v>1.0545148139021014E-2</v>
      </c>
      <c r="AC540" s="3">
        <f t="shared" si="185"/>
        <v>3.6039241266493438E-2</v>
      </c>
      <c r="AD540" s="48"/>
      <c r="AE540" s="46">
        <f t="shared" si="180"/>
        <v>42.092149112355848</v>
      </c>
      <c r="AF540" s="46">
        <f t="shared" si="181"/>
        <v>-248.53985912854858</v>
      </c>
      <c r="AG540" s="47">
        <f t="shared" si="182"/>
        <v>15583.853220376113</v>
      </c>
      <c r="AH540" s="45" t="str">
        <f t="shared" si="186"/>
        <v>-248.53986,42.09215,15584</v>
      </c>
      <c r="AI540" s="44">
        <f t="shared" si="188"/>
        <v>1021.3231617476461</v>
      </c>
    </row>
    <row r="541" spans="1:35" ht="18" customHeight="1" x14ac:dyDescent="0.25">
      <c r="A541" s="36">
        <f t="shared" si="183"/>
        <v>0.7457292708333334</v>
      </c>
      <c r="B541" s="42">
        <f t="shared" si="168"/>
        <v>42.09214910538077</v>
      </c>
      <c r="C541" s="43">
        <f t="shared" si="169"/>
        <v>111.46014192416845</v>
      </c>
      <c r="D541" s="18">
        <f t="shared" si="170"/>
        <v>15.547658002916251</v>
      </c>
      <c r="E541" s="21" t="str">
        <f t="shared" si="171"/>
        <v>Umbra</v>
      </c>
      <c r="F541" s="23">
        <f>IF($E541&lt;&gt;"Umbra",fracil2($S$2,$S$3,$S$4,$A541,$Q$2,$O$3,$Q$4,$U541,$V541,$W541),0)</f>
        <v>0</v>
      </c>
      <c r="G541" s="19">
        <f t="shared" si="172"/>
        <v>69.299532033901528</v>
      </c>
      <c r="H541" s="19">
        <f t="shared" si="173"/>
        <v>-4.0040046530335074</v>
      </c>
      <c r="I541" s="19">
        <f t="shared" si="174"/>
        <v>-2.7959867036386123</v>
      </c>
      <c r="J541" s="28">
        <f t="shared" si="175"/>
        <v>5.6702388110282448E-3</v>
      </c>
      <c r="K541" s="24">
        <f t="shared" si="176"/>
        <v>1049.1676461261227</v>
      </c>
      <c r="L541" s="32">
        <f t="shared" si="177"/>
        <v>0.55591384029298851</v>
      </c>
      <c r="M541" s="35">
        <f t="shared" si="178"/>
        <v>13.367246237134967</v>
      </c>
      <c r="O541" s="29">
        <f t="shared" si="179"/>
        <v>1046.5826524325014</v>
      </c>
      <c r="T541" s="48">
        <v>0.7457292708333334</v>
      </c>
      <c r="U541" s="29">
        <v>-1290.2855286120375</v>
      </c>
      <c r="V541" s="29">
        <v>4573.1417857293927</v>
      </c>
      <c r="W541" s="29">
        <v>4263.6253547829965</v>
      </c>
      <c r="X541" s="4">
        <v>-0.32625637738232349</v>
      </c>
      <c r="Y541" s="4">
        <v>-0.11974675306119749</v>
      </c>
      <c r="Z541" s="4">
        <v>-2.4078851727021573E-2</v>
      </c>
      <c r="AA541" s="3">
        <f t="shared" si="184"/>
        <v>0.34837092265547709</v>
      </c>
      <c r="AB541" s="3">
        <f t="shared" si="187"/>
        <v>1.0489245644256759E-2</v>
      </c>
      <c r="AC541" s="3">
        <f t="shared" si="185"/>
        <v>3.59357665784487E-2</v>
      </c>
      <c r="AD541" s="48"/>
      <c r="AE541" s="46">
        <f t="shared" si="180"/>
        <v>42.09214910538077</v>
      </c>
      <c r="AF541" s="46">
        <f t="shared" si="181"/>
        <v>-248.53985807583155</v>
      </c>
      <c r="AG541" s="47">
        <f t="shared" si="182"/>
        <v>15547.658002916251</v>
      </c>
      <c r="AH541" s="45" t="str">
        <f t="shared" si="186"/>
        <v>-248.53986,42.09215,15548</v>
      </c>
      <c r="AI541" s="44">
        <f t="shared" si="188"/>
        <v>1021.3232960064311</v>
      </c>
    </row>
    <row r="542" spans="1:35" ht="18" customHeight="1" x14ac:dyDescent="0.25">
      <c r="A542" s="36">
        <f t="shared" si="183"/>
        <v>0.74574079861111109</v>
      </c>
      <c r="B542" s="42">
        <f t="shared" si="168"/>
        <v>42.092149098503192</v>
      </c>
      <c r="C542" s="43">
        <f t="shared" si="169"/>
        <v>111.46014250435353</v>
      </c>
      <c r="D542" s="18">
        <f t="shared" si="170"/>
        <v>15.511928839992834</v>
      </c>
      <c r="E542" s="21" t="str">
        <f t="shared" si="171"/>
        <v>Umbra</v>
      </c>
      <c r="F542" s="23">
        <f>IF($E542&lt;&gt;"Umbra",fracil2($S$2,$S$3,$S$4,$A542,$Q$2,$O$3,$Q$4,$U542,$V542,$W542),0)</f>
        <v>0</v>
      </c>
      <c r="G542" s="19">
        <f t="shared" si="172"/>
        <v>69.29953901655162</v>
      </c>
      <c r="H542" s="19">
        <f t="shared" si="173"/>
        <v>-4.0059471854116318</v>
      </c>
      <c r="I542" s="19">
        <f t="shared" si="174"/>
        <v>-2.7979292360167367</v>
      </c>
      <c r="J542" s="28">
        <f t="shared" si="175"/>
        <v>5.6654078251417075E-3</v>
      </c>
      <c r="K542" s="24">
        <f t="shared" si="176"/>
        <v>1049.1642846548846</v>
      </c>
      <c r="L542" s="32">
        <f t="shared" si="177"/>
        <v>0.55592952196123613</v>
      </c>
      <c r="M542" s="35">
        <f t="shared" si="178"/>
        <v>13.365941728111345</v>
      </c>
      <c r="O542" s="29">
        <f t="shared" si="179"/>
        <v>1046.5826989092598</v>
      </c>
      <c r="T542" s="48">
        <v>0.74574079861111109</v>
      </c>
      <c r="U542" s="29">
        <v>-1290.6105151397933</v>
      </c>
      <c r="V542" s="29">
        <v>4573.0225316088654</v>
      </c>
      <c r="W542" s="29">
        <v>4263.601404064133</v>
      </c>
      <c r="X542" s="4">
        <v>-0.32626626549579846</v>
      </c>
      <c r="Y542" s="4">
        <v>-0.11969715054905034</v>
      </c>
      <c r="Z542" s="4">
        <v>-2.4010561792824039E-2</v>
      </c>
      <c r="AA542" s="3">
        <f t="shared" si="184"/>
        <v>0.34835842307563614</v>
      </c>
      <c r="AB542" s="3">
        <f t="shared" si="187"/>
        <v>1.0426278071408652E-2</v>
      </c>
      <c r="AC542" s="3">
        <f t="shared" si="185"/>
        <v>3.5833935456012343E-2</v>
      </c>
      <c r="AD542" s="48"/>
      <c r="AE542" s="46">
        <f t="shared" si="180"/>
        <v>42.092149098503192</v>
      </c>
      <c r="AF542" s="46">
        <f t="shared" si="181"/>
        <v>-248.53985749564646</v>
      </c>
      <c r="AG542" s="47">
        <f t="shared" si="182"/>
        <v>15511.928839992834</v>
      </c>
      <c r="AH542" s="45" t="str">
        <f t="shared" si="186"/>
        <v>-248.53986,42.09215,15512</v>
      </c>
      <c r="AI542" s="44">
        <f t="shared" si="188"/>
        <v>1021.3232960064311</v>
      </c>
    </row>
    <row r="543" spans="1:35" ht="18" customHeight="1" x14ac:dyDescent="0.25">
      <c r="A543" s="36">
        <f t="shared" si="183"/>
        <v>0.74575244212962966</v>
      </c>
      <c r="B543" s="42">
        <f t="shared" si="168"/>
        <v>42.092149091583003</v>
      </c>
      <c r="C543" s="43">
        <f t="shared" si="169"/>
        <v>111.46014366915134</v>
      </c>
      <c r="D543" s="18">
        <f t="shared" si="170"/>
        <v>15.475938694287834</v>
      </c>
      <c r="E543" s="21" t="str">
        <f t="shared" si="171"/>
        <v>Umbra</v>
      </c>
      <c r="F543" s="23">
        <f>IF($E543&lt;&gt;"Umbra",fracil2($S$2,$S$3,$S$4,$A543,$Q$2,$O$3,$Q$4,$U543,$V543,$W543),0)</f>
        <v>0</v>
      </c>
      <c r="G543" s="19">
        <f t="shared" si="172"/>
        <v>69.299546640965289</v>
      </c>
      <c r="H543" s="19">
        <f t="shared" si="173"/>
        <v>-4.0079041618504601</v>
      </c>
      <c r="I543" s="19">
        <f t="shared" si="174"/>
        <v>-2.799886212455565</v>
      </c>
      <c r="J543" s="28">
        <f t="shared" si="175"/>
        <v>5.6605579531972356E-3</v>
      </c>
      <c r="K543" s="24">
        <f t="shared" si="176"/>
        <v>1049.1609465446475</v>
      </c>
      <c r="L543" s="32">
        <f t="shared" si="177"/>
        <v>0.55594534918570648</v>
      </c>
      <c r="M543" s="35">
        <f t="shared" si="178"/>
        <v>13.364627063632261</v>
      </c>
      <c r="O543" s="29">
        <f t="shared" si="179"/>
        <v>1046.5827923897341</v>
      </c>
      <c r="T543" s="48">
        <v>0.74575244212962966</v>
      </c>
      <c r="U543" s="29">
        <v>-1290.9388198083689</v>
      </c>
      <c r="V543" s="29">
        <v>4572.9021134872273</v>
      </c>
      <c r="W543" s="29">
        <v>4263.5772783984758</v>
      </c>
      <c r="X543" s="4">
        <v>-0.32627614588038828</v>
      </c>
      <c r="Y543" s="4">
        <v>-0.11964748456356541</v>
      </c>
      <c r="Z543" s="4">
        <v>-2.394198751101792E-2</v>
      </c>
      <c r="AA543" s="3">
        <f t="shared" si="184"/>
        <v>0.3483458951945993</v>
      </c>
      <c r="AB543" s="3">
        <f t="shared" si="187"/>
        <v>1.0365594376262737E-2</v>
      </c>
      <c r="AC543" s="3">
        <f t="shared" si="185"/>
        <v>3.5731680567447563E-2</v>
      </c>
      <c r="AD543" s="48"/>
      <c r="AE543" s="46">
        <f t="shared" si="180"/>
        <v>42.092149091583003</v>
      </c>
      <c r="AF543" s="46">
        <f t="shared" si="181"/>
        <v>-248.53985633084866</v>
      </c>
      <c r="AG543" s="47">
        <f t="shared" si="182"/>
        <v>15475.938694287834</v>
      </c>
      <c r="AH543" s="45" t="str">
        <f t="shared" si="186"/>
        <v>-248.53986,42.09215,15476</v>
      </c>
      <c r="AI543" s="44">
        <f t="shared" si="188"/>
        <v>1021.323390941729</v>
      </c>
    </row>
    <row r="544" spans="1:35" ht="18" customHeight="1" x14ac:dyDescent="0.25">
      <c r="A544" s="36">
        <f t="shared" si="183"/>
        <v>0.74576390046296304</v>
      </c>
      <c r="B544" s="42">
        <f t="shared" si="168"/>
        <v>42.092149084800987</v>
      </c>
      <c r="C544" s="43">
        <f t="shared" si="169"/>
        <v>111.46014396621112</v>
      </c>
      <c r="D544" s="18">
        <f t="shared" si="170"/>
        <v>15.440628383154944</v>
      </c>
      <c r="E544" s="21" t="str">
        <f t="shared" si="171"/>
        <v>Umbra</v>
      </c>
      <c r="F544" s="23">
        <f>IF($E544&lt;&gt;"Umbra",fracil2($S$2,$S$3,$S$4,$A544,$Q$2,$O$3,$Q$4,$U544,$V544,$W544),0)</f>
        <v>0</v>
      </c>
      <c r="G544" s="19">
        <f t="shared" si="172"/>
        <v>69.299553260553907</v>
      </c>
      <c r="H544" s="19">
        <f t="shared" si="173"/>
        <v>-4.0098238311877434</v>
      </c>
      <c r="I544" s="19">
        <f t="shared" si="174"/>
        <v>-2.8018058817928484</v>
      </c>
      <c r="J544" s="28">
        <f t="shared" si="175"/>
        <v>5.6558156167807296E-3</v>
      </c>
      <c r="K544" s="24">
        <f t="shared" si="176"/>
        <v>1049.1576046320467</v>
      </c>
      <c r="L544" s="32">
        <f t="shared" si="177"/>
        <v>0.55596091317429275</v>
      </c>
      <c r="M544" s="35">
        <f t="shared" si="178"/>
        <v>13.363338081125841</v>
      </c>
      <c r="O544" s="29">
        <f t="shared" si="179"/>
        <v>1046.58281610468</v>
      </c>
      <c r="T544" s="48">
        <v>0.74576390046296304</v>
      </c>
      <c r="U544" s="29">
        <v>-1291.2618463502085</v>
      </c>
      <c r="V544" s="29">
        <v>4572.7836834198488</v>
      </c>
      <c r="W544" s="29">
        <v>4263.553608454341</v>
      </c>
      <c r="X544" s="4">
        <v>-0.32628576250421404</v>
      </c>
      <c r="Y544" s="4">
        <v>-0.11959904503626655</v>
      </c>
      <c r="Z544" s="4">
        <v>-2.3874914601574395E-2</v>
      </c>
      <c r="AA544" s="3">
        <f t="shared" si="184"/>
        <v>0.34833366465757476</v>
      </c>
      <c r="AB544" s="3">
        <f t="shared" si="187"/>
        <v>1.0302481643712589E-2</v>
      </c>
      <c r="AC544" s="3">
        <f t="shared" si="185"/>
        <v>3.5631664693798887E-2</v>
      </c>
      <c r="AD544" s="48"/>
      <c r="AE544" s="46">
        <f t="shared" si="180"/>
        <v>42.092149084800987</v>
      </c>
      <c r="AF544" s="46">
        <f t="shared" si="181"/>
        <v>-248.53985603378888</v>
      </c>
      <c r="AG544" s="47">
        <f t="shared" si="182"/>
        <v>15440.628383154944</v>
      </c>
      <c r="AH544" s="45" t="str">
        <f t="shared" si="186"/>
        <v>-248.53986,42.09215,15441</v>
      </c>
      <c r="AI544" s="44">
        <f t="shared" si="188"/>
        <v>1021.323390941729</v>
      </c>
    </row>
    <row r="545" spans="1:35" ht="18" customHeight="1" x14ac:dyDescent="0.25">
      <c r="A545" s="36">
        <f t="shared" si="183"/>
        <v>0.74577549768518514</v>
      </c>
      <c r="B545" s="42">
        <f t="shared" si="168"/>
        <v>42.092149077965644</v>
      </c>
      <c r="C545" s="43">
        <f t="shared" si="169"/>
        <v>111.46014297629279</v>
      </c>
      <c r="D545" s="18">
        <f t="shared" si="170"/>
        <v>15.405001599358911</v>
      </c>
      <c r="E545" s="21" t="str">
        <f t="shared" si="171"/>
        <v>Umbra</v>
      </c>
      <c r="F545" s="23">
        <f>IF($E545&lt;&gt;"Umbra",fracil2($S$2,$S$3,$S$4,$A545,$Q$2,$O$3,$Q$4,$U545,$V545,$W545),0)</f>
        <v>0</v>
      </c>
      <c r="G545" s="19">
        <f t="shared" si="172"/>
        <v>69.299558626842114</v>
      </c>
      <c r="H545" s="19">
        <f t="shared" si="173"/>
        <v>-4.0117601801425122</v>
      </c>
      <c r="I545" s="19">
        <f t="shared" si="174"/>
        <v>-2.8037422307476172</v>
      </c>
      <c r="J545" s="28">
        <f t="shared" si="175"/>
        <v>5.6510467917782132E-3</v>
      </c>
      <c r="K545" s="24">
        <f t="shared" si="176"/>
        <v>1049.1541301991283</v>
      </c>
      <c r="L545" s="32">
        <f t="shared" si="177"/>
        <v>0.55597665429681775</v>
      </c>
      <c r="M545" s="35">
        <f t="shared" si="178"/>
        <v>13.362038853182858</v>
      </c>
      <c r="O545" s="29">
        <f t="shared" si="179"/>
        <v>1046.5827363410228</v>
      </c>
      <c r="T545" s="48">
        <v>0.74577549768518514</v>
      </c>
      <c r="U545" s="29">
        <v>-1291.5886973022789</v>
      </c>
      <c r="V545" s="29">
        <v>4572.6639033511046</v>
      </c>
      <c r="W545" s="29">
        <v>4263.5297263662733</v>
      </c>
      <c r="X545" s="4">
        <v>-0.32629538785535056</v>
      </c>
      <c r="Y545" s="4">
        <v>-0.11955046077780833</v>
      </c>
      <c r="Z545" s="4">
        <v>-2.3807447232845426E-2</v>
      </c>
      <c r="AA545" s="3">
        <f t="shared" si="184"/>
        <v>0.34832138514826311</v>
      </c>
      <c r="AB545" s="3">
        <f t="shared" si="187"/>
        <v>1.0238938282772026E-2</v>
      </c>
      <c r="AC545" s="3">
        <f t="shared" si="185"/>
        <v>3.5531060858941449E-2</v>
      </c>
      <c r="AD545" s="48"/>
      <c r="AE545" s="46">
        <f t="shared" si="180"/>
        <v>42.092149077965644</v>
      </c>
      <c r="AF545" s="46">
        <f t="shared" si="181"/>
        <v>-248.53985702370721</v>
      </c>
      <c r="AG545" s="47">
        <f t="shared" si="182"/>
        <v>15405.001599358911</v>
      </c>
      <c r="AH545" s="45" t="str">
        <f t="shared" si="186"/>
        <v>-248.53986,42.09215,15405</v>
      </c>
      <c r="AI545" s="44">
        <f t="shared" si="188"/>
        <v>1021.323390941729</v>
      </c>
    </row>
    <row r="546" spans="1:35" ht="18" customHeight="1" x14ac:dyDescent="0.25">
      <c r="A546" s="36">
        <f t="shared" si="183"/>
        <v>0.74578712962962967</v>
      </c>
      <c r="B546" s="42">
        <f t="shared" si="168"/>
        <v>42.092149071135012</v>
      </c>
      <c r="C546" s="43">
        <f t="shared" si="169"/>
        <v>111.4601431356716</v>
      </c>
      <c r="D546" s="18">
        <f t="shared" si="170"/>
        <v>15.369359347100726</v>
      </c>
      <c r="E546" s="21" t="str">
        <f t="shared" si="171"/>
        <v>Umbra</v>
      </c>
      <c r="F546" s="23">
        <f>IF($E546&lt;&gt;"Umbra",fracil2($S$2,$S$3,$S$4,$A546,$Q$2,$O$3,$Q$4,$U546,$V546,$W546),0)</f>
        <v>0</v>
      </c>
      <c r="G546" s="19">
        <f t="shared" si="172"/>
        <v>69.299565165730741</v>
      </c>
      <c r="H546" s="19">
        <f t="shared" si="173"/>
        <v>-4.0136978621450705</v>
      </c>
      <c r="I546" s="19">
        <f t="shared" si="174"/>
        <v>-2.8056799127501755</v>
      </c>
      <c r="J546" s="28">
        <f t="shared" si="175"/>
        <v>5.6462915679242132E-3</v>
      </c>
      <c r="K546" s="24">
        <f t="shared" si="176"/>
        <v>1049.1507479620921</v>
      </c>
      <c r="L546" s="32">
        <f t="shared" si="177"/>
        <v>0.555992430812423</v>
      </c>
      <c r="M546" s="35">
        <f t="shared" si="178"/>
        <v>13.360737846065801</v>
      </c>
      <c r="O546" s="29">
        <f t="shared" si="179"/>
        <v>1046.5827489847525</v>
      </c>
      <c r="T546" s="48">
        <v>0.74578712962962967</v>
      </c>
      <c r="U546" s="29">
        <v>-1291.9166265503013</v>
      </c>
      <c r="V546" s="29">
        <v>4572.5437803461682</v>
      </c>
      <c r="W546" s="29">
        <v>4263.5058339097068</v>
      </c>
      <c r="X546" s="4">
        <v>-0.32630494005340532</v>
      </c>
      <c r="Y546" s="4">
        <v>-0.1195021443146607</v>
      </c>
      <c r="Z546" s="4">
        <v>-2.374015627864862E-2</v>
      </c>
      <c r="AA546" s="3">
        <f t="shared" si="184"/>
        <v>0.34830916068802026</v>
      </c>
      <c r="AB546" s="3">
        <f t="shared" si="187"/>
        <v>1.0181657032698601E-2</v>
      </c>
      <c r="AC546" s="3">
        <f t="shared" si="185"/>
        <v>3.5430720323433716E-2</v>
      </c>
      <c r="AD546" s="48"/>
      <c r="AE546" s="46">
        <f t="shared" si="180"/>
        <v>42.092149071135012</v>
      </c>
      <c r="AF546" s="46">
        <f t="shared" si="181"/>
        <v>-248.53985686432839</v>
      </c>
      <c r="AG546" s="47">
        <f t="shared" si="182"/>
        <v>15369.359347100726</v>
      </c>
      <c r="AH546" s="45" t="str">
        <f t="shared" si="186"/>
        <v>-248.53986,42.09215,15369</v>
      </c>
      <c r="AI546" s="44">
        <f t="shared" si="188"/>
        <v>1021.323390941729</v>
      </c>
    </row>
    <row r="547" spans="1:35" ht="18" customHeight="1" x14ac:dyDescent="0.25">
      <c r="A547" s="36">
        <f t="shared" si="183"/>
        <v>0.74579866898148151</v>
      </c>
      <c r="B547" s="42">
        <f t="shared" si="168"/>
        <v>42.092149064382888</v>
      </c>
      <c r="C547" s="43">
        <f t="shared" si="169"/>
        <v>111.46014469981766</v>
      </c>
      <c r="D547" s="18">
        <f t="shared" si="170"/>
        <v>15.334088312148197</v>
      </c>
      <c r="E547" s="21" t="str">
        <f t="shared" si="171"/>
        <v>Umbra</v>
      </c>
      <c r="F547" s="23">
        <f>IF($E547&lt;&gt;"Umbra",fracil2($S$2,$S$3,$S$4,$A547,$Q$2,$O$3,$Q$4,$U547,$V547,$W547),0)</f>
        <v>0</v>
      </c>
      <c r="G547" s="19">
        <f t="shared" si="172"/>
        <v>69.299573068067232</v>
      </c>
      <c r="H547" s="19">
        <f t="shared" si="173"/>
        <v>-4.0156159616425695</v>
      </c>
      <c r="I547" s="19">
        <f t="shared" si="174"/>
        <v>-2.8075980122476745</v>
      </c>
      <c r="J547" s="28">
        <f t="shared" si="175"/>
        <v>5.6416012470359208E-3</v>
      </c>
      <c r="K547" s="24">
        <f t="shared" si="176"/>
        <v>1049.1475152901726</v>
      </c>
      <c r="L547" s="32">
        <f t="shared" si="177"/>
        <v>0.5560080701674609</v>
      </c>
      <c r="M547" s="35">
        <f t="shared" si="178"/>
        <v>13.359448909378161</v>
      </c>
      <c r="O547" s="29">
        <f t="shared" si="179"/>
        <v>1046.5828745783424</v>
      </c>
      <c r="T547" s="48">
        <v>0.74579866898148151</v>
      </c>
      <c r="U547" s="29">
        <v>-1292.242064738505</v>
      </c>
      <c r="V547" s="29">
        <v>4572.4246210868405</v>
      </c>
      <c r="W547" s="29">
        <v>4263.4821902958674</v>
      </c>
      <c r="X547" s="4">
        <v>-0.32631431660506893</v>
      </c>
      <c r="Y547" s="4">
        <v>-0.11945461543250205</v>
      </c>
      <c r="Z547" s="4">
        <v>-2.3673768444797367E-2</v>
      </c>
      <c r="AA547" s="3">
        <f t="shared" si="184"/>
        <v>0.34829712270120466</v>
      </c>
      <c r="AB547" s="3">
        <f t="shared" si="187"/>
        <v>1.0125583127428403E-2</v>
      </c>
      <c r="AC547" s="3">
        <f t="shared" si="185"/>
        <v>3.5331726729690781E-2</v>
      </c>
      <c r="AD547" s="48"/>
      <c r="AE547" s="46">
        <f t="shared" si="180"/>
        <v>42.092149064382888</v>
      </c>
      <c r="AF547" s="46">
        <f t="shared" si="181"/>
        <v>-248.53985530018235</v>
      </c>
      <c r="AG547" s="47">
        <f t="shared" si="182"/>
        <v>15334.088312148197</v>
      </c>
      <c r="AH547" s="45" t="str">
        <f t="shared" si="186"/>
        <v>-248.53986,42.09215,15334</v>
      </c>
      <c r="AI547" s="44">
        <f t="shared" si="188"/>
        <v>1021.323525200514</v>
      </c>
    </row>
    <row r="548" spans="1:35" ht="18" customHeight="1" x14ac:dyDescent="0.25">
      <c r="A548" s="36">
        <f t="shared" si="183"/>
        <v>0.74581024305555566</v>
      </c>
      <c r="B548" s="42">
        <f t="shared" si="168"/>
        <v>42.092149057640583</v>
      </c>
      <c r="C548" s="43">
        <f t="shared" si="169"/>
        <v>111.46014406994489</v>
      </c>
      <c r="D548" s="18">
        <f t="shared" si="170"/>
        <v>15.298828596203748</v>
      </c>
      <c r="E548" s="21" t="str">
        <f t="shared" si="171"/>
        <v>Umbra</v>
      </c>
      <c r="F548" s="23">
        <f>IF($E548&lt;&gt;"Umbra",fracil2($S$2,$S$3,$S$4,$A548,$Q$2,$O$3,$Q$4,$U548,$V548,$W548),0)</f>
        <v>0</v>
      </c>
      <c r="G548" s="19">
        <f t="shared" si="172"/>
        <v>69.299578735231293</v>
      </c>
      <c r="H548" s="19">
        <f t="shared" si="173"/>
        <v>-4.0175325432577358</v>
      </c>
      <c r="I548" s="19">
        <f t="shared" si="174"/>
        <v>-2.8095145938628407</v>
      </c>
      <c r="J548" s="28">
        <f t="shared" si="175"/>
        <v>5.6369282051124238E-3</v>
      </c>
      <c r="K548" s="24">
        <f t="shared" si="176"/>
        <v>1049.1441083454631</v>
      </c>
      <c r="L548" s="32">
        <f t="shared" si="177"/>
        <v>0.55602374533226329</v>
      </c>
      <c r="M548" s="35">
        <f t="shared" si="178"/>
        <v>13.35816262795878</v>
      </c>
      <c r="O548" s="29">
        <f t="shared" si="179"/>
        <v>1046.5828237658534</v>
      </c>
      <c r="T548" s="48">
        <v>0.74581024305555566</v>
      </c>
      <c r="U548" s="29">
        <v>-1292.5683198792353</v>
      </c>
      <c r="V548" s="29">
        <v>4572.3052134880181</v>
      </c>
      <c r="W548" s="29">
        <v>4263.4585542702616</v>
      </c>
      <c r="X548" s="4">
        <v>-0.32632361394093162</v>
      </c>
      <c r="Y548" s="4">
        <v>-0.11940738613071741</v>
      </c>
      <c r="Z548" s="4">
        <v>-2.360760440437935E-2</v>
      </c>
      <c r="AA548" s="3">
        <f t="shared" si="184"/>
        <v>0.34828514734876953</v>
      </c>
      <c r="AB548" s="3">
        <f t="shared" si="187"/>
        <v>1.0061151280723171E-2</v>
      </c>
      <c r="AC548" s="3">
        <f t="shared" si="185"/>
        <v>3.5233067080231363E-2</v>
      </c>
      <c r="AD548" s="48"/>
      <c r="AE548" s="46">
        <f t="shared" si="180"/>
        <v>42.092149057640583</v>
      </c>
      <c r="AF548" s="46">
        <f t="shared" si="181"/>
        <v>-248.53985593005513</v>
      </c>
      <c r="AG548" s="47">
        <f t="shared" si="182"/>
        <v>15298.828596203748</v>
      </c>
      <c r="AH548" s="45" t="str">
        <f t="shared" si="186"/>
        <v>-248.53986,42.09215,15299</v>
      </c>
      <c r="AI548" s="44">
        <f t="shared" si="188"/>
        <v>1021.323525200514</v>
      </c>
    </row>
    <row r="549" spans="1:35" ht="18" customHeight="1" x14ac:dyDescent="0.25">
      <c r="A549" s="36">
        <f t="shared" si="183"/>
        <v>0.74582175925925931</v>
      </c>
      <c r="B549" s="42">
        <f t="shared" si="168"/>
        <v>42.0921490509607</v>
      </c>
      <c r="C549" s="43">
        <f t="shared" si="169"/>
        <v>111.46014175779649</v>
      </c>
      <c r="D549" s="18">
        <f t="shared" si="170"/>
        <v>15.263856997846233</v>
      </c>
      <c r="E549" s="21" t="str">
        <f t="shared" si="171"/>
        <v>Umbra</v>
      </c>
      <c r="F549" s="23">
        <f>IF($E549&lt;&gt;"Umbra",fracil2($S$2,$S$3,$S$4,$A549,$Q$2,$O$3,$Q$4,$U549,$V549,$W549),0)</f>
        <v>0</v>
      </c>
      <c r="G549" s="19">
        <f t="shared" si="172"/>
        <v>69.299582638579381</v>
      </c>
      <c r="H549" s="19">
        <f t="shared" si="173"/>
        <v>-4.0194327732334614</v>
      </c>
      <c r="I549" s="19">
        <f t="shared" si="174"/>
        <v>-2.8114148238385663</v>
      </c>
      <c r="J549" s="28">
        <f t="shared" si="175"/>
        <v>5.6323085562227431E-3</v>
      </c>
      <c r="K549" s="24">
        <f t="shared" si="176"/>
        <v>1049.1405946352418</v>
      </c>
      <c r="L549" s="32">
        <f t="shared" si="177"/>
        <v>0.55603933098472991</v>
      </c>
      <c r="M549" s="35">
        <f t="shared" si="178"/>
        <v>13.356888575348593</v>
      </c>
      <c r="O549" s="29">
        <f t="shared" si="179"/>
        <v>1046.582637694454</v>
      </c>
      <c r="T549" s="48">
        <v>0.74582175925925931</v>
      </c>
      <c r="U549" s="29">
        <v>-1292.8928213619431</v>
      </c>
      <c r="V549" s="29">
        <v>4572.1864977097575</v>
      </c>
      <c r="W549" s="29">
        <v>4263.4351113822358</v>
      </c>
      <c r="X549" s="4">
        <v>-0.32633276126386412</v>
      </c>
      <c r="Y549" s="4">
        <v>-0.1193608191043905</v>
      </c>
      <c r="Z549" s="4">
        <v>-2.3542176665594005E-2</v>
      </c>
      <c r="AA549" s="3">
        <f t="shared" si="184"/>
        <v>0.34827332699120561</v>
      </c>
      <c r="AB549" s="3">
        <f t="shared" si="187"/>
        <v>9.9991591229703913E-3</v>
      </c>
      <c r="AC549" s="3">
        <f t="shared" si="185"/>
        <v>3.5135505584643734E-2</v>
      </c>
      <c r="AD549" s="48"/>
      <c r="AE549" s="46">
        <f t="shared" si="180"/>
        <v>42.0921490509607</v>
      </c>
      <c r="AF549" s="46">
        <f t="shared" si="181"/>
        <v>-248.53985824220351</v>
      </c>
      <c r="AG549" s="47">
        <f t="shared" si="182"/>
        <v>15263.856997846233</v>
      </c>
      <c r="AH549" s="45" t="str">
        <f t="shared" si="186"/>
        <v>-248.53986,42.09215,15264</v>
      </c>
      <c r="AI549" s="44">
        <f t="shared" si="188"/>
        <v>1021.32371507111</v>
      </c>
    </row>
    <row r="550" spans="1:35" ht="18" customHeight="1" x14ac:dyDescent="0.25">
      <c r="A550" s="36">
        <f t="shared" si="183"/>
        <v>0.74583333333333324</v>
      </c>
      <c r="B550" s="42">
        <f t="shared" si="168"/>
        <v>42.092149044266463</v>
      </c>
      <c r="C550" s="43">
        <f t="shared" si="169"/>
        <v>111.46014368410727</v>
      </c>
      <c r="D550" s="18">
        <f t="shared" si="170"/>
        <v>15.228771536101704</v>
      </c>
      <c r="E550" s="21" t="str">
        <f t="shared" si="171"/>
        <v>Umbra</v>
      </c>
      <c r="F550" s="23">
        <f>IF($E550&lt;&gt;"Umbra",fracil2($S$2,$S$3,$S$4,$A550,$Q$2,$O$3,$Q$4,$U550,$V550,$W550),0)</f>
        <v>0</v>
      </c>
      <c r="G550" s="19">
        <f t="shared" si="172"/>
        <v>69.29959087641528</v>
      </c>
      <c r="H550" s="19">
        <f t="shared" si="173"/>
        <v>-4.0213409711876569</v>
      </c>
      <c r="I550" s="19">
        <f t="shared" si="174"/>
        <v>-2.8133230217927618</v>
      </c>
      <c r="J550" s="28">
        <f t="shared" si="175"/>
        <v>5.6276886228561621E-3</v>
      </c>
      <c r="K550" s="24">
        <f t="shared" si="176"/>
        <v>1049.1374122654079</v>
      </c>
      <c r="L550" s="32">
        <f t="shared" si="177"/>
        <v>0.55605498335033599</v>
      </c>
      <c r="M550" s="35">
        <f t="shared" si="178"/>
        <v>13.355605960933683</v>
      </c>
      <c r="O550" s="29">
        <f t="shared" si="179"/>
        <v>1046.5827924087152</v>
      </c>
      <c r="T550" s="48">
        <v>0.74583333333333324</v>
      </c>
      <c r="U550" s="29">
        <v>-1293.2192946486505</v>
      </c>
      <c r="V550" s="29">
        <v>4572.0671104280118</v>
      </c>
      <c r="W550" s="29">
        <v>4263.4115921675575</v>
      </c>
      <c r="X550" s="4">
        <v>-0.32634186336512483</v>
      </c>
      <c r="Y550" s="4">
        <v>-0.11931438010539747</v>
      </c>
      <c r="Z550" s="4">
        <v>-2.3476734445793301E-2</v>
      </c>
      <c r="AA550" s="3">
        <f t="shared" si="184"/>
        <v>0.34826152550173467</v>
      </c>
      <c r="AB550" s="3">
        <f t="shared" si="187"/>
        <v>9.951341973505284E-3</v>
      </c>
      <c r="AC550" s="3">
        <f t="shared" si="185"/>
        <v>3.5037922725252774E-2</v>
      </c>
      <c r="AD550" s="48"/>
      <c r="AE550" s="46">
        <f t="shared" si="180"/>
        <v>42.092149044266463</v>
      </c>
      <c r="AF550" s="46">
        <f t="shared" si="181"/>
        <v>-248.53985631589273</v>
      </c>
      <c r="AG550" s="47">
        <f t="shared" si="182"/>
        <v>15228.771536101704</v>
      </c>
      <c r="AH550" s="45" t="str">
        <f t="shared" si="186"/>
        <v>-248.53986,42.09215,15229</v>
      </c>
      <c r="AI550" s="44">
        <f t="shared" si="188"/>
        <v>1021.323849329895</v>
      </c>
    </row>
    <row r="551" spans="1:35" ht="18" customHeight="1" x14ac:dyDescent="0.25">
      <c r="A551" s="36">
        <f t="shared" si="183"/>
        <v>0.74584489583333335</v>
      </c>
      <c r="B551" s="42">
        <f t="shared" si="168"/>
        <v>42.092149037607363</v>
      </c>
      <c r="C551" s="43">
        <f t="shared" si="169"/>
        <v>111.46014401593607</v>
      </c>
      <c r="D551" s="18">
        <f t="shared" si="170"/>
        <v>15.193831701596537</v>
      </c>
      <c r="E551" s="21" t="str">
        <f t="shared" si="171"/>
        <v>Umbra</v>
      </c>
      <c r="F551" s="23">
        <f>IF($E551&lt;&gt;"Umbra",fracil2($S$2,$S$3,$S$4,$A551,$Q$2,$O$3,$Q$4,$U551,$V551,$W551),0)</f>
        <v>0</v>
      </c>
      <c r="G551" s="19">
        <f t="shared" si="172"/>
        <v>69.299597465286865</v>
      </c>
      <c r="H551" s="19">
        <f t="shared" si="173"/>
        <v>-4.0232405999231515</v>
      </c>
      <c r="I551" s="19">
        <f t="shared" si="174"/>
        <v>-2.8152226505282565</v>
      </c>
      <c r="J551" s="28">
        <f t="shared" si="175"/>
        <v>5.6231029254043578E-3</v>
      </c>
      <c r="K551" s="24">
        <f t="shared" si="176"/>
        <v>1049.1341166160173</v>
      </c>
      <c r="L551" s="32">
        <f t="shared" si="177"/>
        <v>0.55607060897639859</v>
      </c>
      <c r="M551" s="35">
        <f t="shared" si="178"/>
        <v>13.354330284350715</v>
      </c>
      <c r="O551" s="29">
        <f t="shared" si="179"/>
        <v>1046.58281892228</v>
      </c>
      <c r="T551" s="48">
        <v>0.74584489583333335</v>
      </c>
      <c r="U551" s="29">
        <v>-1293.545326192065</v>
      </c>
      <c r="V551" s="29">
        <v>4571.9479341516171</v>
      </c>
      <c r="W551" s="29">
        <v>4263.3881705733656</v>
      </c>
      <c r="X551" s="4">
        <v>-0.3263508540425471</v>
      </c>
      <c r="Y551" s="4">
        <v>-0.11926840849005699</v>
      </c>
      <c r="Z551" s="4">
        <v>-2.3411757834754767E-2</v>
      </c>
      <c r="AA551" s="3">
        <f t="shared" si="184"/>
        <v>0.34824982929351767</v>
      </c>
      <c r="AB551" s="3">
        <f t="shared" si="187"/>
        <v>9.8904070636791647E-3</v>
      </c>
      <c r="AC551" s="3">
        <f t="shared" si="185"/>
        <v>3.4941034378917019E-2</v>
      </c>
      <c r="AD551" s="48"/>
      <c r="AE551" s="46">
        <f t="shared" si="180"/>
        <v>42.092149037607363</v>
      </c>
      <c r="AF551" s="46">
        <f t="shared" si="181"/>
        <v>-248.53985598406393</v>
      </c>
      <c r="AG551" s="47">
        <f t="shared" si="182"/>
        <v>15193.831701596537</v>
      </c>
      <c r="AH551" s="45" t="str">
        <f t="shared" si="186"/>
        <v>-248.53986,42.09215,15194</v>
      </c>
      <c r="AI551" s="44">
        <f t="shared" si="188"/>
        <v>1021.323849329895</v>
      </c>
    </row>
    <row r="552" spans="1:35" ht="18" customHeight="1" x14ac:dyDescent="0.25">
      <c r="A552" s="36">
        <f t="shared" si="183"/>
        <v>0.74585652777777778</v>
      </c>
      <c r="B552" s="42">
        <f t="shared" si="168"/>
        <v>42.092149030934351</v>
      </c>
      <c r="C552" s="43">
        <f t="shared" si="169"/>
        <v>111.46014414058618</v>
      </c>
      <c r="D552" s="18">
        <f t="shared" si="170"/>
        <v>15.158781180526603</v>
      </c>
      <c r="E552" s="21" t="str">
        <f t="shared" si="171"/>
        <v>Umbra</v>
      </c>
      <c r="F552" s="23">
        <f>IF($E552&lt;&gt;"Umbra",fracil2($S$2,$S$3,$S$4,$A552,$Q$2,$O$3,$Q$4,$U552,$V552,$W552),0)</f>
        <v>0</v>
      </c>
      <c r="G552" s="19">
        <f t="shared" si="172"/>
        <v>69.299603863111784</v>
      </c>
      <c r="H552" s="19">
        <f t="shared" si="173"/>
        <v>-4.025146171860464</v>
      </c>
      <c r="I552" s="19">
        <f t="shared" si="174"/>
        <v>-2.8171282224655689</v>
      </c>
      <c r="J552" s="28">
        <f t="shared" si="175"/>
        <v>5.618517815962119E-3</v>
      </c>
      <c r="K552" s="24">
        <f t="shared" si="176"/>
        <v>1049.1307949314717</v>
      </c>
      <c r="L552" s="32">
        <f t="shared" si="177"/>
        <v>0.55608631722341617</v>
      </c>
      <c r="M552" s="35">
        <f t="shared" si="178"/>
        <v>13.353050756162675</v>
      </c>
      <c r="O552" s="29">
        <f t="shared" si="179"/>
        <v>1046.5828287776487</v>
      </c>
      <c r="T552" s="48">
        <v>0.74585652777777778</v>
      </c>
      <c r="U552" s="29">
        <v>-1293.8733086344287</v>
      </c>
      <c r="V552" s="29">
        <v>4571.8280941798739</v>
      </c>
      <c r="W552" s="29">
        <v>4263.3646747820621</v>
      </c>
      <c r="X552" s="4">
        <v>-0.32635979854200869</v>
      </c>
      <c r="Y552" s="4">
        <v>-0.11922256937737602</v>
      </c>
      <c r="Z552" s="4">
        <v>-2.3346772331549272E-2</v>
      </c>
      <c r="AA552" s="3">
        <f t="shared" si="184"/>
        <v>0.34823815260770169</v>
      </c>
      <c r="AB552" s="3">
        <f t="shared" si="187"/>
        <v>9.8326817758228376E-3</v>
      </c>
      <c r="AC552" s="3">
        <f t="shared" si="185"/>
        <v>3.4844133005036006E-2</v>
      </c>
      <c r="AD552" s="48"/>
      <c r="AE552" s="46">
        <f t="shared" si="180"/>
        <v>42.092149030934351</v>
      </c>
      <c r="AF552" s="46">
        <f t="shared" si="181"/>
        <v>-248.53985585941382</v>
      </c>
      <c r="AG552" s="47">
        <f t="shared" si="182"/>
        <v>15158.781180526603</v>
      </c>
      <c r="AH552" s="45" t="str">
        <f t="shared" si="186"/>
        <v>-248.53986,42.09215,15159</v>
      </c>
      <c r="AI552" s="44">
        <f t="shared" si="188"/>
        <v>1021.323849329895</v>
      </c>
    </row>
    <row r="553" spans="1:35" ht="18" customHeight="1" x14ac:dyDescent="0.25">
      <c r="A553" s="36">
        <f t="shared" si="183"/>
        <v>0.74586809027777778</v>
      </c>
      <c r="B553" s="42">
        <f t="shared" si="168"/>
        <v>42.092149024326261</v>
      </c>
      <c r="C553" s="43">
        <f t="shared" si="169"/>
        <v>111.46014461312139</v>
      </c>
      <c r="D553" s="18">
        <f t="shared" si="170"/>
        <v>15.124033288217106</v>
      </c>
      <c r="E553" s="21" t="str">
        <f t="shared" si="171"/>
        <v>Umbra</v>
      </c>
      <c r="F553" s="23">
        <f>IF($E553&lt;&gt;"Umbra",fracil2($S$2,$S$3,$S$4,$A553,$Q$2,$O$3,$Q$4,$U553,$V553,$W553),0)</f>
        <v>0</v>
      </c>
      <c r="G553" s="19">
        <f t="shared" si="172"/>
        <v>69.299610560909215</v>
      </c>
      <c r="H553" s="19">
        <f t="shared" si="173"/>
        <v>-4.0270354480323078</v>
      </c>
      <c r="I553" s="19">
        <f t="shared" si="174"/>
        <v>-2.8190174986374128</v>
      </c>
      <c r="J553" s="28">
        <f t="shared" si="175"/>
        <v>5.6139870383671193E-3</v>
      </c>
      <c r="K553" s="24">
        <f t="shared" si="176"/>
        <v>1049.1275311483125</v>
      </c>
      <c r="L553" s="32">
        <f t="shared" si="177"/>
        <v>0.55610192054515262</v>
      </c>
      <c r="M553" s="35">
        <f t="shared" si="178"/>
        <v>13.351781889749311</v>
      </c>
      <c r="O553" s="29">
        <f t="shared" si="179"/>
        <v>1046.58286660574</v>
      </c>
      <c r="T553" s="48">
        <v>0.74586809027777778</v>
      </c>
      <c r="U553" s="29">
        <v>-1294.1993691399343</v>
      </c>
      <c r="V553" s="29">
        <v>4571.7090051548576</v>
      </c>
      <c r="W553" s="29">
        <v>4263.3413818557483</v>
      </c>
      <c r="X553" s="4">
        <v>-0.32636859248200289</v>
      </c>
      <c r="Y553" s="4">
        <v>-0.11917739919421159</v>
      </c>
      <c r="Z553" s="4">
        <v>-2.3282540764419928E-2</v>
      </c>
      <c r="AA553" s="3">
        <f t="shared" si="184"/>
        <v>0.34822663215473199</v>
      </c>
      <c r="AB553" s="3">
        <f t="shared" si="187"/>
        <v>9.7769533960128784E-3</v>
      </c>
      <c r="AC553" s="3">
        <f t="shared" si="185"/>
        <v>3.4748356072839652E-2</v>
      </c>
      <c r="AD553" s="48"/>
      <c r="AE553" s="46">
        <f t="shared" si="180"/>
        <v>42.092149024326261</v>
      </c>
      <c r="AF553" s="46">
        <f t="shared" si="181"/>
        <v>-248.53985538687863</v>
      </c>
      <c r="AG553" s="47">
        <f t="shared" si="182"/>
        <v>15124.033288217106</v>
      </c>
      <c r="AH553" s="45" t="str">
        <f t="shared" si="186"/>
        <v>-248.53986,42.09215,15124</v>
      </c>
      <c r="AI553" s="44">
        <f t="shared" si="188"/>
        <v>1021.323849329895</v>
      </c>
    </row>
    <row r="554" spans="1:35" ht="18" customHeight="1" x14ac:dyDescent="0.25">
      <c r="A554" s="36">
        <f t="shared" si="183"/>
        <v>0.74587961805555558</v>
      </c>
      <c r="B554" s="42">
        <f t="shared" si="168"/>
        <v>42.092149017761642</v>
      </c>
      <c r="C554" s="43">
        <f t="shared" si="169"/>
        <v>111.46014599851426</v>
      </c>
      <c r="D554" s="18">
        <f t="shared" si="170"/>
        <v>15.089477182546034</v>
      </c>
      <c r="E554" s="21" t="str">
        <f t="shared" si="171"/>
        <v>Umbra</v>
      </c>
      <c r="F554" s="23">
        <f>IF($E554&lt;&gt;"Umbra",fracil2($S$2,$S$3,$S$4,$A554,$Q$2,$O$3,$Q$4,$U554,$V554,$W554),0)</f>
        <v>0</v>
      </c>
      <c r="G554" s="19">
        <f t="shared" si="172"/>
        <v>69.299618153563145</v>
      </c>
      <c r="H554" s="19">
        <f t="shared" si="173"/>
        <v>-4.0289146889490715</v>
      </c>
      <c r="I554" s="19">
        <f t="shared" si="174"/>
        <v>-2.8208967395541764</v>
      </c>
      <c r="J554" s="28">
        <f t="shared" si="175"/>
        <v>5.6094957859289104E-3</v>
      </c>
      <c r="K554" s="24">
        <f t="shared" si="176"/>
        <v>1049.1243601650876</v>
      </c>
      <c r="L554" s="32">
        <f t="shared" si="177"/>
        <v>0.55611746595484035</v>
      </c>
      <c r="M554" s="35">
        <f t="shared" si="178"/>
        <v>13.350519056152006</v>
      </c>
      <c r="O554" s="29">
        <f t="shared" si="179"/>
        <v>1046.5829778316793</v>
      </c>
      <c r="T554" s="48">
        <v>0.74587961805555558</v>
      </c>
      <c r="U554" s="29">
        <v>-1294.5245306744212</v>
      </c>
      <c r="V554" s="29">
        <v>4571.5902923876638</v>
      </c>
      <c r="W554" s="29">
        <v>4263.3182174924068</v>
      </c>
      <c r="X554" s="4">
        <v>-0.32637726527605859</v>
      </c>
      <c r="Y554" s="4">
        <v>-0.11913274861774173</v>
      </c>
      <c r="Z554" s="4">
        <v>-2.3218854531777362E-2</v>
      </c>
      <c r="AA554" s="3">
        <f t="shared" si="184"/>
        <v>0.34821522983359676</v>
      </c>
      <c r="AB554" s="3">
        <f t="shared" si="187"/>
        <v>9.7231210159548082E-3</v>
      </c>
      <c r="AC554" s="3">
        <f t="shared" si="185"/>
        <v>3.4653392527855764E-2</v>
      </c>
      <c r="AD554" s="48"/>
      <c r="AE554" s="46">
        <f t="shared" si="180"/>
        <v>42.092149017761642</v>
      </c>
      <c r="AF554" s="46">
        <f t="shared" si="181"/>
        <v>-248.53985400148574</v>
      </c>
      <c r="AG554" s="47">
        <f t="shared" si="182"/>
        <v>15089.477182546034</v>
      </c>
      <c r="AH554" s="45" t="str">
        <f t="shared" si="186"/>
        <v>-248.53985,42.09215,15089</v>
      </c>
      <c r="AI554" s="44">
        <f t="shared" si="188"/>
        <v>1021.32398358868</v>
      </c>
    </row>
    <row r="555" spans="1:35" ht="18" customHeight="1" x14ac:dyDescent="0.25">
      <c r="A555" s="36">
        <f t="shared" si="183"/>
        <v>0.74589128472222221</v>
      </c>
      <c r="B555" s="42">
        <f t="shared" si="168"/>
        <v>42.092149011148116</v>
      </c>
      <c r="C555" s="43">
        <f t="shared" si="169"/>
        <v>111.4601443913408</v>
      </c>
      <c r="D555" s="18">
        <f t="shared" si="170"/>
        <v>15.054625700395263</v>
      </c>
      <c r="E555" s="21" t="str">
        <f t="shared" si="171"/>
        <v>Umbra</v>
      </c>
      <c r="F555" s="23">
        <f>IF($E555&lt;&gt;"Umbra",fracil2($S$2,$S$3,$S$4,$A555,$Q$2,$O$3,$Q$4,$U555,$V555,$W555),0)</f>
        <v>0</v>
      </c>
      <c r="G555" s="19">
        <f t="shared" si="172"/>
        <v>69.29962275313008</v>
      </c>
      <c r="H555" s="19">
        <f t="shared" si="173"/>
        <v>-4.0308087556213117</v>
      </c>
      <c r="I555" s="19">
        <f t="shared" si="174"/>
        <v>-2.8227908062264166</v>
      </c>
      <c r="J555" s="28">
        <f t="shared" si="175"/>
        <v>5.6049811691279306E-3</v>
      </c>
      <c r="K555" s="24">
        <f t="shared" si="176"/>
        <v>1049.1209214967785</v>
      </c>
      <c r="L555" s="32">
        <f t="shared" si="177"/>
        <v>0.55613318786205956</v>
      </c>
      <c r="M555" s="35">
        <f t="shared" si="178"/>
        <v>13.349248506268285</v>
      </c>
      <c r="O555" s="29">
        <f t="shared" si="179"/>
        <v>1046.5828484442341</v>
      </c>
      <c r="T555" s="48">
        <v>0.74589128472222221</v>
      </c>
      <c r="U555" s="29">
        <v>-1294.8533835720434</v>
      </c>
      <c r="V555" s="29">
        <v>4571.4702801803987</v>
      </c>
      <c r="W555" s="29">
        <v>4263.2948551267982</v>
      </c>
      <c r="X555" s="4">
        <v>-0.32638593901354934</v>
      </c>
      <c r="Y555" s="4">
        <v>-0.11908798873694837</v>
      </c>
      <c r="Z555" s="4">
        <v>-2.315481589650072E-2</v>
      </c>
      <c r="AA555" s="3">
        <f t="shared" si="184"/>
        <v>0.34820378479615749</v>
      </c>
      <c r="AB555" s="3">
        <f t="shared" si="187"/>
        <v>9.6605077502942178E-3</v>
      </c>
      <c r="AC555" s="3">
        <f t="shared" si="185"/>
        <v>3.4557903741344667E-2</v>
      </c>
      <c r="AD555" s="48"/>
      <c r="AE555" s="46">
        <f t="shared" si="180"/>
        <v>42.092149011148116</v>
      </c>
      <c r="AF555" s="46">
        <f t="shared" si="181"/>
        <v>-248.5398556086592</v>
      </c>
      <c r="AG555" s="47">
        <f t="shared" si="182"/>
        <v>15054.625700395263</v>
      </c>
      <c r="AH555" s="45" t="str">
        <f t="shared" si="186"/>
        <v>-248.53986,42.09215,15055</v>
      </c>
      <c r="AI555" s="44">
        <f t="shared" si="188"/>
        <v>1021.3241480214393</v>
      </c>
    </row>
    <row r="556" spans="1:35" ht="18" customHeight="1" x14ac:dyDescent="0.25">
      <c r="A556" s="36">
        <f t="shared" si="183"/>
        <v>0.74590283564814808</v>
      </c>
      <c r="B556" s="42">
        <f t="shared" si="168"/>
        <v>42.09214900462122</v>
      </c>
      <c r="C556" s="43">
        <f t="shared" si="169"/>
        <v>111.46014529906572</v>
      </c>
      <c r="D556" s="18">
        <f t="shared" si="170"/>
        <v>15.020193912271679</v>
      </c>
      <c r="E556" s="21" t="str">
        <f t="shared" si="171"/>
        <v>Umbra</v>
      </c>
      <c r="F556" s="23">
        <f>IF($E556&lt;&gt;"Umbra",fracil2($S$2,$S$3,$S$4,$A556,$Q$2,$O$3,$Q$4,$U556,$V556,$W556),0)</f>
        <v>0</v>
      </c>
      <c r="G556" s="19">
        <f t="shared" si="172"/>
        <v>69.299629837400701</v>
      </c>
      <c r="H556" s="19">
        <f t="shared" si="173"/>
        <v>-4.0326810625562031</v>
      </c>
      <c r="I556" s="19">
        <f t="shared" si="174"/>
        <v>-2.824663113161308</v>
      </c>
      <c r="J556" s="28">
        <f t="shared" si="175"/>
        <v>5.6005350910806207E-3</v>
      </c>
      <c r="K556" s="24">
        <f t="shared" si="176"/>
        <v>1049.1177261464602</v>
      </c>
      <c r="L556" s="32">
        <f t="shared" si="177"/>
        <v>0.55614874263287795</v>
      </c>
      <c r="M556" s="35">
        <f t="shared" si="178"/>
        <v>13.347990654276462</v>
      </c>
      <c r="O556" s="29">
        <f t="shared" si="179"/>
        <v>1046.5829212650399</v>
      </c>
      <c r="T556" s="48">
        <v>0.74590283564814808</v>
      </c>
      <c r="U556" s="29">
        <v>-1295.1791778876784</v>
      </c>
      <c r="V556" s="29">
        <v>4571.3514315799575</v>
      </c>
      <c r="W556" s="29">
        <v>4263.271774099745</v>
      </c>
      <c r="X556" s="4">
        <v>-0.32639443625964204</v>
      </c>
      <c r="Y556" s="4">
        <v>-0.11904403584773296</v>
      </c>
      <c r="Z556" s="4">
        <v>-2.3091737029201979E-2</v>
      </c>
      <c r="AA556" s="3">
        <f t="shared" si="184"/>
        <v>0.34819253123981808</v>
      </c>
      <c r="AB556" s="3">
        <f t="shared" si="187"/>
        <v>9.611047061737989E-3</v>
      </c>
      <c r="AC556" s="3">
        <f t="shared" si="185"/>
        <v>3.4463846305712753E-2</v>
      </c>
      <c r="AD556" s="48"/>
      <c r="AE556" s="46">
        <f t="shared" si="180"/>
        <v>42.09214900462122</v>
      </c>
      <c r="AF556" s="46">
        <f t="shared" si="181"/>
        <v>-248.53985470093428</v>
      </c>
      <c r="AG556" s="47">
        <f t="shared" si="182"/>
        <v>15020.193912271679</v>
      </c>
      <c r="AH556" s="45" t="str">
        <f t="shared" si="186"/>
        <v>-248.53985,42.09215,15020</v>
      </c>
      <c r="AI556" s="44">
        <f t="shared" si="188"/>
        <v>1021.3242822802243</v>
      </c>
    </row>
    <row r="557" spans="1:35" ht="18" customHeight="1" x14ac:dyDescent="0.25">
      <c r="A557" s="36">
        <f t="shared" si="183"/>
        <v>0.74591436342592587</v>
      </c>
      <c r="B557" s="42">
        <f t="shared" si="168"/>
        <v>42.092148998133808</v>
      </c>
      <c r="C557" s="43">
        <f t="shared" si="169"/>
        <v>111.46014504141111</v>
      </c>
      <c r="D557" s="18">
        <f t="shared" si="170"/>
        <v>14.985934066971822</v>
      </c>
      <c r="E557" s="21" t="str">
        <f t="shared" si="171"/>
        <v>Umbra</v>
      </c>
      <c r="F557" s="23">
        <f>IF($E557&lt;&gt;"Umbra",fracil2($S$2,$S$3,$S$4,$A557,$Q$2,$O$3,$Q$4,$U557,$V557,$W557),0)</f>
        <v>0</v>
      </c>
      <c r="G557" s="19">
        <f t="shared" si="172"/>
        <v>69.299635704762025</v>
      </c>
      <c r="H557" s="19">
        <f t="shared" si="173"/>
        <v>-4.0345435487681538</v>
      </c>
      <c r="I557" s="19">
        <f t="shared" si="174"/>
        <v>-2.8265255993732588</v>
      </c>
      <c r="J557" s="28">
        <f t="shared" si="175"/>
        <v>5.5961253449877124E-3</v>
      </c>
      <c r="K557" s="24">
        <f t="shared" si="176"/>
        <v>1049.1144544676015</v>
      </c>
      <c r="L557" s="32">
        <f t="shared" si="177"/>
        <v>0.55616425557409932</v>
      </c>
      <c r="M557" s="35">
        <f t="shared" si="178"/>
        <v>13.346740257928039</v>
      </c>
      <c r="O557" s="29">
        <f t="shared" si="179"/>
        <v>1046.5829003864999</v>
      </c>
      <c r="T557" s="48">
        <v>0.74591436342592587</v>
      </c>
      <c r="U557" s="29">
        <v>-1295.5042368946195</v>
      </c>
      <c r="V557" s="29">
        <v>4571.2328978172527</v>
      </c>
      <c r="W557" s="29">
        <v>4263.2488083335302</v>
      </c>
      <c r="X557" s="4">
        <v>-0.32640282091965056</v>
      </c>
      <c r="Y557" s="4">
        <v>-0.11900056345178751</v>
      </c>
      <c r="Z557" s="4">
        <v>-2.3029155910247144E-2</v>
      </c>
      <c r="AA557" s="3">
        <f t="shared" si="184"/>
        <v>0.34818138610225396</v>
      </c>
      <c r="AB557" s="3">
        <f t="shared" si="187"/>
        <v>9.5543311330850283E-3</v>
      </c>
      <c r="AC557" s="3">
        <f t="shared" si="185"/>
        <v>3.4370531293705923E-2</v>
      </c>
      <c r="AD557" s="48"/>
      <c r="AE557" s="46">
        <f t="shared" si="180"/>
        <v>42.092148998133808</v>
      </c>
      <c r="AF557" s="46">
        <f t="shared" si="181"/>
        <v>-248.53985495858888</v>
      </c>
      <c r="AG557" s="47">
        <f t="shared" si="182"/>
        <v>14985.934066971822</v>
      </c>
      <c r="AH557" s="45" t="str">
        <f t="shared" si="186"/>
        <v>-248.53985,42.09215,14986</v>
      </c>
      <c r="AI557" s="44">
        <f t="shared" si="188"/>
        <v>1021.3243772155223</v>
      </c>
    </row>
    <row r="558" spans="1:35" ht="18" customHeight="1" x14ac:dyDescent="0.25">
      <c r="A558" s="36">
        <f t="shared" si="183"/>
        <v>0.74592597222222212</v>
      </c>
      <c r="B558" s="42">
        <f t="shared" si="168"/>
        <v>42.092148991624782</v>
      </c>
      <c r="C558" s="43">
        <f t="shared" si="169"/>
        <v>111.46014512294578</v>
      </c>
      <c r="D558" s="18">
        <f t="shared" si="170"/>
        <v>14.951524324893398</v>
      </c>
      <c r="E558" s="21" t="str">
        <f t="shared" si="171"/>
        <v>Umbra</v>
      </c>
      <c r="F558" s="23">
        <f>IF($E558&lt;&gt;"Umbra",fracil2($S$2,$S$3,$S$4,$A558,$Q$2,$O$3,$Q$4,$U558,$V558,$W558),0)</f>
        <v>0</v>
      </c>
      <c r="G558" s="19">
        <f t="shared" si="172"/>
        <v>69.299641944208489</v>
      </c>
      <c r="H558" s="19">
        <f t="shared" si="173"/>
        <v>-4.0364143369212755</v>
      </c>
      <c r="I558" s="19">
        <f t="shared" si="174"/>
        <v>-2.8283963875263805</v>
      </c>
      <c r="J558" s="28">
        <f t="shared" si="175"/>
        <v>5.5917104641475717E-3</v>
      </c>
      <c r="K558" s="24">
        <f t="shared" si="176"/>
        <v>1049.1111969707663</v>
      </c>
      <c r="L558" s="32">
        <f t="shared" si="177"/>
        <v>0.55617986669224229</v>
      </c>
      <c r="M558" s="35">
        <f t="shared" si="178"/>
        <v>13.345484014526681</v>
      </c>
      <c r="O558" s="29">
        <f t="shared" si="179"/>
        <v>1046.5829067793384</v>
      </c>
      <c r="T558" s="48">
        <v>0.74592597222222212</v>
      </c>
      <c r="U558" s="29">
        <v>-1295.8316155562995</v>
      </c>
      <c r="V558" s="29">
        <v>4571.1135648104264</v>
      </c>
      <c r="W558" s="29">
        <v>4263.2257420859823</v>
      </c>
      <c r="X558" s="4">
        <v>-0.32641117115156715</v>
      </c>
      <c r="Y558" s="4">
        <v>-0.11895716518194888</v>
      </c>
      <c r="Z558" s="4">
        <v>-2.2966486454489097E-2</v>
      </c>
      <c r="AA558" s="3">
        <f t="shared" si="184"/>
        <v>0.34817024470900348</v>
      </c>
      <c r="AB558" s="3">
        <f t="shared" si="187"/>
        <v>9.5010199881823288E-3</v>
      </c>
      <c r="AC558" s="3">
        <f t="shared" si="185"/>
        <v>3.4277084790696188E-2</v>
      </c>
      <c r="AD558" s="48"/>
      <c r="AE558" s="46">
        <f t="shared" si="180"/>
        <v>42.092148991624782</v>
      </c>
      <c r="AF558" s="46">
        <f t="shared" si="181"/>
        <v>-248.53985487705421</v>
      </c>
      <c r="AG558" s="47">
        <f t="shared" si="182"/>
        <v>14951.524324893398</v>
      </c>
      <c r="AH558" s="45" t="str">
        <f t="shared" si="186"/>
        <v>-248.53985,42.09215,14952</v>
      </c>
      <c r="AI558" s="44">
        <f t="shared" si="188"/>
        <v>1021.3243772155223</v>
      </c>
    </row>
    <row r="559" spans="1:35" ht="18" customHeight="1" x14ac:dyDescent="0.25">
      <c r="A559" s="36">
        <f t="shared" si="183"/>
        <v>0.74593759259259251</v>
      </c>
      <c r="B559" s="42">
        <f t="shared" si="168"/>
        <v>42.092148985134919</v>
      </c>
      <c r="C559" s="43">
        <f t="shared" si="169"/>
        <v>111.46014460522485</v>
      </c>
      <c r="D559" s="18">
        <f t="shared" si="170"/>
        <v>14.917178809075267</v>
      </c>
      <c r="E559" s="21" t="str">
        <f t="shared" si="171"/>
        <v>Umbra</v>
      </c>
      <c r="F559" s="23">
        <f>IF($E559&lt;&gt;"Umbra",fracil2($S$2,$S$3,$S$4,$A559,$Q$2,$O$3,$Q$4,$U559,$V559,$W559),0)</f>
        <v>0</v>
      </c>
      <c r="G559" s="19">
        <f t="shared" si="172"/>
        <v>69.299647562242157</v>
      </c>
      <c r="H559" s="19">
        <f t="shared" si="173"/>
        <v>-4.038281396091258</v>
      </c>
      <c r="I559" s="19">
        <f t="shared" si="174"/>
        <v>-2.830263446696363</v>
      </c>
      <c r="J559" s="28">
        <f t="shared" si="175"/>
        <v>5.5873180063405357E-3</v>
      </c>
      <c r="K559" s="24">
        <f t="shared" si="176"/>
        <v>1049.1078984685755</v>
      </c>
      <c r="L559" s="32">
        <f t="shared" si="177"/>
        <v>0.55619548263275209</v>
      </c>
      <c r="M559" s="35">
        <f t="shared" si="178"/>
        <v>13.344230709704815</v>
      </c>
      <c r="O559" s="29">
        <f t="shared" si="179"/>
        <v>1046.5828649905479</v>
      </c>
      <c r="T559" s="48">
        <v>0.74593759259259251</v>
      </c>
      <c r="U559" s="29">
        <v>-1296.159282208022</v>
      </c>
      <c r="V559" s="29">
        <v>4570.9941732585557</v>
      </c>
      <c r="W559" s="29">
        <v>4263.2027188924894</v>
      </c>
      <c r="X559" s="4">
        <v>-0.32641943490881509</v>
      </c>
      <c r="Y559" s="4">
        <v>-0.11891411132148863</v>
      </c>
      <c r="Z559" s="4">
        <v>-2.290411847226459E-2</v>
      </c>
      <c r="AA559" s="3">
        <f t="shared" si="184"/>
        <v>0.34815917624064008</v>
      </c>
      <c r="AB559" s="3">
        <f t="shared" si="187"/>
        <v>9.4458741124140988E-3</v>
      </c>
      <c r="AC559" s="3">
        <f t="shared" si="185"/>
        <v>3.4184088044183505E-2</v>
      </c>
      <c r="AD559" s="48"/>
      <c r="AE559" s="46">
        <f t="shared" si="180"/>
        <v>42.092148985134919</v>
      </c>
      <c r="AF559" s="46">
        <f t="shared" si="181"/>
        <v>-248.53985539477515</v>
      </c>
      <c r="AG559" s="47">
        <f t="shared" si="182"/>
        <v>14917.178809075267</v>
      </c>
      <c r="AH559" s="45" t="str">
        <f t="shared" si="186"/>
        <v>-248.53986,42.09215,14917</v>
      </c>
      <c r="AI559" s="44">
        <f t="shared" si="188"/>
        <v>1021.3243772155223</v>
      </c>
    </row>
    <row r="560" spans="1:35" ht="18" customHeight="1" x14ac:dyDescent="0.25">
      <c r="A560" s="36">
        <f t="shared" si="183"/>
        <v>0.74594910879629628</v>
      </c>
      <c r="B560" s="42">
        <f t="shared" si="168"/>
        <v>42.092148978728751</v>
      </c>
      <c r="C560" s="43">
        <f t="shared" si="169"/>
        <v>111.46014309836212</v>
      </c>
      <c r="D560" s="18">
        <f t="shared" si="170"/>
        <v>14.883241152549999</v>
      </c>
      <c r="E560" s="21" t="str">
        <f t="shared" si="171"/>
        <v>Umbra</v>
      </c>
      <c r="F560" s="23">
        <f>IF($E560&lt;&gt;"Umbra",fracil2($S$2,$S$3,$S$4,$A560,$Q$2,$O$3,$Q$4,$U560,$V560,$W560),0)</f>
        <v>0</v>
      </c>
      <c r="G560" s="19">
        <f t="shared" si="172"/>
        <v>69.299652100541138</v>
      </c>
      <c r="H560" s="19">
        <f t="shared" si="173"/>
        <v>-4.0401258820769437</v>
      </c>
      <c r="I560" s="19">
        <f t="shared" si="174"/>
        <v>-2.8321079326820486</v>
      </c>
      <c r="J560" s="28">
        <f t="shared" si="175"/>
        <v>5.5829916461436514E-3</v>
      </c>
      <c r="K560" s="24">
        <f t="shared" si="176"/>
        <v>1049.1045601555129</v>
      </c>
      <c r="L560" s="32">
        <f t="shared" si="177"/>
        <v>0.55621094809683791</v>
      </c>
      <c r="M560" s="35">
        <f t="shared" si="178"/>
        <v>13.342993291150288</v>
      </c>
      <c r="O560" s="29">
        <f t="shared" si="179"/>
        <v>1046.5827436735947</v>
      </c>
      <c r="T560" s="48">
        <v>0.74594910879629628</v>
      </c>
      <c r="U560" s="29">
        <v>-1296.4839421786012</v>
      </c>
      <c r="V560" s="29">
        <v>4570.8759226497987</v>
      </c>
      <c r="W560" s="29">
        <v>4263.1799691041924</v>
      </c>
      <c r="X560" s="4">
        <v>-0.3264275309626995</v>
      </c>
      <c r="Y560" s="4">
        <v>-0.11887182711624675</v>
      </c>
      <c r="Z560" s="4">
        <v>-2.2842671934463279E-2</v>
      </c>
      <c r="AA560" s="3">
        <f t="shared" si="184"/>
        <v>0.34814829011997822</v>
      </c>
      <c r="AB560" s="3">
        <f t="shared" si="187"/>
        <v>9.3904724214997626E-3</v>
      </c>
      <c r="AC560" s="3">
        <f t="shared" si="185"/>
        <v>3.4092465486480615E-2</v>
      </c>
      <c r="AD560" s="48"/>
      <c r="AE560" s="46">
        <f t="shared" si="180"/>
        <v>42.092148978728751</v>
      </c>
      <c r="AF560" s="46">
        <f t="shared" si="181"/>
        <v>-248.53985690163788</v>
      </c>
      <c r="AG560" s="47">
        <f t="shared" si="182"/>
        <v>14883.241152549999</v>
      </c>
      <c r="AH560" s="45" t="str">
        <f t="shared" si="186"/>
        <v>-248.53986,42.09215,14883</v>
      </c>
      <c r="AI560" s="44">
        <f t="shared" si="188"/>
        <v>1021.3245114743073</v>
      </c>
    </row>
    <row r="561" spans="1:35" ht="18" customHeight="1" x14ac:dyDescent="0.25">
      <c r="A561" s="36">
        <f t="shared" si="183"/>
        <v>0.74596074074074081</v>
      </c>
      <c r="B561" s="42">
        <f t="shared" si="168"/>
        <v>42.092148972275481</v>
      </c>
      <c r="C561" s="43">
        <f t="shared" si="169"/>
        <v>111.46014609915673</v>
      </c>
      <c r="D561" s="18">
        <f t="shared" si="170"/>
        <v>14.849017907497</v>
      </c>
      <c r="E561" s="21" t="str">
        <f t="shared" si="171"/>
        <v>Umbra</v>
      </c>
      <c r="F561" s="23">
        <f>IF($E561&lt;&gt;"Umbra",fracil2($S$2,$S$3,$S$4,$A561,$Q$2,$O$3,$Q$4,$U561,$V561,$W561),0)</f>
        <v>0</v>
      </c>
      <c r="G561" s="19">
        <f t="shared" si="172"/>
        <v>69.299661278031948</v>
      </c>
      <c r="H561" s="19">
        <f t="shared" si="173"/>
        <v>-4.0419877767800898</v>
      </c>
      <c r="I561" s="19">
        <f t="shared" si="174"/>
        <v>-2.8339698273851948</v>
      </c>
      <c r="J561" s="28">
        <f t="shared" si="175"/>
        <v>5.5786423667752837E-3</v>
      </c>
      <c r="K561" s="24">
        <f t="shared" si="176"/>
        <v>1049.1015585357734</v>
      </c>
      <c r="L561" s="32">
        <f t="shared" si="177"/>
        <v>0.55622655782002617</v>
      </c>
      <c r="M561" s="35">
        <f t="shared" si="178"/>
        <v>13.341740768716781</v>
      </c>
      <c r="O561" s="29">
        <f t="shared" si="179"/>
        <v>1046.5829847859318</v>
      </c>
      <c r="T561" s="48">
        <v>0.74596074074074081</v>
      </c>
      <c r="U561" s="29">
        <v>-1296.8122266171176</v>
      </c>
      <c r="V561" s="29">
        <v>4570.7563974427931</v>
      </c>
      <c r="W561" s="29">
        <v>4263.1570278748832</v>
      </c>
      <c r="X561" s="4">
        <v>-0.32643562483506944</v>
      </c>
      <c r="Y561" s="4">
        <v>-0.11882944804696434</v>
      </c>
      <c r="Z561" s="4">
        <v>-2.2780891001048419E-2</v>
      </c>
      <c r="AA561" s="3">
        <f t="shared" si="184"/>
        <v>0.3481373635210821</v>
      </c>
      <c r="AB561" s="3">
        <f t="shared" si="187"/>
        <v>9.3476068179377779E-3</v>
      </c>
      <c r="AC561" s="3">
        <f t="shared" si="185"/>
        <v>3.400034454086092E-2</v>
      </c>
      <c r="AD561" s="48"/>
      <c r="AE561" s="46">
        <f t="shared" si="180"/>
        <v>42.092148972275481</v>
      </c>
      <c r="AF561" s="46">
        <f t="shared" si="181"/>
        <v>-248.53985390084327</v>
      </c>
      <c r="AG561" s="47">
        <f t="shared" si="182"/>
        <v>14849.017907497</v>
      </c>
      <c r="AH561" s="45" t="str">
        <f t="shared" si="186"/>
        <v>-248.53985,42.09215,14849</v>
      </c>
      <c r="AI561" s="44">
        <f t="shared" si="188"/>
        <v>1021.3247799918788</v>
      </c>
    </row>
    <row r="562" spans="1:35" ht="18" customHeight="1" x14ac:dyDescent="0.25">
      <c r="A562" s="36">
        <f t="shared" si="183"/>
        <v>0.7459723611111112</v>
      </c>
      <c r="B562" s="42">
        <f t="shared" si="168"/>
        <v>42.092148965857675</v>
      </c>
      <c r="C562" s="43">
        <f t="shared" si="169"/>
        <v>111.46014592403178</v>
      </c>
      <c r="D562" s="18">
        <f t="shared" si="170"/>
        <v>14.814946732276439</v>
      </c>
      <c r="E562" s="21" t="str">
        <f t="shared" si="171"/>
        <v>Umbra</v>
      </c>
      <c r="F562" s="23">
        <f>IF($E562&lt;&gt;"Umbra",fracil2($S$2,$S$3,$S$4,$A562,$Q$2,$O$3,$Q$4,$U562,$V562,$W562),0)</f>
        <v>0</v>
      </c>
      <c r="G562" s="19">
        <f t="shared" si="172"/>
        <v>69.299667195763888</v>
      </c>
      <c r="H562" s="19">
        <f t="shared" si="173"/>
        <v>-4.0438400972112776</v>
      </c>
      <c r="I562" s="19">
        <f t="shared" si="174"/>
        <v>-2.8358221478163825</v>
      </c>
      <c r="J562" s="28">
        <f t="shared" si="175"/>
        <v>5.5743265888901425E-3</v>
      </c>
      <c r="K562" s="24">
        <f t="shared" si="176"/>
        <v>1049.0983169069846</v>
      </c>
      <c r="L562" s="32">
        <f t="shared" si="177"/>
        <v>0.55624214173299125</v>
      </c>
      <c r="M562" s="35">
        <f t="shared" si="178"/>
        <v>13.340497052174355</v>
      </c>
      <c r="O562" s="29">
        <f t="shared" si="179"/>
        <v>1046.5829705447748</v>
      </c>
      <c r="T562" s="48">
        <v>0.7459723611111112</v>
      </c>
      <c r="U562" s="29">
        <v>-1297.1399446577132</v>
      </c>
      <c r="V562" s="29">
        <v>4570.6371237149833</v>
      </c>
      <c r="W562" s="29">
        <v>4263.1341885847187</v>
      </c>
      <c r="X562" s="4">
        <v>-0.32644361287471668</v>
      </c>
      <c r="Y562" s="4">
        <v>-0.11878751653344465</v>
      </c>
      <c r="Z562" s="4">
        <v>-2.2719565675465753E-2</v>
      </c>
      <c r="AA562" s="3">
        <f t="shared" si="184"/>
        <v>0.34812653609767108</v>
      </c>
      <c r="AB562" s="3">
        <f t="shared" si="187"/>
        <v>9.2878908487088411E-3</v>
      </c>
      <c r="AC562" s="3">
        <f t="shared" si="185"/>
        <v>3.3908903174967669E-2</v>
      </c>
      <c r="AD562" s="48"/>
      <c r="AE562" s="46">
        <f t="shared" si="180"/>
        <v>42.092148965857675</v>
      </c>
      <c r="AF562" s="46">
        <f t="shared" si="181"/>
        <v>-248.53985407596821</v>
      </c>
      <c r="AG562" s="47">
        <f t="shared" si="182"/>
        <v>14814.946732276439</v>
      </c>
      <c r="AH562" s="45" t="str">
        <f t="shared" si="186"/>
        <v>-248.53985,42.09215,14815</v>
      </c>
      <c r="AI562" s="44">
        <f t="shared" si="188"/>
        <v>1021.3247799918788</v>
      </c>
    </row>
    <row r="563" spans="1:35" ht="18" customHeight="1" x14ac:dyDescent="0.25">
      <c r="A563" s="36">
        <f t="shared" si="183"/>
        <v>0.74598386574074071</v>
      </c>
      <c r="B563" s="42">
        <f t="shared" si="168"/>
        <v>42.092148959527307</v>
      </c>
      <c r="C563" s="43">
        <f t="shared" si="169"/>
        <v>111.46014581673701</v>
      </c>
      <c r="D563" s="18">
        <f t="shared" si="170"/>
        <v>14.781304589141655</v>
      </c>
      <c r="E563" s="21" t="str">
        <f t="shared" si="171"/>
        <v>Umbra</v>
      </c>
      <c r="F563" s="23">
        <f>IF($E563&lt;&gt;"Umbra",fracil2($S$2,$S$3,$S$4,$A563,$Q$2,$O$3,$Q$4,$U563,$V563,$W563),0)</f>
        <v>0</v>
      </c>
      <c r="G563" s="19">
        <f t="shared" si="172"/>
        <v>69.299673105798533</v>
      </c>
      <c r="H563" s="19">
        <f t="shared" si="173"/>
        <v>-4.0456691312349538</v>
      </c>
      <c r="I563" s="19">
        <f t="shared" si="174"/>
        <v>-2.8376511818400587</v>
      </c>
      <c r="J563" s="28">
        <f t="shared" si="175"/>
        <v>5.5700787464237535E-3</v>
      </c>
      <c r="K563" s="24">
        <f t="shared" si="176"/>
        <v>1049.0951224535579</v>
      </c>
      <c r="L563" s="32">
        <f t="shared" si="177"/>
        <v>0.55625756000688698</v>
      </c>
      <c r="M563" s="35">
        <f t="shared" si="178"/>
        <v>13.339268905050609</v>
      </c>
      <c r="O563" s="29">
        <f t="shared" si="179"/>
        <v>1046.5829617595866</v>
      </c>
      <c r="T563" s="48">
        <v>0.74598386574074071</v>
      </c>
      <c r="U563" s="29">
        <v>-1297.4644116618751</v>
      </c>
      <c r="V563" s="29">
        <v>4570.5190773550275</v>
      </c>
      <c r="W563" s="29">
        <v>4263.1116368927114</v>
      </c>
      <c r="X563" s="4">
        <v>-0.32645143162811818</v>
      </c>
      <c r="Y563" s="4">
        <v>-0.11874636776854156</v>
      </c>
      <c r="Z563" s="4">
        <v>-2.2659190596426439E-2</v>
      </c>
      <c r="AA563" s="3">
        <f t="shared" si="184"/>
        <v>0.348115894478771</v>
      </c>
      <c r="AB563" s="3">
        <f t="shared" si="187"/>
        <v>9.2359421648899025E-3</v>
      </c>
      <c r="AC563" s="3">
        <f t="shared" si="185"/>
        <v>3.3818878931992903E-2</v>
      </c>
      <c r="AD563" s="48"/>
      <c r="AE563" s="46">
        <f t="shared" si="180"/>
        <v>42.092148959527307</v>
      </c>
      <c r="AF563" s="46">
        <f t="shared" si="181"/>
        <v>-248.539854183263</v>
      </c>
      <c r="AG563" s="47">
        <f t="shared" si="182"/>
        <v>14781.304589141655</v>
      </c>
      <c r="AH563" s="45" t="str">
        <f t="shared" si="186"/>
        <v>-248.53985,42.09215,14781</v>
      </c>
      <c r="AI563" s="44">
        <f t="shared" si="188"/>
        <v>1021.3247799918788</v>
      </c>
    </row>
    <row r="564" spans="1:35" ht="18" customHeight="1" x14ac:dyDescent="0.25">
      <c r="A564" s="36">
        <f t="shared" si="183"/>
        <v>0.74599542824074072</v>
      </c>
      <c r="B564" s="42">
        <f t="shared" si="168"/>
        <v>42.092148953187518</v>
      </c>
      <c r="C564" s="43">
        <f t="shared" si="169"/>
        <v>111.4601463345702</v>
      </c>
      <c r="D564" s="18">
        <f t="shared" si="170"/>
        <v>14.747578108506787</v>
      </c>
      <c r="E564" s="21" t="str">
        <f t="shared" si="171"/>
        <v>Umbra</v>
      </c>
      <c r="F564" s="23">
        <f>IF($E564&lt;&gt;"Umbra",fracil2($S$2,$S$3,$S$4,$A564,$Q$2,$O$3,$Q$4,$U564,$V564,$W564),0)</f>
        <v>0</v>
      </c>
      <c r="G564" s="19">
        <f t="shared" si="172"/>
        <v>69.299679667226613</v>
      </c>
      <c r="H564" s="19">
        <f t="shared" si="173"/>
        <v>-4.0475030208302689</v>
      </c>
      <c r="I564" s="19">
        <f t="shared" si="174"/>
        <v>-2.8394850714353739</v>
      </c>
      <c r="J564" s="28">
        <f t="shared" si="175"/>
        <v>5.5658337172181218E-3</v>
      </c>
      <c r="K564" s="24">
        <f t="shared" si="176"/>
        <v>1049.0919713812059</v>
      </c>
      <c r="L564" s="32">
        <f t="shared" si="177"/>
        <v>0.5562730453789847</v>
      </c>
      <c r="M564" s="35">
        <f t="shared" si="178"/>
        <v>13.338037009745134</v>
      </c>
      <c r="O564" s="29">
        <f t="shared" si="179"/>
        <v>1046.5830032365027</v>
      </c>
      <c r="T564" s="48">
        <v>0.74599542824074072</v>
      </c>
      <c r="U564" s="29">
        <v>-1297.7905675331947</v>
      </c>
      <c r="V564" s="29">
        <v>4570.4004604270958</v>
      </c>
      <c r="W564" s="29">
        <v>4263.0890286663971</v>
      </c>
      <c r="X564" s="4">
        <v>-0.32645920150592178</v>
      </c>
      <c r="Y564" s="4">
        <v>-0.11870536964896293</v>
      </c>
      <c r="Z564" s="4">
        <v>-2.2598841329505365E-2</v>
      </c>
      <c r="AA564" s="3">
        <f t="shared" si="184"/>
        <v>0.3481052752556576</v>
      </c>
      <c r="AB564" s="3">
        <f t="shared" si="187"/>
        <v>9.1857645849450741E-3</v>
      </c>
      <c r="AC564" s="3">
        <f t="shared" si="185"/>
        <v>3.3728893400080402E-2</v>
      </c>
      <c r="AD564" s="48"/>
      <c r="AE564" s="46">
        <f t="shared" si="180"/>
        <v>42.092148953187518</v>
      </c>
      <c r="AF564" s="46">
        <f t="shared" si="181"/>
        <v>-248.5398536654298</v>
      </c>
      <c r="AG564" s="47">
        <f t="shared" si="182"/>
        <v>14747.578108506787</v>
      </c>
      <c r="AH564" s="45" t="str">
        <f t="shared" si="186"/>
        <v>-248.53985,42.09215,14748</v>
      </c>
      <c r="AI564" s="44">
        <f t="shared" si="188"/>
        <v>1021.3247799918788</v>
      </c>
    </row>
    <row r="565" spans="1:35" ht="18" customHeight="1" x14ac:dyDescent="0.25">
      <c r="A565" s="36">
        <f t="shared" si="183"/>
        <v>0.74600699074074084</v>
      </c>
      <c r="B565" s="42">
        <f t="shared" si="168"/>
        <v>42.092148946872214</v>
      </c>
      <c r="C565" s="43">
        <f t="shared" si="169"/>
        <v>111.46014623207614</v>
      </c>
      <c r="D565" s="18">
        <f t="shared" si="170"/>
        <v>14.713946305982063</v>
      </c>
      <c r="E565" s="21" t="str">
        <f t="shared" si="171"/>
        <v>Umbra</v>
      </c>
      <c r="F565" s="23">
        <f>IF($E565&lt;&gt;"Umbra",fracil2($S$2,$S$3,$S$4,$A565,$Q$2,$O$3,$Q$4,$U565,$V565,$W565),0)</f>
        <v>0</v>
      </c>
      <c r="G565" s="19">
        <f t="shared" si="172"/>
        <v>69.299685580346221</v>
      </c>
      <c r="H565" s="19">
        <f t="shared" si="173"/>
        <v>-4.0493315168416082</v>
      </c>
      <c r="I565" s="19">
        <f t="shared" si="174"/>
        <v>-2.8413135674467132</v>
      </c>
      <c r="J565" s="28">
        <f t="shared" si="175"/>
        <v>5.561614073000723E-3</v>
      </c>
      <c r="K565" s="24">
        <f t="shared" si="176"/>
        <v>1049.088780433721</v>
      </c>
      <c r="L565" s="32">
        <f t="shared" si="177"/>
        <v>0.55628852047718669</v>
      </c>
      <c r="M565" s="35">
        <f t="shared" si="178"/>
        <v>13.336809187444961</v>
      </c>
      <c r="O565" s="29">
        <f t="shared" si="179"/>
        <v>1046.5829948376763</v>
      </c>
      <c r="T565" s="48">
        <v>0.74600699074074084</v>
      </c>
      <c r="U565" s="29">
        <v>-1298.1166827220889</v>
      </c>
      <c r="V565" s="29">
        <v>4570.2819018716109</v>
      </c>
      <c r="W565" s="29">
        <v>4263.0664839072151</v>
      </c>
      <c r="X565" s="4">
        <v>-0.32646688155376957</v>
      </c>
      <c r="Y565" s="4">
        <v>-0.11866473865109251</v>
      </c>
      <c r="Z565" s="4">
        <v>-2.253883702622907E-2</v>
      </c>
      <c r="AA565" s="3">
        <f t="shared" si="184"/>
        <v>0.34809473441158229</v>
      </c>
      <c r="AB565" s="3">
        <f t="shared" si="187"/>
        <v>9.1332348982843137E-3</v>
      </c>
      <c r="AC565" s="3">
        <f t="shared" si="185"/>
        <v>3.3639422459168331E-2</v>
      </c>
      <c r="AD565" s="48"/>
      <c r="AE565" s="46">
        <f t="shared" si="180"/>
        <v>42.092148946872214</v>
      </c>
      <c r="AF565" s="46">
        <f t="shared" si="181"/>
        <v>-248.53985376792386</v>
      </c>
      <c r="AG565" s="47">
        <f t="shared" si="182"/>
        <v>14713.946305982063</v>
      </c>
      <c r="AH565" s="45" t="str">
        <f t="shared" si="186"/>
        <v>-248.53985,42.09215,14714</v>
      </c>
      <c r="AI565" s="44">
        <f t="shared" si="188"/>
        <v>1021.3247799918788</v>
      </c>
    </row>
    <row r="566" spans="1:35" ht="18" customHeight="1" x14ac:dyDescent="0.25">
      <c r="A566" s="36">
        <f t="shared" si="183"/>
        <v>0.74601851851851853</v>
      </c>
      <c r="B566" s="42">
        <f t="shared" si="168"/>
        <v>42.092148940598996</v>
      </c>
      <c r="C566" s="43">
        <f t="shared" si="169"/>
        <v>111.46014614270453</v>
      </c>
      <c r="D566" s="18">
        <f t="shared" si="170"/>
        <v>14.680504155267954</v>
      </c>
      <c r="E566" s="21" t="str">
        <f t="shared" si="171"/>
        <v>Umbra</v>
      </c>
      <c r="F566" s="23">
        <f>IF($E566&lt;&gt;"Umbra",fracil2($S$2,$S$3,$S$4,$A566,$Q$2,$O$3,$Q$4,$U566,$V566,$W566),0)</f>
        <v>0</v>
      </c>
      <c r="G566" s="19">
        <f t="shared" si="172"/>
        <v>69.299691472913736</v>
      </c>
      <c r="H566" s="19">
        <f t="shared" si="173"/>
        <v>-4.0511497180753038</v>
      </c>
      <c r="I566" s="19">
        <f t="shared" si="174"/>
        <v>-2.8431317686804087</v>
      </c>
      <c r="J566" s="28">
        <f t="shared" si="175"/>
        <v>5.5574317018997951E-3</v>
      </c>
      <c r="K566" s="24">
        <f t="shared" si="176"/>
        <v>1049.085609549126</v>
      </c>
      <c r="L566" s="32">
        <f t="shared" si="177"/>
        <v>0.55630393885704432</v>
      </c>
      <c r="M566" s="35">
        <f t="shared" si="178"/>
        <v>13.335588252265961</v>
      </c>
      <c r="O566" s="29">
        <f t="shared" si="179"/>
        <v>1046.5829874949895</v>
      </c>
      <c r="T566" s="48">
        <v>0.74601851851851853</v>
      </c>
      <c r="U566" s="29">
        <v>-1298.4418272480618</v>
      </c>
      <c r="V566" s="29">
        <v>4570.1637391849054</v>
      </c>
      <c r="W566" s="29">
        <v>4263.0440662798628</v>
      </c>
      <c r="X566" s="4">
        <v>-0.32647444995665537</v>
      </c>
      <c r="Y566" s="4">
        <v>-0.1186245896937048</v>
      </c>
      <c r="Z566" s="4">
        <v>-2.2479347942488275E-2</v>
      </c>
      <c r="AA566" s="3">
        <f t="shared" si="184"/>
        <v>0.34808430133865553</v>
      </c>
      <c r="AB566" s="3">
        <f t="shared" si="187"/>
        <v>9.082064390873534E-3</v>
      </c>
      <c r="AC566" s="3">
        <f t="shared" si="185"/>
        <v>3.3550719970645793E-2</v>
      </c>
      <c r="AD566" s="48"/>
      <c r="AE566" s="46">
        <f t="shared" si="180"/>
        <v>42.092148940598996</v>
      </c>
      <c r="AF566" s="46">
        <f t="shared" si="181"/>
        <v>-248.53985385729547</v>
      </c>
      <c r="AG566" s="47">
        <f t="shared" si="182"/>
        <v>14680.504155267954</v>
      </c>
      <c r="AH566" s="45" t="str">
        <f t="shared" si="186"/>
        <v>-248.53985,42.09215,14681</v>
      </c>
      <c r="AI566" s="44">
        <f t="shared" si="188"/>
        <v>1021.3247799918788</v>
      </c>
    </row>
    <row r="567" spans="1:35" ht="18" customHeight="1" x14ac:dyDescent="0.25">
      <c r="A567" s="36">
        <f t="shared" si="183"/>
        <v>0.74603015046296306</v>
      </c>
      <c r="B567" s="42">
        <f t="shared" si="168"/>
        <v>42.092148934291387</v>
      </c>
      <c r="C567" s="43">
        <f t="shared" si="169"/>
        <v>111.46014682497325</v>
      </c>
      <c r="D567" s="18">
        <f t="shared" si="170"/>
        <v>14.64684296338055</v>
      </c>
      <c r="E567" s="21" t="str">
        <f t="shared" si="171"/>
        <v>Umbra</v>
      </c>
      <c r="F567" s="23">
        <f>IF($E567&lt;&gt;"Umbra",fracil2($S$2,$S$3,$S$4,$A567,$Q$2,$O$3,$Q$4,$U567,$V567,$W567),0)</f>
        <v>0</v>
      </c>
      <c r="G567" s="19">
        <f t="shared" si="172"/>
        <v>69.299698190099463</v>
      </c>
      <c r="H567" s="19">
        <f t="shared" si="173"/>
        <v>-4.0529801590684169</v>
      </c>
      <c r="I567" s="19">
        <f t="shared" si="174"/>
        <v>-2.8449622096735219</v>
      </c>
      <c r="J567" s="28">
        <f t="shared" si="175"/>
        <v>5.5532349392577651E-3</v>
      </c>
      <c r="K567" s="24">
        <f t="shared" si="176"/>
        <v>1049.0824810912909</v>
      </c>
      <c r="L567" s="32">
        <f t="shared" si="177"/>
        <v>0.55631948614663329</v>
      </c>
      <c r="M567" s="35">
        <f t="shared" si="178"/>
        <v>13.334358499590769</v>
      </c>
      <c r="O567" s="29">
        <f t="shared" si="179"/>
        <v>1046.5830421938715</v>
      </c>
      <c r="T567" s="48">
        <v>0.74603015046296306</v>
      </c>
      <c r="U567" s="29">
        <v>-1298.76997784886</v>
      </c>
      <c r="V567" s="29">
        <v>4570.0445271663048</v>
      </c>
      <c r="W567" s="29">
        <v>4263.0215018209028</v>
      </c>
      <c r="X567" s="4">
        <v>-0.32648200111567521</v>
      </c>
      <c r="Y567" s="4">
        <v>-0.11858442528640201</v>
      </c>
      <c r="Z567" s="4">
        <v>-2.2419640436493627E-2</v>
      </c>
      <c r="AA567" s="3">
        <f t="shared" si="184"/>
        <v>0.3480738474092871</v>
      </c>
      <c r="AB567" s="3">
        <f t="shared" si="187"/>
        <v>9.0337572276807353E-3</v>
      </c>
      <c r="AC567" s="3">
        <f t="shared" si="185"/>
        <v>3.3461692022153593E-2</v>
      </c>
      <c r="AD567" s="48"/>
      <c r="AE567" s="46">
        <f t="shared" si="180"/>
        <v>42.092148934291387</v>
      </c>
      <c r="AF567" s="46">
        <f t="shared" si="181"/>
        <v>-248.53985317502674</v>
      </c>
      <c r="AG567" s="47">
        <f t="shared" si="182"/>
        <v>14646.84296338055</v>
      </c>
      <c r="AH567" s="45" t="str">
        <f t="shared" si="186"/>
        <v>-248.53985,42.09215,14647</v>
      </c>
      <c r="AI567" s="44">
        <f t="shared" si="188"/>
        <v>1021.3247799918788</v>
      </c>
    </row>
    <row r="568" spans="1:35" ht="18" customHeight="1" x14ac:dyDescent="0.25">
      <c r="A568" s="36">
        <f t="shared" si="183"/>
        <v>0.74604174768518516</v>
      </c>
      <c r="B568" s="42">
        <f t="shared" si="168"/>
        <v>42.092148928029992</v>
      </c>
      <c r="C568" s="43">
        <f t="shared" si="169"/>
        <v>111.4601445937116</v>
      </c>
      <c r="D568" s="18">
        <f t="shared" si="170"/>
        <v>14.61339436741855</v>
      </c>
      <c r="E568" s="21" t="str">
        <f t="shared" si="171"/>
        <v>Umbra</v>
      </c>
      <c r="F568" s="23">
        <f>IF($E568&lt;&gt;"Umbra",fracil2($S$2,$S$3,$S$4,$A568,$Q$2,$O$3,$Q$4,$U568,$V568,$W568),0)</f>
        <v>0</v>
      </c>
      <c r="G568" s="19">
        <f t="shared" si="172"/>
        <v>69.29970190377621</v>
      </c>
      <c r="H568" s="19">
        <f t="shared" si="173"/>
        <v>-4.0547978462099037</v>
      </c>
      <c r="I568" s="19">
        <f t="shared" si="174"/>
        <v>-2.8467798968150086</v>
      </c>
      <c r="J568" s="28">
        <f t="shared" si="175"/>
        <v>5.5490781766628899E-3</v>
      </c>
      <c r="K568" s="24">
        <f t="shared" si="176"/>
        <v>1049.0791393949432</v>
      </c>
      <c r="L568" s="32">
        <f t="shared" si="177"/>
        <v>0.55633497716077229</v>
      </c>
      <c r="M568" s="35">
        <f t="shared" si="178"/>
        <v>13.333139491127699</v>
      </c>
      <c r="O568" s="29">
        <f t="shared" si="179"/>
        <v>1046.5828626364835</v>
      </c>
      <c r="T568" s="48">
        <v>0.74604174768518516</v>
      </c>
      <c r="U568" s="29">
        <v>-1299.0969289696595</v>
      </c>
      <c r="V568" s="29">
        <v>4569.9257935959786</v>
      </c>
      <c r="W568" s="29">
        <v>4262.9990798741292</v>
      </c>
      <c r="X568" s="4">
        <v>-0.32648943725219276</v>
      </c>
      <c r="Y568" s="4">
        <v>-0.11854476369408209</v>
      </c>
      <c r="Z568" s="4">
        <v>-2.23604830218961E-2</v>
      </c>
      <c r="AA568" s="3">
        <f t="shared" si="184"/>
        <v>0.34806350690285215</v>
      </c>
      <c r="AB568" s="3">
        <f t="shared" si="187"/>
        <v>8.9773036503452801E-3</v>
      </c>
      <c r="AC568" s="3">
        <f t="shared" si="185"/>
        <v>3.3373484519680016E-2</v>
      </c>
      <c r="AD568" s="48"/>
      <c r="AE568" s="46">
        <f t="shared" si="180"/>
        <v>42.092148928029992</v>
      </c>
      <c r="AF568" s="46">
        <f t="shared" si="181"/>
        <v>-248.53985540628838</v>
      </c>
      <c r="AG568" s="47">
        <f t="shared" si="182"/>
        <v>14613.39436741855</v>
      </c>
      <c r="AH568" s="45" t="str">
        <f t="shared" si="186"/>
        <v>-248.53986,42.09215,14613</v>
      </c>
      <c r="AI568" s="44">
        <f t="shared" si="188"/>
        <v>1021.3249698624747</v>
      </c>
    </row>
    <row r="569" spans="1:35" ht="18" customHeight="1" x14ac:dyDescent="0.25">
      <c r="A569" s="36">
        <f t="shared" si="183"/>
        <v>0.74605334490740738</v>
      </c>
      <c r="B569" s="42">
        <f t="shared" si="168"/>
        <v>42.092148921783831</v>
      </c>
      <c r="C569" s="43">
        <f t="shared" si="169"/>
        <v>111.46014753024029</v>
      </c>
      <c r="D569" s="18">
        <f t="shared" si="170"/>
        <v>14.579992744528681</v>
      </c>
      <c r="E569" s="21" t="str">
        <f t="shared" si="171"/>
        <v>Umbra</v>
      </c>
      <c r="F569" s="23">
        <f>IF($E569&lt;&gt;"Umbra",fracil2($S$2,$S$3,$S$4,$A569,$Q$2,$O$3,$Q$4,$U569,$V569,$W569),0)</f>
        <v>0</v>
      </c>
      <c r="G569" s="19">
        <f t="shared" si="172"/>
        <v>69.299710869033319</v>
      </c>
      <c r="H569" s="19">
        <f t="shared" si="173"/>
        <v>-4.0566151290463397</v>
      </c>
      <c r="I569" s="19">
        <f t="shared" si="174"/>
        <v>-2.8485971796514447</v>
      </c>
      <c r="J569" s="28">
        <f t="shared" si="175"/>
        <v>5.5449400163107834E-3</v>
      </c>
      <c r="K569" s="24">
        <f t="shared" si="176"/>
        <v>1049.0762189614031</v>
      </c>
      <c r="L569" s="32">
        <f t="shared" si="177"/>
        <v>0.55635045729372323</v>
      </c>
      <c r="M569" s="35">
        <f t="shared" si="178"/>
        <v>13.331916843398668</v>
      </c>
      <c r="O569" s="29">
        <f t="shared" si="179"/>
        <v>1046.5830985868099</v>
      </c>
      <c r="T569" s="48">
        <v>0.74605334490740738</v>
      </c>
      <c r="U569" s="29">
        <v>-1299.4242913822686</v>
      </c>
      <c r="V569" s="29">
        <v>4569.8069529705144</v>
      </c>
      <c r="W569" s="29">
        <v>4262.976689415842</v>
      </c>
      <c r="X569" s="4">
        <v>-0.32649679514442487</v>
      </c>
      <c r="Y569" s="4">
        <v>-0.11850540842602919</v>
      </c>
      <c r="Z569" s="4">
        <v>-2.2301583255294327E-2</v>
      </c>
      <c r="AA569" s="3">
        <f t="shared" si="184"/>
        <v>0.3480532282302426</v>
      </c>
      <c r="AB569" s="3">
        <f t="shared" si="187"/>
        <v>8.9381822825390332E-3</v>
      </c>
      <c r="AC569" s="3">
        <f t="shared" si="185"/>
        <v>3.3285661408586568E-2</v>
      </c>
      <c r="AD569" s="48"/>
      <c r="AE569" s="46">
        <f t="shared" si="180"/>
        <v>42.092148921783831</v>
      </c>
      <c r="AF569" s="46">
        <f t="shared" si="181"/>
        <v>-248.53985246975969</v>
      </c>
      <c r="AG569" s="47">
        <f t="shared" si="182"/>
        <v>14579.992744528681</v>
      </c>
      <c r="AH569" s="45" t="str">
        <f t="shared" si="186"/>
        <v>-248.53985,42.09215,14580</v>
      </c>
      <c r="AI569" s="44">
        <f t="shared" si="188"/>
        <v>1021.3252210376639</v>
      </c>
    </row>
    <row r="570" spans="1:35" ht="18" customHeight="1" x14ac:dyDescent="0.25">
      <c r="A570" s="36">
        <f t="shared" si="183"/>
        <v>0.74606491898148153</v>
      </c>
      <c r="B570" s="42">
        <f t="shared" si="168"/>
        <v>42.092148915580793</v>
      </c>
      <c r="C570" s="43">
        <f t="shared" si="169"/>
        <v>111.46014511101616</v>
      </c>
      <c r="D570" s="18">
        <f t="shared" si="170"/>
        <v>14.546787862527708</v>
      </c>
      <c r="E570" s="21" t="str">
        <f t="shared" si="171"/>
        <v>Umbra</v>
      </c>
      <c r="F570" s="23">
        <f>IF($E570&lt;&gt;"Umbra",fracil2($S$2,$S$3,$S$4,$A570,$Q$2,$O$3,$Q$4,$U570,$V570,$W570),0)</f>
        <v>0</v>
      </c>
      <c r="G570" s="19">
        <f t="shared" si="172"/>
        <v>69.299714347839227</v>
      </c>
      <c r="H570" s="19">
        <f t="shared" si="173"/>
        <v>-4.0584195098766518</v>
      </c>
      <c r="I570" s="19">
        <f t="shared" si="174"/>
        <v>-2.8504015604817567</v>
      </c>
      <c r="J570" s="28">
        <f t="shared" si="175"/>
        <v>5.5408398340624655E-3</v>
      </c>
      <c r="K570" s="24">
        <f t="shared" si="176"/>
        <v>1049.0728872774105</v>
      </c>
      <c r="L570" s="32">
        <f t="shared" si="177"/>
        <v>0.55636589716778395</v>
      </c>
      <c r="M570" s="35">
        <f t="shared" si="178"/>
        <v>13.330706880227357</v>
      </c>
      <c r="O570" s="29">
        <f t="shared" si="179"/>
        <v>1046.582903918079</v>
      </c>
      <c r="T570" s="48">
        <v>0.74606491898148153</v>
      </c>
      <c r="U570" s="29">
        <v>-1299.7505896934404</v>
      </c>
      <c r="V570" s="29">
        <v>4569.6885403808365</v>
      </c>
      <c r="W570" s="29">
        <v>4262.9544308414588</v>
      </c>
      <c r="X570" s="4">
        <v>-0.3265040429201444</v>
      </c>
      <c r="Y570" s="4">
        <v>-0.11846653175714929</v>
      </c>
      <c r="Z570" s="4">
        <v>-2.2243201835574176E-2</v>
      </c>
      <c r="AA570" s="3">
        <f t="shared" si="184"/>
        <v>0.34804305655718121</v>
      </c>
      <c r="AB570" s="3">
        <f t="shared" si="187"/>
        <v>8.877218491889596E-3</v>
      </c>
      <c r="AC570" s="3">
        <f t="shared" si="185"/>
        <v>3.3198611404054529E-2</v>
      </c>
      <c r="AD570" s="48"/>
      <c r="AE570" s="46">
        <f t="shared" si="180"/>
        <v>42.092148915580793</v>
      </c>
      <c r="AF570" s="46">
        <f t="shared" si="181"/>
        <v>-248.53985488898383</v>
      </c>
      <c r="AG570" s="47">
        <f t="shared" si="182"/>
        <v>14546.787862527708</v>
      </c>
      <c r="AH570" s="45" t="str">
        <f t="shared" si="186"/>
        <v>-248.53985,42.09215,14547</v>
      </c>
      <c r="AI570" s="44">
        <f t="shared" si="188"/>
        <v>1021.3254109082599</v>
      </c>
    </row>
    <row r="571" spans="1:35" ht="18" customHeight="1" x14ac:dyDescent="0.25">
      <c r="A571" s="36">
        <f t="shared" si="183"/>
        <v>0.74607652777777778</v>
      </c>
      <c r="B571" s="42">
        <f t="shared" si="168"/>
        <v>42.092148909376711</v>
      </c>
      <c r="C571" s="43">
        <f t="shared" si="169"/>
        <v>111.46014617117345</v>
      </c>
      <c r="D571" s="18">
        <f t="shared" si="170"/>
        <v>14.513542928532843</v>
      </c>
      <c r="E571" s="21" t="str">
        <f t="shared" si="171"/>
        <v>Umbra</v>
      </c>
      <c r="F571" s="23">
        <f>IF($E571&lt;&gt;"Umbra",fracil2($S$2,$S$3,$S$4,$A571,$Q$2,$O$3,$Q$4,$U571,$V571,$W571),0)</f>
        <v>0</v>
      </c>
      <c r="G571" s="19">
        <f t="shared" si="172"/>
        <v>69.299721375270977</v>
      </c>
      <c r="H571" s="19">
        <f t="shared" si="173"/>
        <v>-4.0602275184180199</v>
      </c>
      <c r="I571" s="19">
        <f t="shared" si="174"/>
        <v>-2.8522095690231248</v>
      </c>
      <c r="J571" s="28">
        <f t="shared" si="175"/>
        <v>5.5367474318614779E-3</v>
      </c>
      <c r="K571" s="24">
        <f t="shared" si="176"/>
        <v>1049.0698327808836</v>
      </c>
      <c r="L571" s="32">
        <f t="shared" si="177"/>
        <v>0.55638137280162814</v>
      </c>
      <c r="M571" s="35">
        <f t="shared" si="178"/>
        <v>13.329491842546338</v>
      </c>
      <c r="O571" s="29">
        <f t="shared" si="179"/>
        <v>1046.5829890030275</v>
      </c>
      <c r="T571" s="48">
        <v>0.74607652777777778</v>
      </c>
      <c r="U571" s="29">
        <v>-1300.0781466635276</v>
      </c>
      <c r="V571" s="29">
        <v>4569.5697125568795</v>
      </c>
      <c r="W571" s="29">
        <v>4262.9321454191404</v>
      </c>
      <c r="X571" s="4">
        <v>-0.32651123246946445</v>
      </c>
      <c r="Y571" s="4">
        <v>-0.1184278555309991</v>
      </c>
      <c r="Z571" s="4">
        <v>-2.2184921865872911E-2</v>
      </c>
      <c r="AA571" s="3">
        <f t="shared" si="184"/>
        <v>0.34803291892088989</v>
      </c>
      <c r="AB571" s="3">
        <f t="shared" si="187"/>
        <v>8.8352642003196938E-3</v>
      </c>
      <c r="AC571" s="3">
        <f t="shared" si="185"/>
        <v>3.3111712887504315E-2</v>
      </c>
      <c r="AD571" s="48"/>
      <c r="AE571" s="46">
        <f t="shared" si="180"/>
        <v>42.092148909376711</v>
      </c>
      <c r="AF571" s="46">
        <f t="shared" si="181"/>
        <v>-248.53985382882655</v>
      </c>
      <c r="AG571" s="47">
        <f t="shared" si="182"/>
        <v>14513.542928532843</v>
      </c>
      <c r="AH571" s="45" t="str">
        <f t="shared" si="186"/>
        <v>-248.53985,42.09215,14514</v>
      </c>
      <c r="AI571" s="44">
        <f t="shared" si="188"/>
        <v>1021.3254109082599</v>
      </c>
    </row>
    <row r="572" spans="1:35" ht="18" customHeight="1" x14ac:dyDescent="0.25">
      <c r="A572" s="36">
        <f t="shared" si="183"/>
        <v>0.74608807870370375</v>
      </c>
      <c r="B572" s="42">
        <f t="shared" si="168"/>
        <v>42.092148903227447</v>
      </c>
      <c r="C572" s="43">
        <f t="shared" si="169"/>
        <v>111.46014610845779</v>
      </c>
      <c r="D572" s="18">
        <f t="shared" si="170"/>
        <v>14.480558873958216</v>
      </c>
      <c r="E572" s="21" t="str">
        <f t="shared" si="171"/>
        <v>Umbra</v>
      </c>
      <c r="F572" s="23">
        <f>IF($E572&lt;&gt;"Umbra",fracil2($S$2,$S$3,$S$4,$A572,$Q$2,$O$3,$Q$4,$U572,$V572,$W572),0)</f>
        <v>0</v>
      </c>
      <c r="G572" s="19">
        <f t="shared" si="172"/>
        <v>69.299727213150192</v>
      </c>
      <c r="H572" s="19">
        <f t="shared" si="173"/>
        <v>-4.0620208889072273</v>
      </c>
      <c r="I572" s="19">
        <f t="shared" si="174"/>
        <v>-2.8540029395123323</v>
      </c>
      <c r="J572" s="28">
        <f t="shared" si="175"/>
        <v>5.5327001268261032E-3</v>
      </c>
      <c r="K572" s="24">
        <f t="shared" si="176"/>
        <v>1049.0667136161837</v>
      </c>
      <c r="L572" s="32">
        <f t="shared" si="177"/>
        <v>0.55639676148724737</v>
      </c>
      <c r="M572" s="35">
        <f t="shared" si="178"/>
        <v>13.328287465797004</v>
      </c>
      <c r="O572" s="29">
        <f t="shared" si="179"/>
        <v>1046.5829838066718</v>
      </c>
      <c r="T572" s="48">
        <v>0.74608807870370375</v>
      </c>
      <c r="U572" s="29">
        <v>-1300.4039905918598</v>
      </c>
      <c r="V572" s="29">
        <v>4569.451547076922</v>
      </c>
      <c r="W572" s="29">
        <v>4262.9100348753518</v>
      </c>
      <c r="X572" s="4">
        <v>-0.326518299564446</v>
      </c>
      <c r="Y572" s="4">
        <v>-0.11838972661507559</v>
      </c>
      <c r="Z572" s="4">
        <v>-2.2127268335081718E-2</v>
      </c>
      <c r="AA572" s="3">
        <f t="shared" si="184"/>
        <v>0.34802290631856742</v>
      </c>
      <c r="AB572" s="3">
        <f t="shared" si="187"/>
        <v>8.7840625935034049E-3</v>
      </c>
      <c r="AC572" s="3">
        <f t="shared" si="185"/>
        <v>3.3025748642747647E-2</v>
      </c>
      <c r="AD572" s="48"/>
      <c r="AE572" s="46">
        <f t="shared" si="180"/>
        <v>42.092148903227447</v>
      </c>
      <c r="AF572" s="46">
        <f t="shared" si="181"/>
        <v>-248.53985389154221</v>
      </c>
      <c r="AG572" s="47">
        <f t="shared" si="182"/>
        <v>14480.558873958216</v>
      </c>
      <c r="AH572" s="45" t="str">
        <f t="shared" si="186"/>
        <v>-248.53985,42.09215,14481</v>
      </c>
      <c r="AI572" s="44">
        <f t="shared" si="188"/>
        <v>1021.3254109082599</v>
      </c>
    </row>
    <row r="573" spans="1:35" ht="18" customHeight="1" x14ac:dyDescent="0.25">
      <c r="A573" s="36">
        <f t="shared" si="183"/>
        <v>0.74609965277777779</v>
      </c>
      <c r="B573" s="42">
        <f t="shared" si="168"/>
        <v>42.09214889708862</v>
      </c>
      <c r="C573" s="43">
        <f t="shared" si="169"/>
        <v>111.46014578209045</v>
      </c>
      <c r="D573" s="18">
        <f t="shared" si="170"/>
        <v>14.44759663876539</v>
      </c>
      <c r="E573" s="21" t="str">
        <f t="shared" si="171"/>
        <v>Umbra</v>
      </c>
      <c r="F573" s="23">
        <f>IF($E573&lt;&gt;"Umbra",fracil2($S$2,$S$3,$S$4,$A573,$Q$2,$O$3,$Q$4,$U573,$V573,$W573),0)</f>
        <v>0</v>
      </c>
      <c r="G573" s="19">
        <f t="shared" si="172"/>
        <v>69.299732778794763</v>
      </c>
      <c r="H573" s="19">
        <f t="shared" si="173"/>
        <v>-4.0638129747606531</v>
      </c>
      <c r="I573" s="19">
        <f t="shared" si="174"/>
        <v>-2.855795025365758</v>
      </c>
      <c r="J573" s="28">
        <f t="shared" si="175"/>
        <v>5.5286682967141147E-3</v>
      </c>
      <c r="K573" s="24">
        <f t="shared" si="176"/>
        <v>1049.0635763269988</v>
      </c>
      <c r="L573" s="32">
        <f t="shared" si="177"/>
        <v>0.55641217114273966</v>
      </c>
      <c r="M573" s="35">
        <f t="shared" si="178"/>
        <v>13.32708413453506</v>
      </c>
      <c r="O573" s="29">
        <f t="shared" si="179"/>
        <v>1046.582957412118</v>
      </c>
      <c r="T573" s="48">
        <v>0.74609965277777779</v>
      </c>
      <c r="U573" s="29">
        <v>-1300.7304740154127</v>
      </c>
      <c r="V573" s="29">
        <v>4569.3331902278369</v>
      </c>
      <c r="W573" s="29">
        <v>4262.8879389585054</v>
      </c>
      <c r="X573" s="4">
        <v>-0.3265252963275837</v>
      </c>
      <c r="Y573" s="4">
        <v>-0.11835186522608956</v>
      </c>
      <c r="Z573" s="4">
        <v>-2.2069820801514161E-2</v>
      </c>
      <c r="AA573" s="3">
        <f t="shared" si="184"/>
        <v>0.34801294535479821</v>
      </c>
      <c r="AB573" s="3">
        <f t="shared" si="187"/>
        <v>8.735149414281114E-3</v>
      </c>
      <c r="AC573" s="3">
        <f t="shared" si="185"/>
        <v>3.2940091767591467E-2</v>
      </c>
      <c r="AD573" s="48"/>
      <c r="AE573" s="46">
        <f t="shared" si="180"/>
        <v>42.09214889708862</v>
      </c>
      <c r="AF573" s="46">
        <f t="shared" si="181"/>
        <v>-248.53985421790955</v>
      </c>
      <c r="AG573" s="47">
        <f t="shared" si="182"/>
        <v>14447.59663876539</v>
      </c>
      <c r="AH573" s="45" t="str">
        <f t="shared" si="186"/>
        <v>-248.53985,42.09215,14448</v>
      </c>
      <c r="AI573" s="44">
        <f t="shared" si="188"/>
        <v>1021.3254109082599</v>
      </c>
    </row>
    <row r="574" spans="1:35" ht="18" customHeight="1" x14ac:dyDescent="0.25">
      <c r="A574" s="36">
        <f t="shared" si="183"/>
        <v>0.74611122685185183</v>
      </c>
      <c r="B574" s="42">
        <f t="shared" si="168"/>
        <v>42.092148890968176</v>
      </c>
      <c r="C574" s="43">
        <f t="shared" si="169"/>
        <v>111.46014797629324</v>
      </c>
      <c r="D574" s="18">
        <f t="shared" si="170"/>
        <v>14.414700041513242</v>
      </c>
      <c r="E574" s="21" t="str">
        <f t="shared" si="171"/>
        <v>Umbra</v>
      </c>
      <c r="F574" s="23">
        <f>IF($E574&lt;&gt;"Umbra",fracil2($S$2,$S$3,$S$4,$A574,$Q$2,$O$3,$Q$4,$U574,$V574,$W574),0)</f>
        <v>0</v>
      </c>
      <c r="G574" s="19">
        <f t="shared" si="172"/>
        <v>69.299740898238753</v>
      </c>
      <c r="H574" s="19">
        <f t="shared" si="173"/>
        <v>-4.0656025435260359</v>
      </c>
      <c r="I574" s="19">
        <f t="shared" si="174"/>
        <v>-2.8575845941311409</v>
      </c>
      <c r="J574" s="28">
        <f t="shared" si="175"/>
        <v>5.5246568103655604E-3</v>
      </c>
      <c r="K574" s="24">
        <f t="shared" si="176"/>
        <v>1049.0606490427749</v>
      </c>
      <c r="L574" s="32">
        <f t="shared" si="177"/>
        <v>0.55642757055510239</v>
      </c>
      <c r="M574" s="35">
        <f t="shared" si="178"/>
        <v>13.325880578420243</v>
      </c>
      <c r="O574" s="29">
        <f t="shared" si="179"/>
        <v>1046.5831336801396</v>
      </c>
      <c r="T574" s="48">
        <v>0.74611122685185183</v>
      </c>
      <c r="U574" s="29">
        <v>-1301.0571614415603</v>
      </c>
      <c r="V574" s="29">
        <v>4569.2147996696476</v>
      </c>
      <c r="W574" s="29">
        <v>4262.8658870419358</v>
      </c>
      <c r="X574" s="4">
        <v>-0.32653221430578233</v>
      </c>
      <c r="Y574" s="4">
        <v>-0.1183143185512576</v>
      </c>
      <c r="Z574" s="4">
        <v>-2.2012652790934156E-2</v>
      </c>
      <c r="AA574" s="3">
        <f t="shared" si="184"/>
        <v>0.34800304860242254</v>
      </c>
      <c r="AB574" s="3">
        <f t="shared" si="187"/>
        <v>8.6926245523405669E-3</v>
      </c>
      <c r="AC574" s="3">
        <f t="shared" si="185"/>
        <v>3.2854851891231475E-2</v>
      </c>
      <c r="AD574" s="48"/>
      <c r="AE574" s="46">
        <f t="shared" si="180"/>
        <v>42.092148890968176</v>
      </c>
      <c r="AF574" s="46">
        <f t="shared" si="181"/>
        <v>-248.53985202370677</v>
      </c>
      <c r="AG574" s="47">
        <f t="shared" si="182"/>
        <v>14414.700041513242</v>
      </c>
      <c r="AH574" s="45" t="str">
        <f t="shared" si="186"/>
        <v>-248.53985,42.09215,14415</v>
      </c>
      <c r="AI574" s="44">
        <f t="shared" si="188"/>
        <v>1021.3256231900399</v>
      </c>
    </row>
    <row r="575" spans="1:35" ht="18" customHeight="1" x14ac:dyDescent="0.25">
      <c r="A575" s="36">
        <f t="shared" si="183"/>
        <v>0.74612283564814819</v>
      </c>
      <c r="B575" s="42">
        <f t="shared" si="168"/>
        <v>42.092148884855362</v>
      </c>
      <c r="C575" s="43">
        <f t="shared" si="169"/>
        <v>111.46014750442284</v>
      </c>
      <c r="D575" s="18">
        <f t="shared" si="170"/>
        <v>14.381811170267611</v>
      </c>
      <c r="E575" s="21" t="str">
        <f t="shared" si="171"/>
        <v>Umbra</v>
      </c>
      <c r="F575" s="23">
        <f>IF($E575&lt;&gt;"Umbra",fracil2($S$2,$S$3,$S$4,$A575,$Q$2,$O$3,$Q$4,$U575,$V575,$W575),0)</f>
        <v>0</v>
      </c>
      <c r="G575" s="19">
        <f t="shared" si="172"/>
        <v>69.299746302706168</v>
      </c>
      <c r="H575" s="19">
        <f t="shared" si="173"/>
        <v>-4.0673906013677952</v>
      </c>
      <c r="I575" s="19">
        <f t="shared" si="174"/>
        <v>-2.8593726519729001</v>
      </c>
      <c r="J575" s="28">
        <f t="shared" si="175"/>
        <v>5.5206592520597869E-3</v>
      </c>
      <c r="K575" s="24">
        <f t="shared" si="176"/>
        <v>1049.0575090170435</v>
      </c>
      <c r="L575" s="32">
        <f t="shared" si="177"/>
        <v>0.55644300671050539</v>
      </c>
      <c r="M575" s="35">
        <f t="shared" si="178"/>
        <v>13.324680030204622</v>
      </c>
      <c r="O575" s="29">
        <f t="shared" si="179"/>
        <v>1046.5830955873107</v>
      </c>
      <c r="T575" s="48">
        <v>0.74612283564814819</v>
      </c>
      <c r="U575" s="29">
        <v>-1301.3846270299136</v>
      </c>
      <c r="V575" s="29">
        <v>4569.0961671383557</v>
      </c>
      <c r="W575" s="29">
        <v>4262.8438403049377</v>
      </c>
      <c r="X575" s="4">
        <v>-0.32653906509241482</v>
      </c>
      <c r="Y575" s="4">
        <v>-0.11827702240190047</v>
      </c>
      <c r="Z575" s="4">
        <v>-2.1955665529459541E-2</v>
      </c>
      <c r="AA575" s="3">
        <f t="shared" si="184"/>
        <v>0.34799319865268846</v>
      </c>
      <c r="AB575" s="3">
        <f t="shared" si="187"/>
        <v>8.6392011448076476E-3</v>
      </c>
      <c r="AC575" s="3">
        <f t="shared" si="185"/>
        <v>3.2769881736785758E-2</v>
      </c>
      <c r="AD575" s="48"/>
      <c r="AE575" s="46">
        <f t="shared" si="180"/>
        <v>42.092148884855362</v>
      </c>
      <c r="AF575" s="46">
        <f t="shared" si="181"/>
        <v>-248.53985249557718</v>
      </c>
      <c r="AG575" s="47">
        <f t="shared" si="182"/>
        <v>14381.811170267611</v>
      </c>
      <c r="AH575" s="45" t="str">
        <f t="shared" si="186"/>
        <v>-248.53985,42.09215,14382</v>
      </c>
      <c r="AI575" s="44">
        <f t="shared" si="188"/>
        <v>1021.3257181253379</v>
      </c>
    </row>
    <row r="576" spans="1:35" ht="18" customHeight="1" x14ac:dyDescent="0.25">
      <c r="A576" s="36">
        <f t="shared" si="183"/>
        <v>0.74613425925925936</v>
      </c>
      <c r="B576" s="42">
        <f t="shared" si="168"/>
        <v>42.092148878862218</v>
      </c>
      <c r="C576" s="43">
        <f t="shared" si="169"/>
        <v>111.4601465302884</v>
      </c>
      <c r="D576" s="18">
        <f t="shared" si="170"/>
        <v>14.3495339247429</v>
      </c>
      <c r="E576" s="21" t="str">
        <f t="shared" si="171"/>
        <v>Umbra</v>
      </c>
      <c r="F576" s="23">
        <f>IF($E576&lt;&gt;"Umbra",fracil2($S$2,$S$3,$S$4,$A576,$Q$2,$O$3,$Q$4,$U576,$V576,$W576),0)</f>
        <v>0</v>
      </c>
      <c r="G576" s="19">
        <f t="shared" si="172"/>
        <v>69.299751086539558</v>
      </c>
      <c r="H576" s="19">
        <f t="shared" si="173"/>
        <v>-4.0691452066368248</v>
      </c>
      <c r="I576" s="19">
        <f t="shared" si="174"/>
        <v>-2.8611272572419297</v>
      </c>
      <c r="J576" s="28">
        <f t="shared" si="175"/>
        <v>5.5167483774851431E-3</v>
      </c>
      <c r="K576" s="24">
        <f t="shared" si="176"/>
        <v>1049.054387265229</v>
      </c>
      <c r="L576" s="32">
        <f t="shared" si="177"/>
        <v>0.55645818712697792</v>
      </c>
      <c r="M576" s="35">
        <f t="shared" si="178"/>
        <v>13.323502312538833</v>
      </c>
      <c r="O576" s="29">
        <f t="shared" si="179"/>
        <v>1046.5830171137934</v>
      </c>
      <c r="T576" s="48">
        <v>0.74613425925925936</v>
      </c>
      <c r="U576" s="29">
        <v>-1301.7068357258497</v>
      </c>
      <c r="V576" s="29">
        <v>4568.9794778034866</v>
      </c>
      <c r="W576" s="29">
        <v>4262.8222035658309</v>
      </c>
      <c r="X576" s="4">
        <v>-0.3265457249497955</v>
      </c>
      <c r="Y576" s="4">
        <v>-0.11824065395374575</v>
      </c>
      <c r="Z576" s="4">
        <v>-2.1899899778393909E-2</v>
      </c>
      <c r="AA576" s="3">
        <f t="shared" si="184"/>
        <v>0.34798357481453152</v>
      </c>
      <c r="AB576" s="3">
        <f t="shared" si="187"/>
        <v>8.5910456695936117E-3</v>
      </c>
      <c r="AC576" s="3">
        <f t="shared" si="185"/>
        <v>3.2686733112269148E-2</v>
      </c>
      <c r="AD576" s="48"/>
      <c r="AE576" s="46">
        <f t="shared" si="180"/>
        <v>42.092148878862218</v>
      </c>
      <c r="AF576" s="46">
        <f t="shared" si="181"/>
        <v>-248.5398534697116</v>
      </c>
      <c r="AG576" s="47">
        <f t="shared" si="182"/>
        <v>14349.5339247429</v>
      </c>
      <c r="AH576" s="45" t="str">
        <f t="shared" si="186"/>
        <v>-248.53985,42.09215,14350</v>
      </c>
      <c r="AI576" s="44">
        <f t="shared" si="188"/>
        <v>1021.3258523841229</v>
      </c>
    </row>
    <row r="577" spans="1:35" ht="18" customHeight="1" x14ac:dyDescent="0.25">
      <c r="A577" s="36">
        <f t="shared" si="183"/>
        <v>0.74614582175925925</v>
      </c>
      <c r="B577" s="42">
        <f t="shared" si="168"/>
        <v>42.092148872812565</v>
      </c>
      <c r="C577" s="43">
        <f t="shared" si="169"/>
        <v>111.46014914074789</v>
      </c>
      <c r="D577" s="18">
        <f t="shared" si="170"/>
        <v>14.316919554502419</v>
      </c>
      <c r="E577" s="21" t="str">
        <f t="shared" si="171"/>
        <v>Umbra</v>
      </c>
      <c r="F577" s="23">
        <f>IF($E577&lt;&gt;"Umbra",fracil2($S$2,$S$3,$S$4,$A577,$Q$2,$O$3,$Q$4,$U577,$V577,$W577),0)</f>
        <v>0</v>
      </c>
      <c r="G577" s="19">
        <f t="shared" si="172"/>
        <v>69.299759579230994</v>
      </c>
      <c r="H577" s="19">
        <f t="shared" si="173"/>
        <v>-4.0709196320583017</v>
      </c>
      <c r="I577" s="19">
        <f t="shared" si="174"/>
        <v>-2.8629016826634066</v>
      </c>
      <c r="J577" s="28">
        <f t="shared" si="175"/>
        <v>5.5128088060346463E-3</v>
      </c>
      <c r="K577" s="24">
        <f t="shared" si="176"/>
        <v>1049.0515231143909</v>
      </c>
      <c r="L577" s="32">
        <f t="shared" si="177"/>
        <v>0.55647354191626575</v>
      </c>
      <c r="M577" s="35">
        <f t="shared" si="178"/>
        <v>13.322308566210561</v>
      </c>
      <c r="O577" s="29">
        <f t="shared" si="179"/>
        <v>1046.5832268519962</v>
      </c>
      <c r="T577" s="48">
        <v>0.74614582175925925</v>
      </c>
      <c r="U577" s="29">
        <v>-1302.033249646993</v>
      </c>
      <c r="V577" s="29">
        <v>4568.8613043634859</v>
      </c>
      <c r="W577" s="29">
        <v>4262.8003408389432</v>
      </c>
      <c r="X577" s="4">
        <v>-0.32655238974264167</v>
      </c>
      <c r="Y577" s="4">
        <v>-0.11820414358018781</v>
      </c>
      <c r="Z577" s="4">
        <v>-2.1843716410479504E-2</v>
      </c>
      <c r="AA577" s="3">
        <f t="shared" si="184"/>
        <v>0.3479738937805209</v>
      </c>
      <c r="AB577" s="3">
        <f t="shared" si="187"/>
        <v>8.551391671557081E-3</v>
      </c>
      <c r="AC577" s="3">
        <f t="shared" si="185"/>
        <v>3.2602962020485349E-2</v>
      </c>
      <c r="AD577" s="48"/>
      <c r="AE577" s="46">
        <f t="shared" si="180"/>
        <v>42.092148872812565</v>
      </c>
      <c r="AF577" s="46">
        <f t="shared" si="181"/>
        <v>-248.53985085925211</v>
      </c>
      <c r="AG577" s="47">
        <f t="shared" si="182"/>
        <v>14316.919554502419</v>
      </c>
      <c r="AH577" s="45" t="str">
        <f t="shared" si="186"/>
        <v>-248.53985,42.09215,14317</v>
      </c>
      <c r="AI577" s="44">
        <f t="shared" si="188"/>
        <v>1021.3260422547188</v>
      </c>
    </row>
    <row r="578" spans="1:35" ht="18" customHeight="1" x14ac:dyDescent="0.25">
      <c r="A578" s="36">
        <f t="shared" si="183"/>
        <v>0.74615745370370368</v>
      </c>
      <c r="B578" s="42">
        <f t="shared" si="168"/>
        <v>42.092148866756389</v>
      </c>
      <c r="C578" s="43">
        <f t="shared" si="169"/>
        <v>111.4601460819826</v>
      </c>
      <c r="D578" s="18">
        <f t="shared" si="170"/>
        <v>14.284237820726048</v>
      </c>
      <c r="E578" s="21" t="str">
        <f t="shared" si="171"/>
        <v>Umbra</v>
      </c>
      <c r="F578" s="23">
        <f>IF($E578&lt;&gt;"Umbra",fracil2($S$2,$S$3,$S$4,$A578,$Q$2,$O$3,$Q$4,$U578,$V578,$W578),0)</f>
        <v>0</v>
      </c>
      <c r="G578" s="19">
        <f t="shared" si="172"/>
        <v>69.299762313684411</v>
      </c>
      <c r="H578" s="19">
        <f t="shared" si="173"/>
        <v>-4.072695391469539</v>
      </c>
      <c r="I578" s="19">
        <f t="shared" si="174"/>
        <v>-2.8646774420746439</v>
      </c>
      <c r="J578" s="28">
        <f t="shared" si="175"/>
        <v>5.5088741018811619E-3</v>
      </c>
      <c r="K578" s="24">
        <f t="shared" si="176"/>
        <v>1049.0481975217519</v>
      </c>
      <c r="L578" s="32">
        <f t="shared" si="177"/>
        <v>0.5564889801134022</v>
      </c>
      <c r="M578" s="35">
        <f t="shared" si="178"/>
        <v>13.321118180142745</v>
      </c>
      <c r="O578" s="29">
        <f t="shared" si="179"/>
        <v>1046.5829807657328</v>
      </c>
      <c r="T578" s="48">
        <v>0.74615745370370368</v>
      </c>
      <c r="U578" s="29">
        <v>-1302.3611864393627</v>
      </c>
      <c r="V578" s="29">
        <v>4568.7426185874147</v>
      </c>
      <c r="W578" s="29">
        <v>4262.7784329560609</v>
      </c>
      <c r="X578" s="4">
        <v>-0.32655900379845998</v>
      </c>
      <c r="Y578" s="4">
        <v>-0.11816779527510439</v>
      </c>
      <c r="Z578" s="4">
        <v>-2.1787580803105399E-2</v>
      </c>
      <c r="AA578" s="3">
        <f t="shared" si="184"/>
        <v>0.34796423591983333</v>
      </c>
      <c r="AB578" s="3">
        <f t="shared" si="187"/>
        <v>8.4930906948849326E-3</v>
      </c>
      <c r="AC578" s="3">
        <f t="shared" si="185"/>
        <v>3.2519262356894688E-2</v>
      </c>
      <c r="AD578" s="48"/>
      <c r="AE578" s="46">
        <f t="shared" si="180"/>
        <v>42.092148866756389</v>
      </c>
      <c r="AF578" s="46">
        <f t="shared" si="181"/>
        <v>-248.5398539180174</v>
      </c>
      <c r="AG578" s="47">
        <f t="shared" si="182"/>
        <v>14284.237820726048</v>
      </c>
      <c r="AH578" s="45" t="str">
        <f t="shared" si="186"/>
        <v>-248.53985,42.09215,14284</v>
      </c>
      <c r="AI578" s="44">
        <f t="shared" si="188"/>
        <v>1021.3262747977574</v>
      </c>
    </row>
    <row r="579" spans="1:35" ht="18" customHeight="1" x14ac:dyDescent="0.25">
      <c r="A579" s="36">
        <f t="shared" si="183"/>
        <v>0.74616905092592589</v>
      </c>
      <c r="B579" s="42">
        <f t="shared" si="168"/>
        <v>42.092148860733744</v>
      </c>
      <c r="C579" s="43">
        <f t="shared" si="169"/>
        <v>111.46014731956284</v>
      </c>
      <c r="D579" s="18">
        <f t="shared" si="170"/>
        <v>14.251703864172669</v>
      </c>
      <c r="E579" s="21" t="str">
        <f t="shared" si="171"/>
        <v>Umbra</v>
      </c>
      <c r="F579" s="23">
        <f>IF($E579&lt;&gt;"Umbra",fracil2($S$2,$S$3,$S$4,$A579,$Q$2,$O$3,$Q$4,$U579,$V579,$W579),0)</f>
        <v>0</v>
      </c>
      <c r="G579" s="19">
        <f t="shared" si="172"/>
        <v>69.29976939467403</v>
      </c>
      <c r="H579" s="19">
        <f t="shared" si="173"/>
        <v>-4.0744648985162675</v>
      </c>
      <c r="I579" s="19">
        <f t="shared" si="174"/>
        <v>-2.8664469491213724</v>
      </c>
      <c r="J579" s="28">
        <f t="shared" si="175"/>
        <v>5.5049691521360661E-3</v>
      </c>
      <c r="K579" s="24">
        <f t="shared" si="176"/>
        <v>1049.0452325054057</v>
      </c>
      <c r="L579" s="32">
        <f t="shared" si="177"/>
        <v>0.55650436188881391</v>
      </c>
      <c r="M579" s="35">
        <f t="shared" si="178"/>
        <v>13.319928740326171</v>
      </c>
      <c r="O579" s="29">
        <f t="shared" si="179"/>
        <v>1046.5830801206093</v>
      </c>
      <c r="T579" s="48">
        <v>0.74616905092592589</v>
      </c>
      <c r="U579" s="29">
        <v>-1302.6884860323644</v>
      </c>
      <c r="V579" s="29">
        <v>4568.6242020361506</v>
      </c>
      <c r="W579" s="29">
        <v>4262.7566241347185</v>
      </c>
      <c r="X579" s="4">
        <v>-0.32656552362729491</v>
      </c>
      <c r="Y579" s="4">
        <v>-0.11813184798931242</v>
      </c>
      <c r="Z579" s="4">
        <v>-2.1731862281736267E-2</v>
      </c>
      <c r="AA579" s="3">
        <f t="shared" si="184"/>
        <v>0.34795466453199286</v>
      </c>
      <c r="AB579" s="3">
        <f t="shared" si="187"/>
        <v>8.455204870865294E-3</v>
      </c>
      <c r="AC579" s="3">
        <f t="shared" si="185"/>
        <v>3.2436184794453107E-2</v>
      </c>
      <c r="AD579" s="48"/>
      <c r="AE579" s="46">
        <f t="shared" si="180"/>
        <v>42.092148860733744</v>
      </c>
      <c r="AF579" s="46">
        <f t="shared" si="181"/>
        <v>-248.53985268043715</v>
      </c>
      <c r="AG579" s="47">
        <f t="shared" si="182"/>
        <v>14251.703864172669</v>
      </c>
      <c r="AH579" s="45" t="str">
        <f t="shared" si="186"/>
        <v>-248.53985,42.09215,14252</v>
      </c>
      <c r="AI579" s="44">
        <f t="shared" si="188"/>
        <v>1021.3263697330553</v>
      </c>
    </row>
    <row r="580" spans="1:35" ht="18" customHeight="1" x14ac:dyDescent="0.25">
      <c r="A580" s="36">
        <f t="shared" si="183"/>
        <v>0.74618060185185187</v>
      </c>
      <c r="B580" s="42">
        <f t="shared" si="168"/>
        <v>42.092148854753788</v>
      </c>
      <c r="C580" s="43">
        <f t="shared" si="169"/>
        <v>111.46015033828668</v>
      </c>
      <c r="D580" s="18">
        <f t="shared" si="170"/>
        <v>14.219368536842012</v>
      </c>
      <c r="E580" s="21" t="str">
        <f t="shared" si="171"/>
        <v>Umbra</v>
      </c>
      <c r="F580" s="23">
        <f>IF($E580&lt;&gt;"Umbra",fracil2($S$2,$S$3,$S$4,$A580,$Q$2,$O$3,$Q$4,$U580,$V580,$W580),0)</f>
        <v>0</v>
      </c>
      <c r="G580" s="19">
        <f t="shared" si="172"/>
        <v>69.299778253046171</v>
      </c>
      <c r="H580" s="19">
        <f t="shared" si="173"/>
        <v>-4.0762243494465595</v>
      </c>
      <c r="I580" s="19">
        <f t="shared" si="174"/>
        <v>-2.8682064000516645</v>
      </c>
      <c r="J580" s="28">
        <f t="shared" si="175"/>
        <v>5.5011000773964192E-3</v>
      </c>
      <c r="K580" s="24">
        <f t="shared" si="176"/>
        <v>1049.0424304854782</v>
      </c>
      <c r="L580" s="32">
        <f t="shared" si="177"/>
        <v>0.55651967243050438</v>
      </c>
      <c r="M580" s="35">
        <f t="shared" si="178"/>
        <v>13.318744697129391</v>
      </c>
      <c r="O580" s="29">
        <f t="shared" si="179"/>
        <v>1046.5833226863524</v>
      </c>
      <c r="T580" s="48">
        <v>0.74618060185185187</v>
      </c>
      <c r="U580" s="29">
        <v>-1303.0146251569513</v>
      </c>
      <c r="V580" s="29">
        <v>4568.5062433507692</v>
      </c>
      <c r="W580" s="29">
        <v>4262.7349484630404</v>
      </c>
      <c r="X580" s="4">
        <v>-0.32657194013448082</v>
      </c>
      <c r="Y580" s="4">
        <v>-0.11809635377879742</v>
      </c>
      <c r="Z580" s="4">
        <v>-2.1676644878720976E-2</v>
      </c>
      <c r="AA580" s="3">
        <f t="shared" si="184"/>
        <v>0.34794519366165128</v>
      </c>
      <c r="AB580" s="3">
        <f t="shared" si="187"/>
        <v>8.4127229395648158E-3</v>
      </c>
      <c r="AC580" s="3">
        <f t="shared" si="185"/>
        <v>3.2353854623629684E-2</v>
      </c>
      <c r="AD580" s="48"/>
      <c r="AE580" s="46">
        <f t="shared" si="180"/>
        <v>42.092148854753788</v>
      </c>
      <c r="AF580" s="46">
        <f t="shared" si="181"/>
        <v>-248.53984966171333</v>
      </c>
      <c r="AG580" s="47">
        <f t="shared" si="182"/>
        <v>14219.368536842012</v>
      </c>
      <c r="AH580" s="45" t="str">
        <f t="shared" si="186"/>
        <v>-248.53985,42.09215,14219</v>
      </c>
      <c r="AI580" s="44">
        <f t="shared" si="188"/>
        <v>1021.3266022760939</v>
      </c>
    </row>
    <row r="581" spans="1:35" ht="18" customHeight="1" x14ac:dyDescent="0.25">
      <c r="A581" s="36">
        <f t="shared" si="183"/>
        <v>0.74619215277777773</v>
      </c>
      <c r="B581" s="42">
        <f t="shared" si="168"/>
        <v>42.092148848804676</v>
      </c>
      <c r="C581" s="43">
        <f t="shared" si="169"/>
        <v>111.46014644178985</v>
      </c>
      <c r="D581" s="18">
        <f t="shared" si="170"/>
        <v>14.187168626286621</v>
      </c>
      <c r="E581" s="21" t="str">
        <f t="shared" si="171"/>
        <v>Umbra</v>
      </c>
      <c r="F581" s="23">
        <f>IF($E581&lt;&gt;"Umbra",fracil2($S$2,$S$3,$S$4,$A581,$Q$2,$O$3,$Q$4,$U581,$V581,$W581),0)</f>
        <v>0</v>
      </c>
      <c r="G581" s="19">
        <f t="shared" si="172"/>
        <v>69.299780048691872</v>
      </c>
      <c r="H581" s="19">
        <f t="shared" si="173"/>
        <v>-4.0779735968953679</v>
      </c>
      <c r="I581" s="19">
        <f t="shared" si="174"/>
        <v>-2.8699556475004728</v>
      </c>
      <c r="J581" s="28">
        <f t="shared" si="175"/>
        <v>5.4972599903282985E-3</v>
      </c>
      <c r="K581" s="24">
        <f t="shared" si="176"/>
        <v>1049.0390858593123</v>
      </c>
      <c r="L581" s="32">
        <f t="shared" si="177"/>
        <v>0.55653497467219548</v>
      </c>
      <c r="M581" s="35">
        <f t="shared" si="178"/>
        <v>13.317572702623911</v>
      </c>
      <c r="O581" s="29">
        <f t="shared" si="179"/>
        <v>1046.5830092463948</v>
      </c>
      <c r="T581" s="48">
        <v>0.74619215277777773</v>
      </c>
      <c r="U581" s="29">
        <v>-1303.3402302035902</v>
      </c>
      <c r="V581" s="29">
        <v>4568.388515328028</v>
      </c>
      <c r="W581" s="29">
        <v>4262.7133635671617</v>
      </c>
      <c r="X581" s="4">
        <v>-0.32657826672494489</v>
      </c>
      <c r="Y581" s="4">
        <v>-0.11806123995866927</v>
      </c>
      <c r="Z581" s="4">
        <v>-2.1621818339227369E-2</v>
      </c>
      <c r="AA581" s="3">
        <f t="shared" si="184"/>
        <v>0.34793580400117247</v>
      </c>
      <c r="AB581" s="3">
        <f t="shared" si="187"/>
        <v>8.3531507976285675E-3</v>
      </c>
      <c r="AC581" s="3">
        <f t="shared" si="185"/>
        <v>3.2272107448902028E-2</v>
      </c>
      <c r="AD581" s="48"/>
      <c r="AE581" s="46">
        <f t="shared" si="180"/>
        <v>42.092148848804676</v>
      </c>
      <c r="AF581" s="46">
        <f t="shared" si="181"/>
        <v>-248.53985355821015</v>
      </c>
      <c r="AG581" s="47">
        <f t="shared" si="182"/>
        <v>14187.168626286621</v>
      </c>
      <c r="AH581" s="45" t="str">
        <f t="shared" si="186"/>
        <v>-248.53985,42.09215,14187</v>
      </c>
      <c r="AI581" s="44">
        <f t="shared" si="188"/>
        <v>1021.3269311416127</v>
      </c>
    </row>
    <row r="582" spans="1:35" ht="18" customHeight="1" x14ac:dyDescent="0.25">
      <c r="A582" s="36">
        <f t="shared" si="183"/>
        <v>0.74620381944444436</v>
      </c>
      <c r="B582" s="42">
        <f t="shared" ref="B582:B645" si="189">latitude($U582,$V582,$W582)</f>
        <v>42.092148842808101</v>
      </c>
      <c r="C582" s="43">
        <f t="shared" ref="C582:C645" si="190">longitude($S$2,$S$3,$S$4,$A582,$U582,$V582)</f>
        <v>111.46014902107675</v>
      </c>
      <c r="D582" s="18">
        <f t="shared" ref="D582:D645" si="191">altitude($U582,$V582,$W582)</f>
        <v>14.154678450663596</v>
      </c>
      <c r="E582" s="21" t="str">
        <f t="shared" ref="E582:E645" si="192">illum2($S$2,$S$3,$S$4,$A582,$U582,$V582,$W582)</f>
        <v>Umbra</v>
      </c>
      <c r="F582" s="23">
        <f>IF($E582&lt;&gt;"Umbra",fracil2($S$2,$S$3,$S$4,$A582,$Q$2,$O$3,$Q$4,$U582,$V582,$W582),0)</f>
        <v>0</v>
      </c>
      <c r="G582" s="19">
        <f t="shared" ref="G582:G645" si="193">azimuth($S$2,$S$3,$S$4,$A582,$Q$2,$O$3,$Q$4,$U582,$V582,$W582)</f>
        <v>69.299788487544234</v>
      </c>
      <c r="H582" s="19">
        <f t="shared" ref="H582:H645" si="194">elev($S$2,$S$3,$S$4,$A582,$Q$2,$O$3,$Q$4,$U582,$V582,$W582)</f>
        <v>-4.0797413063369694</v>
      </c>
      <c r="I582" s="19">
        <f t="shared" ref="I582:I645" si="195">elev($S$2,$S$3,$S$4,$A582,$Q$2,$O$3,$Q$4,$U582,$V582,$W582)+DEGREES(ACOS($Q$3/$Q$4))</f>
        <v>-2.8717233569420744</v>
      </c>
      <c r="J582" s="28">
        <f t="shared" ref="J582:J645" si="196">vang($S$2,$S$3,$S$4,$A582,$Q$2,$O$3,$Q$4,$U582,$V582,$W582,$X582,$Y582,$Z582)</f>
        <v>5.4933968512054562E-3</v>
      </c>
      <c r="K582" s="24">
        <f t="shared" ref="K582:K645" si="197">slant_rng($S$2,$S$3,$S$4,$A582,$Q$2,$O$3,$Q$4,$U582,$V582,$W582)</f>
        <v>1049.0362358875968</v>
      </c>
      <c r="L582" s="32">
        <f t="shared" ref="L582:L645" si="198">radec2("ra",$S$2,$S$3,$S$4,$A582,$Q$2,$O$3,$Q$4,$U582,$V582,$W582)/24</f>
        <v>0.55655041959894258</v>
      </c>
      <c r="M582" s="35">
        <f t="shared" ref="M582:M645" si="199">radec2("dec",$S$2,$S$3,$S$4,$A582,$Q$2,$O$3,$Q$4,$U582,$V582,$W582)</f>
        <v>13.316383412395615</v>
      </c>
      <c r="O582" s="29">
        <f t="shared" ref="O582:O645" si="200">DEGREES(ACOS(SIN(RADIANS($B582))*SIN(RADIANS($O$2))+COS(RADIANS($B582))*COS(RADIANS($O$2))*COS(RADIANS($C582-$O$3))))*111.2</f>
        <v>1046.5832164795493</v>
      </c>
      <c r="T582" s="48">
        <v>0.74620381944444436</v>
      </c>
      <c r="U582" s="29">
        <v>-1303.6696134697524</v>
      </c>
      <c r="V582" s="29">
        <v>4568.2694589894791</v>
      </c>
      <c r="W582" s="29">
        <v>4262.6915840954407</v>
      </c>
      <c r="X582" s="4">
        <v>-0.32658458664248785</v>
      </c>
      <c r="Y582" s="4">
        <v>-0.1180260436703784</v>
      </c>
      <c r="Z582" s="4">
        <v>-2.1566658582948619E-2</v>
      </c>
      <c r="AA582" s="3">
        <f t="shared" si="184"/>
        <v>0.34792637149167094</v>
      </c>
      <c r="AB582" s="3">
        <f t="shared" si="187"/>
        <v>8.3205244920873823E-3</v>
      </c>
      <c r="AC582" s="3">
        <f t="shared" si="185"/>
        <v>3.2189863657227508E-2</v>
      </c>
      <c r="AD582" s="48"/>
      <c r="AE582" s="46">
        <f t="shared" ref="AE582:AE645" si="201">$B582</f>
        <v>42.092148842808101</v>
      </c>
      <c r="AF582" s="46">
        <f t="shared" ref="AF582:AF645" si="202">$C582-360</f>
        <v>-248.53985097892325</v>
      </c>
      <c r="AG582" s="47">
        <f t="shared" ref="AG582:AG645" si="203">$D582*1000</f>
        <v>14154.678450663596</v>
      </c>
      <c r="AH582" s="45" t="str">
        <f t="shared" si="186"/>
        <v>-248.53985,42.09215,14155</v>
      </c>
      <c r="AI582" s="44">
        <f t="shared" si="188"/>
        <v>1021.3271434233927</v>
      </c>
    </row>
    <row r="583" spans="1:35" ht="18" customHeight="1" x14ac:dyDescent="0.25">
      <c r="A583" s="36">
        <f t="shared" ref="A583:A646" si="204">$T583+$S$5/86400</f>
        <v>0.74621534722222227</v>
      </c>
      <c r="B583" s="42">
        <f t="shared" si="189"/>
        <v>42.092148836904975</v>
      </c>
      <c r="C583" s="43">
        <f t="shared" si="190"/>
        <v>111.4601507130121</v>
      </c>
      <c r="D583" s="18">
        <f t="shared" si="191"/>
        <v>14.12266293096036</v>
      </c>
      <c r="E583" s="21" t="str">
        <f t="shared" si="192"/>
        <v>Umbra</v>
      </c>
      <c r="F583" s="23">
        <f>IF($E583&lt;&gt;"Umbra",fracil2($S$2,$S$3,$S$4,$A583,$Q$2,$O$3,$Q$4,$U583,$V583,$W583),0)</f>
        <v>0</v>
      </c>
      <c r="G583" s="19">
        <f t="shared" si="193"/>
        <v>69.299795938312727</v>
      </c>
      <c r="H583" s="19">
        <f t="shared" si="194"/>
        <v>-4.0814828504148242</v>
      </c>
      <c r="I583" s="19">
        <f t="shared" si="195"/>
        <v>-2.8734649010199291</v>
      </c>
      <c r="J583" s="28">
        <f t="shared" si="196"/>
        <v>5.489602152200194E-3</v>
      </c>
      <c r="K583" s="24">
        <f t="shared" si="197"/>
        <v>1049.0333601698012</v>
      </c>
      <c r="L583" s="32">
        <f t="shared" si="198"/>
        <v>0.55656567142299318</v>
      </c>
      <c r="M583" s="35">
        <f t="shared" si="199"/>
        <v>13.31521235035977</v>
      </c>
      <c r="O583" s="29">
        <f t="shared" si="200"/>
        <v>1046.5833523690615</v>
      </c>
      <c r="T583" s="48">
        <v>0.74621534722222227</v>
      </c>
      <c r="U583" s="29">
        <v>-1303.9950148276021</v>
      </c>
      <c r="V583" s="29">
        <v>4568.1518788659769</v>
      </c>
      <c r="W583" s="29">
        <v>4262.6701228051643</v>
      </c>
      <c r="X583" s="4">
        <v>-0.32659075186946945</v>
      </c>
      <c r="Y583" s="4">
        <v>-0.11799159063397109</v>
      </c>
      <c r="Z583" s="4">
        <v>-2.1512461893340735E-2</v>
      </c>
      <c r="AA583" s="3">
        <f t="shared" ref="AA583:AA646" si="205">SQRT($X583*$X583+$Y583*$Y583+$Z583*$Z583)</f>
        <v>0.34791711754915483</v>
      </c>
      <c r="AB583" s="3">
        <f t="shared" si="187"/>
        <v>8.2737269745642751E-3</v>
      </c>
      <c r="AC583" s="3">
        <f t="shared" ref="AC583:AC646" si="206">vrel($S$2,$S$3,$S$4,$A583,$B583,$C583,$U583,$V583,$W583,$X583,$Y583,$Z583)</f>
        <v>3.2109056019180862E-2</v>
      </c>
      <c r="AD583" s="48"/>
      <c r="AE583" s="46">
        <f t="shared" si="201"/>
        <v>42.092148836904975</v>
      </c>
      <c r="AF583" s="46">
        <f t="shared" si="202"/>
        <v>-248.5398492869879</v>
      </c>
      <c r="AG583" s="47">
        <f t="shared" si="203"/>
        <v>14122.66293096036</v>
      </c>
      <c r="AH583" s="45" t="str">
        <f t="shared" ref="AH583:AH646" si="207">CONCATENATE(TEXT($AF583,"00.00000"),",",TEXT($AE583,"00.00000"),",",TEXT($AG583,"00000"))</f>
        <v>-248.53985,42.09215,14123</v>
      </c>
      <c r="AI583" s="44">
        <f t="shared" si="188"/>
        <v>1021.3272776821777</v>
      </c>
    </row>
    <row r="584" spans="1:35" ht="18" customHeight="1" x14ac:dyDescent="0.25">
      <c r="A584" s="36">
        <f t="shared" si="204"/>
        <v>0.74622686342592592</v>
      </c>
      <c r="B584" s="42">
        <f t="shared" si="189"/>
        <v>42.092148831034585</v>
      </c>
      <c r="C584" s="43">
        <f t="shared" si="190"/>
        <v>111.46014790482978</v>
      </c>
      <c r="D584" s="18">
        <f t="shared" si="191"/>
        <v>14.090794231092332</v>
      </c>
      <c r="E584" s="21" t="str">
        <f t="shared" si="192"/>
        <v>Umbra</v>
      </c>
      <c r="F584" s="23">
        <f>IF($E584&lt;&gt;"Umbra",fracil2($S$2,$S$3,$S$4,$A584,$Q$2,$O$3,$Q$4,$U584,$V584,$W584),0)</f>
        <v>0</v>
      </c>
      <c r="G584" s="19">
        <f t="shared" si="193"/>
        <v>69.299798782484658</v>
      </c>
      <c r="H584" s="19">
        <f t="shared" si="194"/>
        <v>-4.0832145680290628</v>
      </c>
      <c r="I584" s="19">
        <f t="shared" si="195"/>
        <v>-2.8751966186341678</v>
      </c>
      <c r="J584" s="28">
        <f t="shared" si="196"/>
        <v>5.4858370359922876E-3</v>
      </c>
      <c r="K584" s="24">
        <f t="shared" si="197"/>
        <v>1049.0301371872436</v>
      </c>
      <c r="L584" s="32">
        <f t="shared" si="198"/>
        <v>0.55658089947037459</v>
      </c>
      <c r="M584" s="35">
        <f t="shared" si="199"/>
        <v>13.314051264365743</v>
      </c>
      <c r="O584" s="29">
        <f t="shared" si="200"/>
        <v>1046.5831264351343</v>
      </c>
      <c r="T584" s="48">
        <v>0.74622686342592592</v>
      </c>
      <c r="U584" s="29">
        <v>-1304.3197440058821</v>
      </c>
      <c r="V584" s="29">
        <v>4568.034577890523</v>
      </c>
      <c r="W584" s="29">
        <v>4262.6487599346028</v>
      </c>
      <c r="X584" s="4">
        <v>-0.32659682728854539</v>
      </c>
      <c r="Y584" s="4">
        <v>-0.11795752150410796</v>
      </c>
      <c r="Z584" s="4">
        <v>-2.1458668715434854E-2</v>
      </c>
      <c r="AA584" s="3">
        <f t="shared" si="205"/>
        <v>0.34790794606817305</v>
      </c>
      <c r="AB584" s="3">
        <f t="shared" ref="AB584:AB647" si="208">-($AC584-$AC583)/(($A584-$A583)*86400)*1000/9.806</f>
        <v>8.2203584811539419E-3</v>
      </c>
      <c r="AC584" s="3">
        <f t="shared" si="206"/>
        <v>3.2028850228091342E-2</v>
      </c>
      <c r="AD584" s="48"/>
      <c r="AE584" s="46">
        <f t="shared" si="201"/>
        <v>42.092148831034585</v>
      </c>
      <c r="AF584" s="46">
        <f t="shared" si="202"/>
        <v>-248.5398520951702</v>
      </c>
      <c r="AG584" s="47">
        <f t="shared" si="203"/>
        <v>14090.794231092332</v>
      </c>
      <c r="AH584" s="45" t="str">
        <f t="shared" si="207"/>
        <v>-248.53985,42.09215,14091</v>
      </c>
      <c r="AI584" s="44">
        <f t="shared" ref="AI584:AI647" si="209">IFERROR(ACOS(SIN(RADIANS($B583))*SIN(RADIANS($B584))+COS(RADIANS($B583))*COS(RADIANS($B584))*COS(RADIANS($C583-$C584)))*6371,0)+AI583</f>
        <v>1021.3275102252163</v>
      </c>
    </row>
    <row r="585" spans="1:35" ht="18" customHeight="1" x14ac:dyDescent="0.25">
      <c r="A585" s="36">
        <f t="shared" si="204"/>
        <v>0.74623853009259256</v>
      </c>
      <c r="B585" s="42">
        <f t="shared" si="189"/>
        <v>42.092148825100367</v>
      </c>
      <c r="C585" s="43">
        <f t="shared" si="190"/>
        <v>111.46015083402203</v>
      </c>
      <c r="D585" s="18">
        <f t="shared" si="191"/>
        <v>14.05854616270517</v>
      </c>
      <c r="E585" s="21" t="str">
        <f t="shared" si="192"/>
        <v>Umbra</v>
      </c>
      <c r="F585" s="23">
        <f>IF($E585&lt;&gt;"Umbra",fracil2($S$2,$S$3,$S$4,$A585,$Q$2,$O$3,$Q$4,$U585,$V585,$W585),0)</f>
        <v>0</v>
      </c>
      <c r="G585" s="19">
        <f t="shared" si="193"/>
        <v>69.299807534223362</v>
      </c>
      <c r="H585" s="19">
        <f t="shared" si="194"/>
        <v>-4.0849692859677287</v>
      </c>
      <c r="I585" s="19">
        <f t="shared" si="195"/>
        <v>-2.8769513365728336</v>
      </c>
      <c r="J585" s="28">
        <f t="shared" si="196"/>
        <v>5.482038552042246E-3</v>
      </c>
      <c r="K585" s="24">
        <f t="shared" si="197"/>
        <v>1049.0273410806406</v>
      </c>
      <c r="L585" s="32">
        <f t="shared" si="198"/>
        <v>0.55659631607903526</v>
      </c>
      <c r="M585" s="35">
        <f t="shared" si="199"/>
        <v>13.312870390466186</v>
      </c>
      <c r="O585" s="29">
        <f t="shared" si="200"/>
        <v>1046.5833618033882</v>
      </c>
      <c r="T585" s="48">
        <v>0.74623853009259256</v>
      </c>
      <c r="U585" s="29">
        <v>-1304.6491734017281</v>
      </c>
      <c r="V585" s="29">
        <v>4567.9156157378366</v>
      </c>
      <c r="W585" s="29">
        <v>4262.6271427585798</v>
      </c>
      <c r="X585" s="4">
        <v>-0.32660291205683684</v>
      </c>
      <c r="Y585" s="4">
        <v>-0.11792327781374089</v>
      </c>
      <c r="Z585" s="4">
        <v>-2.1404393925929882E-2</v>
      </c>
      <c r="AA585" s="3">
        <f t="shared" si="205"/>
        <v>0.3478987060822144</v>
      </c>
      <c r="AB585" s="3">
        <f t="shared" si="208"/>
        <v>8.1869684158710834E-3</v>
      </c>
      <c r="AC585" s="3">
        <f t="shared" si="206"/>
        <v>3.1947926564507262E-2</v>
      </c>
      <c r="AD585" s="48"/>
      <c r="AE585" s="46">
        <f t="shared" si="201"/>
        <v>42.092148825100367</v>
      </c>
      <c r="AF585" s="46">
        <f t="shared" si="202"/>
        <v>-248.53984916597796</v>
      </c>
      <c r="AG585" s="47">
        <f t="shared" si="203"/>
        <v>14058.54616270517</v>
      </c>
      <c r="AH585" s="45" t="str">
        <f t="shared" si="207"/>
        <v>-248.53985,42.09215,14059</v>
      </c>
      <c r="AI585" s="44">
        <f t="shared" si="209"/>
        <v>1021.3277787427878</v>
      </c>
    </row>
    <row r="586" spans="1:35" ht="18" customHeight="1" x14ac:dyDescent="0.25">
      <c r="A586" s="36">
        <f t="shared" si="204"/>
        <v>0.74625006944444439</v>
      </c>
      <c r="B586" s="42">
        <f t="shared" si="189"/>
        <v>42.092148819258398</v>
      </c>
      <c r="C586" s="43">
        <f t="shared" si="190"/>
        <v>111.4601486665532</v>
      </c>
      <c r="D586" s="18">
        <f t="shared" si="191"/>
        <v>14.0267687274727</v>
      </c>
      <c r="E586" s="21" t="str">
        <f t="shared" si="192"/>
        <v>Umbra</v>
      </c>
      <c r="F586" s="23">
        <f>IF($E586&lt;&gt;"Umbra",fracil2($S$2,$S$3,$S$4,$A586,$Q$2,$O$3,$Q$4,$U586,$V586,$W586),0)</f>
        <v>0</v>
      </c>
      <c r="G586" s="19">
        <f t="shared" si="193"/>
        <v>69.299811014248164</v>
      </c>
      <c r="H586" s="19">
        <f t="shared" si="194"/>
        <v>-4.0866963252083206</v>
      </c>
      <c r="I586" s="19">
        <f t="shared" si="195"/>
        <v>-2.8786783758134256</v>
      </c>
      <c r="J586" s="28">
        <f t="shared" si="196"/>
        <v>5.4783078617707858E-3</v>
      </c>
      <c r="K586" s="24">
        <f t="shared" si="197"/>
        <v>1049.0241801516156</v>
      </c>
      <c r="L586" s="32">
        <f t="shared" si="198"/>
        <v>0.5566115561237186</v>
      </c>
      <c r="M586" s="35">
        <f t="shared" si="199"/>
        <v>13.311711933754154</v>
      </c>
      <c r="O586" s="29">
        <f t="shared" si="200"/>
        <v>1046.5831873856441</v>
      </c>
      <c r="T586" s="48">
        <v>0.74625006944444439</v>
      </c>
      <c r="U586" s="29">
        <v>-1304.9746179873976</v>
      </c>
      <c r="V586" s="29">
        <v>4567.7981284838834</v>
      </c>
      <c r="W586" s="29">
        <v>4262.6058410673404</v>
      </c>
      <c r="X586" s="4">
        <v>-0.32660884578008981</v>
      </c>
      <c r="Y586" s="4">
        <v>-0.11788976205284508</v>
      </c>
      <c r="Z586" s="4">
        <v>-2.1351068141331003E-2</v>
      </c>
      <c r="AA586" s="3">
        <f t="shared" si="205"/>
        <v>0.34788964090563934</v>
      </c>
      <c r="AB586" s="3">
        <f t="shared" si="208"/>
        <v>8.1325446120356672E-3</v>
      </c>
      <c r="AC586" s="3">
        <f t="shared" si="206"/>
        <v>3.1868418075239185E-2</v>
      </c>
      <c r="AD586" s="48"/>
      <c r="AE586" s="46">
        <f t="shared" si="201"/>
        <v>42.092148819258398</v>
      </c>
      <c r="AF586" s="46">
        <f t="shared" si="202"/>
        <v>-248.53985133344679</v>
      </c>
      <c r="AG586" s="47">
        <f t="shared" si="203"/>
        <v>14026.7687274727</v>
      </c>
      <c r="AH586" s="45" t="str">
        <f t="shared" si="207"/>
        <v>-248.53985,42.09215,14027</v>
      </c>
      <c r="AI586" s="44">
        <f t="shared" si="209"/>
        <v>1021.3279686133837</v>
      </c>
    </row>
    <row r="587" spans="1:35" ht="18" customHeight="1" x14ac:dyDescent="0.25">
      <c r="A587" s="36">
        <f t="shared" si="204"/>
        <v>0.74626163194444439</v>
      </c>
      <c r="B587" s="42">
        <f t="shared" si="189"/>
        <v>42.09214881342254</v>
      </c>
      <c r="C587" s="43">
        <f t="shared" si="190"/>
        <v>111.46014826444508</v>
      </c>
      <c r="D587" s="18">
        <f t="shared" si="191"/>
        <v>13.994993375466038</v>
      </c>
      <c r="E587" s="21" t="str">
        <f t="shared" si="192"/>
        <v>Umbra</v>
      </c>
      <c r="F587" s="23">
        <f>IF($E587&lt;&gt;"Umbra",fracil2($S$2,$S$3,$S$4,$A587,$Q$2,$O$3,$Q$4,$U587,$V587,$W587),0)</f>
        <v>0</v>
      </c>
      <c r="G587" s="19">
        <f t="shared" si="193"/>
        <v>69.299816290756212</v>
      </c>
      <c r="H587" s="19">
        <f t="shared" si="194"/>
        <v>-4.0884239876343491</v>
      </c>
      <c r="I587" s="19">
        <f t="shared" si="195"/>
        <v>-2.8804060382394541</v>
      </c>
      <c r="J587" s="28">
        <f t="shared" si="196"/>
        <v>5.474588793690633E-3</v>
      </c>
      <c r="K587" s="24">
        <f t="shared" si="197"/>
        <v>1049.0211623970558</v>
      </c>
      <c r="L587" s="32">
        <f t="shared" si="198"/>
        <v>0.55662681726413343</v>
      </c>
      <c r="M587" s="35">
        <f t="shared" si="199"/>
        <v>13.310551713154169</v>
      </c>
      <c r="O587" s="29">
        <f t="shared" si="200"/>
        <v>1046.5831549088532</v>
      </c>
      <c r="T587" s="48">
        <v>0.74626163194444439</v>
      </c>
      <c r="U587" s="29">
        <v>-1305.3008597094563</v>
      </c>
      <c r="V587" s="29">
        <v>4567.6803889525991</v>
      </c>
      <c r="W587" s="29">
        <v>4262.5845407730503</v>
      </c>
      <c r="X587" s="4">
        <v>-0.32661471823487742</v>
      </c>
      <c r="Y587" s="4">
        <v>-0.11785647169791967</v>
      </c>
      <c r="Z587" s="4">
        <v>-2.1297898418285475E-2</v>
      </c>
      <c r="AA587" s="3">
        <f t="shared" si="205"/>
        <v>0.34788061539235915</v>
      </c>
      <c r="AB587" s="3">
        <f t="shared" si="208"/>
        <v>8.092489244236065E-3</v>
      </c>
      <c r="AC587" s="3">
        <f t="shared" si="206"/>
        <v>3.1789142480659692E-2</v>
      </c>
      <c r="AD587" s="48"/>
      <c r="AE587" s="46">
        <f t="shared" si="201"/>
        <v>42.09214881342254</v>
      </c>
      <c r="AF587" s="46">
        <f t="shared" si="202"/>
        <v>-248.53985173555492</v>
      </c>
      <c r="AG587" s="47">
        <f t="shared" si="203"/>
        <v>13994.993375466038</v>
      </c>
      <c r="AH587" s="45" t="str">
        <f t="shared" si="207"/>
        <v>-248.53985,42.09215,13995</v>
      </c>
      <c r="AI587" s="44">
        <f t="shared" si="209"/>
        <v>1021.3279686133837</v>
      </c>
    </row>
    <row r="588" spans="1:35" ht="18" customHeight="1" x14ac:dyDescent="0.25">
      <c r="A588" s="36">
        <f t="shared" si="204"/>
        <v>0.74627318287037037</v>
      </c>
      <c r="B588" s="42">
        <f t="shared" si="189"/>
        <v>42.092148807611849</v>
      </c>
      <c r="C588" s="43">
        <f t="shared" si="190"/>
        <v>111.46014848849872</v>
      </c>
      <c r="D588" s="18">
        <f t="shared" si="191"/>
        <v>13.963323972425314</v>
      </c>
      <c r="E588" s="21" t="str">
        <f t="shared" si="192"/>
        <v>Umbra</v>
      </c>
      <c r="F588" s="23">
        <f>IF($E588&lt;&gt;"Umbra",fracil2($S$2,$S$3,$S$4,$A588,$Q$2,$O$3,$Q$4,$U588,$V588,$W588),0)</f>
        <v>0</v>
      </c>
      <c r="G588" s="19">
        <f t="shared" si="193"/>
        <v>69.299822185653056</v>
      </c>
      <c r="H588" s="19">
        <f t="shared" si="194"/>
        <v>-4.0901461562744661</v>
      </c>
      <c r="I588" s="19">
        <f t="shared" si="195"/>
        <v>-2.8821282068795711</v>
      </c>
      <c r="J588" s="28">
        <f t="shared" si="196"/>
        <v>5.4708937833912409E-3</v>
      </c>
      <c r="K588" s="24">
        <f t="shared" si="197"/>
        <v>1049.0182059210767</v>
      </c>
      <c r="L588" s="32">
        <f t="shared" si="198"/>
        <v>0.55664205390629906</v>
      </c>
      <c r="M588" s="35">
        <f t="shared" si="199"/>
        <v>13.30939469604513</v>
      </c>
      <c r="O588" s="29">
        <f t="shared" si="200"/>
        <v>1046.5831727781633</v>
      </c>
      <c r="T588" s="48">
        <v>0.74627318287037037</v>
      </c>
      <c r="U588" s="29">
        <v>-1305.6268296558324</v>
      </c>
      <c r="V588" s="29">
        <v>4567.5627826607015</v>
      </c>
      <c r="W588" s="29">
        <v>4262.5633115010842</v>
      </c>
      <c r="X588" s="4">
        <v>-0.32662050947269067</v>
      </c>
      <c r="Y588" s="4">
        <v>-0.11782351805124053</v>
      </c>
      <c r="Z588" s="4">
        <v>-2.1245061070248338E-2</v>
      </c>
      <c r="AA588" s="3">
        <f t="shared" si="205"/>
        <v>0.34787165914177259</v>
      </c>
      <c r="AB588" s="3">
        <f t="shared" si="208"/>
        <v>8.0499382779655442E-3</v>
      </c>
      <c r="AC588" s="3">
        <f t="shared" si="206"/>
        <v>3.1710362661295143E-2</v>
      </c>
      <c r="AD588" s="48"/>
      <c r="AE588" s="46">
        <f t="shared" si="201"/>
        <v>42.092148807611849</v>
      </c>
      <c r="AF588" s="46">
        <f t="shared" si="202"/>
        <v>-248.5398515115013</v>
      </c>
      <c r="AG588" s="47">
        <f t="shared" si="203"/>
        <v>13963.323972425314</v>
      </c>
      <c r="AH588" s="45" t="str">
        <f t="shared" si="207"/>
        <v>-248.53985,42.09215,13963</v>
      </c>
      <c r="AI588" s="44">
        <f t="shared" si="209"/>
        <v>1021.3279686133837</v>
      </c>
    </row>
    <row r="589" spans="1:35" ht="18" customHeight="1" x14ac:dyDescent="0.25">
      <c r="A589" s="36">
        <f t="shared" si="204"/>
        <v>0.74628475694444452</v>
      </c>
      <c r="B589" s="42">
        <f t="shared" si="189"/>
        <v>42.092148801808719</v>
      </c>
      <c r="C589" s="43">
        <f t="shared" si="190"/>
        <v>111.4601492974293</v>
      </c>
      <c r="D589" s="18">
        <f t="shared" si="191"/>
        <v>13.931665366068955</v>
      </c>
      <c r="E589" s="21" t="str">
        <f t="shared" si="192"/>
        <v>Umbra</v>
      </c>
      <c r="F589" s="23">
        <f>IF($E589&lt;&gt;"Umbra",fracil2($S$2,$S$3,$S$4,$A589,$Q$2,$O$3,$Q$4,$U589,$V589,$W589),0)</f>
        <v>0</v>
      </c>
      <c r="G589" s="19">
        <f t="shared" si="193"/>
        <v>69.299828673943878</v>
      </c>
      <c r="H589" s="19">
        <f t="shared" si="194"/>
        <v>-4.0918679879172331</v>
      </c>
      <c r="I589" s="19">
        <f t="shared" si="195"/>
        <v>-2.883850038522338</v>
      </c>
      <c r="J589" s="28">
        <f t="shared" si="196"/>
        <v>5.4672115133824013E-3</v>
      </c>
      <c r="K589" s="24">
        <f t="shared" si="197"/>
        <v>1049.0152984597123</v>
      </c>
      <c r="L589" s="32">
        <f t="shared" si="198"/>
        <v>0.55665731189045864</v>
      </c>
      <c r="M589" s="35">
        <f t="shared" si="199"/>
        <v>13.30823744958527</v>
      </c>
      <c r="O589" s="29">
        <f t="shared" si="200"/>
        <v>1046.5832376736901</v>
      </c>
      <c r="T589" s="48">
        <v>0.74628475694444452</v>
      </c>
      <c r="U589" s="29">
        <v>-1305.9535043513943</v>
      </c>
      <c r="V589" s="29">
        <v>4567.4449570235765</v>
      </c>
      <c r="W589" s="29">
        <v>4262.5420894670333</v>
      </c>
      <c r="X589" s="4">
        <v>-0.32662623781856537</v>
      </c>
      <c r="Y589" s="4">
        <v>-0.11779079869906871</v>
      </c>
      <c r="Z589" s="4">
        <v>-2.1192394354342042E-2</v>
      </c>
      <c r="AA589" s="3">
        <f t="shared" si="205"/>
        <v>0.34786274458203265</v>
      </c>
      <c r="AB589" s="3">
        <f t="shared" si="208"/>
        <v>8.0078729486091609E-3</v>
      </c>
      <c r="AC589" s="3">
        <f t="shared" si="206"/>
        <v>3.1631837459160567E-2</v>
      </c>
      <c r="AD589" s="48"/>
      <c r="AE589" s="46">
        <f t="shared" si="201"/>
        <v>42.092148801808719</v>
      </c>
      <c r="AF589" s="46">
        <f t="shared" si="202"/>
        <v>-248.5398507025707</v>
      </c>
      <c r="AG589" s="47">
        <f t="shared" si="203"/>
        <v>13931.665366068955</v>
      </c>
      <c r="AH589" s="45" t="str">
        <f t="shared" si="207"/>
        <v>-248.53985,42.09215,13932</v>
      </c>
      <c r="AI589" s="44">
        <f t="shared" si="209"/>
        <v>1021.3279686133837</v>
      </c>
    </row>
    <row r="590" spans="1:35" ht="18" customHeight="1" x14ac:dyDescent="0.25">
      <c r="A590" s="36">
        <f t="shared" si="204"/>
        <v>0.74629633101851844</v>
      </c>
      <c r="B590" s="42">
        <f t="shared" si="189"/>
        <v>42.092148796027466</v>
      </c>
      <c r="C590" s="43">
        <f t="shared" si="190"/>
        <v>111.46014878269057</v>
      </c>
      <c r="D590" s="18">
        <f t="shared" si="191"/>
        <v>13.900095113054704</v>
      </c>
      <c r="E590" s="21" t="str">
        <f t="shared" si="192"/>
        <v>Umbra</v>
      </c>
      <c r="F590" s="23">
        <f>IF($E590&lt;&gt;"Umbra",fracil2($S$2,$S$3,$S$4,$A590,$Q$2,$O$3,$Q$4,$U590,$V590,$W590),0)</f>
        <v>0</v>
      </c>
      <c r="G590" s="19">
        <f t="shared" si="193"/>
        <v>69.299833799181201</v>
      </c>
      <c r="H590" s="19">
        <f t="shared" si="194"/>
        <v>-4.0935844808086941</v>
      </c>
      <c r="I590" s="19">
        <f t="shared" si="195"/>
        <v>-2.885566531413799</v>
      </c>
      <c r="J590" s="28">
        <f t="shared" si="196"/>
        <v>5.463551101487012E-3</v>
      </c>
      <c r="K590" s="24">
        <f t="shared" si="197"/>
        <v>1049.0122937481726</v>
      </c>
      <c r="L590" s="32">
        <f t="shared" si="198"/>
        <v>0.55667256108339036</v>
      </c>
      <c r="M590" s="35">
        <f t="shared" si="199"/>
        <v>13.307084771747173</v>
      </c>
      <c r="O590" s="29">
        <f t="shared" si="200"/>
        <v>1046.5831961424021</v>
      </c>
      <c r="T590" s="48">
        <v>0.74629633101851844</v>
      </c>
      <c r="U590" s="29">
        <v>-1306.2800813172619</v>
      </c>
      <c r="V590" s="29">
        <v>4567.3272012450307</v>
      </c>
      <c r="W590" s="29">
        <v>4262.5209266602487</v>
      </c>
      <c r="X590" s="4">
        <v>-0.32663188957598122</v>
      </c>
      <c r="Y590" s="4">
        <v>-0.11775839246611623</v>
      </c>
      <c r="Z590" s="4">
        <v>-2.1140026201854741E-2</v>
      </c>
      <c r="AA590" s="3">
        <f t="shared" si="205"/>
        <v>0.34785389316779958</v>
      </c>
      <c r="AB590" s="3">
        <f t="shared" si="208"/>
        <v>7.9624559136750369E-3</v>
      </c>
      <c r="AC590" s="3">
        <f t="shared" si="206"/>
        <v>3.1553757616472056E-2</v>
      </c>
      <c r="AD590" s="48"/>
      <c r="AE590" s="46">
        <f t="shared" si="201"/>
        <v>42.092148796027466</v>
      </c>
      <c r="AF590" s="46">
        <f t="shared" si="202"/>
        <v>-248.53985121730943</v>
      </c>
      <c r="AG590" s="47">
        <f t="shared" si="203"/>
        <v>13900.095113054704</v>
      </c>
      <c r="AH590" s="45" t="str">
        <f t="shared" si="207"/>
        <v>-248.53985,42.09215,13900</v>
      </c>
      <c r="AI590" s="44">
        <f t="shared" si="209"/>
        <v>1021.3280635486817</v>
      </c>
    </row>
    <row r="591" spans="1:35" ht="18" customHeight="1" x14ac:dyDescent="0.25">
      <c r="A591" s="36">
        <f t="shared" si="204"/>
        <v>0.74630795138888883</v>
      </c>
      <c r="B591" s="42">
        <f t="shared" si="189"/>
        <v>42.092148790242739</v>
      </c>
      <c r="C591" s="43">
        <f t="shared" si="190"/>
        <v>111.46014852997564</v>
      </c>
      <c r="D591" s="18">
        <f t="shared" si="191"/>
        <v>13.868474951760618</v>
      </c>
      <c r="E591" s="21" t="str">
        <f t="shared" si="192"/>
        <v>Umbra</v>
      </c>
      <c r="F591" s="23">
        <f>IF($E591&lt;&gt;"Umbra",fracil2($S$2,$S$3,$S$4,$A591,$Q$2,$O$3,$Q$4,$U591,$V591,$W591),0)</f>
        <v>0</v>
      </c>
      <c r="G591" s="19">
        <f t="shared" si="193"/>
        <v>69.299839200066316</v>
      </c>
      <c r="H591" s="19">
        <f t="shared" si="194"/>
        <v>-4.0953038050589834</v>
      </c>
      <c r="I591" s="19">
        <f t="shared" si="195"/>
        <v>-2.8872858556640884</v>
      </c>
      <c r="J591" s="28">
        <f t="shared" si="196"/>
        <v>5.4598963407520608E-3</v>
      </c>
      <c r="K591" s="24">
        <f t="shared" si="197"/>
        <v>1049.0093063760723</v>
      </c>
      <c r="L591" s="32">
        <f t="shared" si="198"/>
        <v>0.55668786217786026</v>
      </c>
      <c r="M591" s="35">
        <f t="shared" si="199"/>
        <v>13.305929979465395</v>
      </c>
      <c r="O591" s="29">
        <f t="shared" si="200"/>
        <v>1046.5831756785947</v>
      </c>
      <c r="T591" s="48">
        <v>0.74630795138888883</v>
      </c>
      <c r="U591" s="29">
        <v>-1306.6079909390435</v>
      </c>
      <c r="V591" s="29">
        <v>4567.2089994258858</v>
      </c>
      <c r="W591" s="29">
        <v>4262.4997303984146</v>
      </c>
      <c r="X591" s="4">
        <v>-0.32663748953325461</v>
      </c>
      <c r="Y591" s="4">
        <v>-0.11772615717821466</v>
      </c>
      <c r="Z591" s="4">
        <v>-2.1087727026670434E-2</v>
      </c>
      <c r="AA591" s="3">
        <f t="shared" si="205"/>
        <v>0.34784506591827358</v>
      </c>
      <c r="AB591" s="3">
        <f t="shared" si="208"/>
        <v>7.9202659136962915E-3</v>
      </c>
      <c r="AC591" s="3">
        <f t="shared" si="206"/>
        <v>3.1475780824412013E-2</v>
      </c>
      <c r="AD591" s="48"/>
      <c r="AE591" s="46">
        <f t="shared" si="201"/>
        <v>42.092148790242739</v>
      </c>
      <c r="AF591" s="46">
        <f t="shared" si="202"/>
        <v>-248.53985147002436</v>
      </c>
      <c r="AG591" s="47">
        <f t="shared" si="203"/>
        <v>13868.474951760618</v>
      </c>
      <c r="AH591" s="45" t="str">
        <f t="shared" si="207"/>
        <v>-248.53985,42.09215,13868</v>
      </c>
      <c r="AI591" s="44">
        <f t="shared" si="209"/>
        <v>1021.3280635486817</v>
      </c>
    </row>
    <row r="592" spans="1:35" ht="18" customHeight="1" x14ac:dyDescent="0.25">
      <c r="A592" s="36">
        <f t="shared" si="204"/>
        <v>0.74631953703703713</v>
      </c>
      <c r="B592" s="42">
        <f t="shared" si="189"/>
        <v>42.092148784494839</v>
      </c>
      <c r="C592" s="43">
        <f t="shared" si="190"/>
        <v>111.46014840236614</v>
      </c>
      <c r="D592" s="18">
        <f t="shared" si="191"/>
        <v>13.837026096079171</v>
      </c>
      <c r="E592" s="21" t="str">
        <f t="shared" si="192"/>
        <v>Umbra</v>
      </c>
      <c r="F592" s="23">
        <f>IF($E592&lt;&gt;"Umbra",fracil2($S$2,$S$3,$S$4,$A592,$Q$2,$O$3,$Q$4,$U592,$V592,$W592),0)</f>
        <v>0</v>
      </c>
      <c r="G592" s="19">
        <f t="shared" si="193"/>
        <v>69.299844697656539</v>
      </c>
      <c r="H592" s="19">
        <f t="shared" si="194"/>
        <v>-4.0970138752068141</v>
      </c>
      <c r="I592" s="19">
        <f t="shared" si="195"/>
        <v>-2.8889959258119191</v>
      </c>
      <c r="J592" s="28">
        <f t="shared" si="196"/>
        <v>5.4562728107393436E-3</v>
      </c>
      <c r="K592" s="24">
        <f t="shared" si="197"/>
        <v>1049.0063460801887</v>
      </c>
      <c r="L592" s="32">
        <f t="shared" si="198"/>
        <v>0.5567031085531069</v>
      </c>
      <c r="M592" s="35">
        <f t="shared" si="199"/>
        <v>13.304781294563712</v>
      </c>
      <c r="O592" s="29">
        <f t="shared" si="200"/>
        <v>1046.5831652745956</v>
      </c>
      <c r="T592" s="48">
        <v>0.74631953703703713</v>
      </c>
      <c r="U592" s="29">
        <v>-1306.9349360873928</v>
      </c>
      <c r="V592" s="29">
        <v>4567.0911793419546</v>
      </c>
      <c r="W592" s="29">
        <v>4262.47864897006</v>
      </c>
      <c r="X592" s="4">
        <v>-0.32664299850287476</v>
      </c>
      <c r="Y592" s="4">
        <v>-0.11769431822872155</v>
      </c>
      <c r="Z592" s="4">
        <v>-2.1035862817061303E-2</v>
      </c>
      <c r="AA592" s="3">
        <f t="shared" si="205"/>
        <v>0.34783632435203032</v>
      </c>
      <c r="AB592" s="3">
        <f t="shared" si="208"/>
        <v>7.8779127573233645E-3</v>
      </c>
      <c r="AC592" s="3">
        <f t="shared" si="206"/>
        <v>3.1398452761100232E-2</v>
      </c>
      <c r="AD592" s="48"/>
      <c r="AE592" s="46">
        <f t="shared" si="201"/>
        <v>42.092148784494839</v>
      </c>
      <c r="AF592" s="46">
        <f t="shared" si="202"/>
        <v>-248.53985159763386</v>
      </c>
      <c r="AG592" s="47">
        <f t="shared" si="203"/>
        <v>13837.026096079171</v>
      </c>
      <c r="AH592" s="45" t="str">
        <f t="shared" si="207"/>
        <v>-248.53985,42.09215,13837</v>
      </c>
      <c r="AI592" s="44">
        <f t="shared" si="209"/>
        <v>1021.3280635486817</v>
      </c>
    </row>
    <row r="593" spans="1:35" ht="18" customHeight="1" x14ac:dyDescent="0.25">
      <c r="A593" s="36">
        <f t="shared" si="204"/>
        <v>0.74633100694444454</v>
      </c>
      <c r="B593" s="42">
        <f t="shared" si="189"/>
        <v>42.092148778820821</v>
      </c>
      <c r="C593" s="43">
        <f t="shared" si="190"/>
        <v>111.46015032874588</v>
      </c>
      <c r="D593" s="18">
        <f t="shared" si="191"/>
        <v>13.805952113012609</v>
      </c>
      <c r="E593" s="21" t="str">
        <f t="shared" si="192"/>
        <v>Umbra</v>
      </c>
      <c r="F593" s="23">
        <f>IF($E593&lt;&gt;"Umbra",fracil2($S$2,$S$3,$S$4,$A593,$Q$2,$O$3,$Q$4,$U593,$V593,$W593),0)</f>
        <v>0</v>
      </c>
      <c r="G593" s="19">
        <f t="shared" si="193"/>
        <v>69.299852218790676</v>
      </c>
      <c r="H593" s="19">
        <f t="shared" si="194"/>
        <v>-4.0987044131745423</v>
      </c>
      <c r="I593" s="19">
        <f t="shared" si="195"/>
        <v>-2.8906864637796472</v>
      </c>
      <c r="J593" s="28">
        <f t="shared" si="196"/>
        <v>5.4527033979924772E-3</v>
      </c>
      <c r="K593" s="24">
        <f t="shared" si="197"/>
        <v>1049.0035871088837</v>
      </c>
      <c r="L593" s="32">
        <f t="shared" si="198"/>
        <v>0.55671819342794315</v>
      </c>
      <c r="M593" s="35">
        <f t="shared" si="199"/>
        <v>13.30364416867954</v>
      </c>
      <c r="O593" s="29">
        <f t="shared" si="200"/>
        <v>1046.5833200199409</v>
      </c>
      <c r="T593" s="48">
        <v>0.74633100694444454</v>
      </c>
      <c r="U593" s="29">
        <v>-1307.2587809790027</v>
      </c>
      <c r="V593" s="29">
        <v>4566.9745097031973</v>
      </c>
      <c r="W593" s="29">
        <v>4262.4578188342912</v>
      </c>
      <c r="X593" s="4">
        <v>-0.3266483827003509</v>
      </c>
      <c r="Y593" s="4">
        <v>-0.1176630747990404</v>
      </c>
      <c r="Z593" s="4">
        <v>-2.0984764160372153E-2</v>
      </c>
      <c r="AA593" s="3">
        <f t="shared" si="205"/>
        <v>0.34782772376391435</v>
      </c>
      <c r="AB593" s="3">
        <f t="shared" si="208"/>
        <v>7.8399295292617462E-3</v>
      </c>
      <c r="AC593" s="3">
        <f t="shared" si="206"/>
        <v>3.1322266317276928E-2</v>
      </c>
      <c r="AD593" s="48"/>
      <c r="AE593" s="46">
        <f t="shared" si="201"/>
        <v>42.092148778820821</v>
      </c>
      <c r="AF593" s="46">
        <f t="shared" si="202"/>
        <v>-248.5398496712541</v>
      </c>
      <c r="AG593" s="47">
        <f t="shared" si="203"/>
        <v>13805.952113012609</v>
      </c>
      <c r="AH593" s="45" t="str">
        <f t="shared" si="207"/>
        <v>-248.53985,42.09215,13806</v>
      </c>
      <c r="AI593" s="44">
        <f t="shared" si="209"/>
        <v>1021.328227981441</v>
      </c>
    </row>
    <row r="594" spans="1:35" ht="18" customHeight="1" x14ac:dyDescent="0.25">
      <c r="A594" s="36">
        <f t="shared" si="204"/>
        <v>0.74634274305555559</v>
      </c>
      <c r="B594" s="42">
        <f t="shared" si="189"/>
        <v>42.092148773034864</v>
      </c>
      <c r="C594" s="43">
        <f t="shared" si="190"/>
        <v>111.4601524332497</v>
      </c>
      <c r="D594" s="18">
        <f t="shared" si="191"/>
        <v>13.774233950439339</v>
      </c>
      <c r="E594" s="21" t="str">
        <f t="shared" si="192"/>
        <v>Umbra</v>
      </c>
      <c r="F594" s="23">
        <f>IF($E594&lt;&gt;"Umbra",fracil2($S$2,$S$3,$S$4,$A594,$Q$2,$O$3,$Q$4,$U594,$V594,$W594),0)</f>
        <v>0</v>
      </c>
      <c r="G594" s="19">
        <f t="shared" si="193"/>
        <v>69.299860036513806</v>
      </c>
      <c r="H594" s="19">
        <f t="shared" si="194"/>
        <v>-4.1004300627240413</v>
      </c>
      <c r="I594" s="19">
        <f t="shared" si="195"/>
        <v>-2.8924121133291463</v>
      </c>
      <c r="J594" s="28">
        <f t="shared" si="196"/>
        <v>5.4490713175542405E-3</v>
      </c>
      <c r="K594" s="24">
        <f t="shared" si="197"/>
        <v>1049.0007830003451</v>
      </c>
      <c r="L594" s="32">
        <f t="shared" si="198"/>
        <v>0.55673361937416155</v>
      </c>
      <c r="M594" s="35">
        <f t="shared" si="199"/>
        <v>13.302483306199937</v>
      </c>
      <c r="O594" s="29">
        <f t="shared" si="200"/>
        <v>1046.5834890842441</v>
      </c>
      <c r="T594" s="48">
        <v>0.74634274305555559</v>
      </c>
      <c r="U594" s="29">
        <v>-1307.5901579214931</v>
      </c>
      <c r="V594" s="29">
        <v>4566.8551604280156</v>
      </c>
      <c r="W594" s="29">
        <v>4262.4365568796666</v>
      </c>
      <c r="X594" s="4">
        <v>-0.32665381809289545</v>
      </c>
      <c r="Y594" s="4">
        <v>-0.11763140440817318</v>
      </c>
      <c r="Z594" s="4">
        <v>-2.0932756474653792E-2</v>
      </c>
      <c r="AA594" s="3">
        <f t="shared" si="205"/>
        <v>0.34781898233324299</v>
      </c>
      <c r="AB594" s="3">
        <f t="shared" si="208"/>
        <v>7.7983862728010648E-3</v>
      </c>
      <c r="AC594" s="3">
        <f t="shared" si="206"/>
        <v>3.1244724747825175E-2</v>
      </c>
      <c r="AD594" s="48"/>
      <c r="AE594" s="46">
        <f t="shared" si="201"/>
        <v>42.092148773034864</v>
      </c>
      <c r="AF594" s="46">
        <f t="shared" si="202"/>
        <v>-248.5398475667503</v>
      </c>
      <c r="AG594" s="47">
        <f t="shared" si="203"/>
        <v>13774.233950439339</v>
      </c>
      <c r="AH594" s="45" t="str">
        <f t="shared" si="207"/>
        <v>-248.53985,42.09215,13774</v>
      </c>
      <c r="AI594" s="44">
        <f t="shared" si="209"/>
        <v>1021.3283924142004</v>
      </c>
    </row>
    <row r="595" spans="1:35" ht="18" customHeight="1" x14ac:dyDescent="0.25">
      <c r="A595" s="36">
        <f t="shared" si="204"/>
        <v>0.74635417824074068</v>
      </c>
      <c r="B595" s="42">
        <f t="shared" si="189"/>
        <v>42.092148767422259</v>
      </c>
      <c r="C595" s="43">
        <f t="shared" si="190"/>
        <v>111.46015015940033</v>
      </c>
      <c r="D595" s="18">
        <f t="shared" si="191"/>
        <v>13.743436815718269</v>
      </c>
      <c r="E595" s="21" t="str">
        <f t="shared" si="192"/>
        <v>Umbra</v>
      </c>
      <c r="F595" s="23">
        <f>IF($E595&lt;&gt;"Umbra",fracil2($S$2,$S$3,$S$4,$A595,$Q$2,$O$3,$Q$4,$U595,$V595,$W595),0)</f>
        <v>0</v>
      </c>
      <c r="G595" s="19">
        <f t="shared" si="193"/>
        <v>69.29986323305539</v>
      </c>
      <c r="H595" s="19">
        <f t="shared" si="194"/>
        <v>-4.1021038408941584</v>
      </c>
      <c r="I595" s="19">
        <f t="shared" si="195"/>
        <v>-2.8940858914992633</v>
      </c>
      <c r="J595" s="28">
        <f t="shared" si="196"/>
        <v>5.4455560174279877E-3</v>
      </c>
      <c r="K595" s="24">
        <f t="shared" si="197"/>
        <v>1048.997713908584</v>
      </c>
      <c r="L595" s="32">
        <f t="shared" si="198"/>
        <v>0.55674864194910179</v>
      </c>
      <c r="M595" s="35">
        <f t="shared" si="199"/>
        <v>13.301360574647791</v>
      </c>
      <c r="O595" s="29">
        <f t="shared" si="200"/>
        <v>1046.5833061188887</v>
      </c>
      <c r="T595" s="48">
        <v>0.74635417824074068</v>
      </c>
      <c r="U595" s="29">
        <v>-1307.9127052542196</v>
      </c>
      <c r="V595" s="29">
        <v>4566.7390238461912</v>
      </c>
      <c r="W595" s="29">
        <v>4262.415912327343</v>
      </c>
      <c r="X595" s="4">
        <v>-0.32665903740963104</v>
      </c>
      <c r="Y595" s="4">
        <v>-0.11760086635309246</v>
      </c>
      <c r="Z595" s="4">
        <v>-2.0882403503085609E-2</v>
      </c>
      <c r="AA595" s="3">
        <f t="shared" si="205"/>
        <v>0.34781053069803725</v>
      </c>
      <c r="AB595" s="3">
        <f t="shared" si="208"/>
        <v>7.7489377034902756E-3</v>
      </c>
      <c r="AC595" s="3">
        <f t="shared" si="206"/>
        <v>3.1169650497702796E-2</v>
      </c>
      <c r="AD595" s="48"/>
      <c r="AE595" s="46">
        <f t="shared" si="201"/>
        <v>42.092148767422259</v>
      </c>
      <c r="AF595" s="46">
        <f t="shared" si="202"/>
        <v>-248.53984984059969</v>
      </c>
      <c r="AG595" s="47">
        <f t="shared" si="203"/>
        <v>13743.436815718269</v>
      </c>
      <c r="AH595" s="45" t="str">
        <f t="shared" si="207"/>
        <v>-248.53985,42.09215,13743</v>
      </c>
      <c r="AI595" s="44">
        <f t="shared" si="209"/>
        <v>1021.3285822847963</v>
      </c>
    </row>
    <row r="596" spans="1:35" ht="18" customHeight="1" x14ac:dyDescent="0.25">
      <c r="A596" s="36">
        <f t="shared" si="204"/>
        <v>0.74636577546296301</v>
      </c>
      <c r="B596" s="42">
        <f t="shared" si="189"/>
        <v>42.092148761742614</v>
      </c>
      <c r="C596" s="43">
        <f t="shared" si="190"/>
        <v>111.46015270909666</v>
      </c>
      <c r="D596" s="18">
        <f t="shared" si="191"/>
        <v>13.712242716244873</v>
      </c>
      <c r="E596" s="21" t="str">
        <f t="shared" si="192"/>
        <v>Umbra</v>
      </c>
      <c r="F596" s="23">
        <f>IF($E596&lt;&gt;"Umbra",fracil2($S$2,$S$3,$S$4,$A596,$Q$2,$O$3,$Q$4,$U596,$V596,$W596),0)</f>
        <v>0</v>
      </c>
      <c r="G596" s="19">
        <f t="shared" si="193"/>
        <v>69.299871410172358</v>
      </c>
      <c r="H596" s="19">
        <f t="shared" si="194"/>
        <v>-4.1038011935927665</v>
      </c>
      <c r="I596" s="19">
        <f t="shared" si="195"/>
        <v>-2.8957832441978715</v>
      </c>
      <c r="J596" s="28">
        <f t="shared" si="196"/>
        <v>5.4420060598966277E-3</v>
      </c>
      <c r="K596" s="24">
        <f t="shared" si="197"/>
        <v>1048.9949965780092</v>
      </c>
      <c r="L596" s="32">
        <f t="shared" si="198"/>
        <v>0.55676386767570685</v>
      </c>
      <c r="M596" s="35">
        <f t="shared" si="199"/>
        <v>13.300218356953678</v>
      </c>
      <c r="O596" s="29">
        <f t="shared" si="200"/>
        <v>1046.5835109807972</v>
      </c>
      <c r="T596" s="48">
        <v>0.74636577546296301</v>
      </c>
      <c r="U596" s="29">
        <v>-1308.2402080132667</v>
      </c>
      <c r="V596" s="29">
        <v>4566.6211356024778</v>
      </c>
      <c r="W596" s="29">
        <v>4262.3950016740964</v>
      </c>
      <c r="X596" s="4">
        <v>-0.32666426473755739</v>
      </c>
      <c r="Y596" s="4">
        <v>-0.11757015087478713</v>
      </c>
      <c r="Z596" s="4">
        <v>-2.0831548970097785E-2</v>
      </c>
      <c r="AA596" s="3">
        <f t="shared" si="205"/>
        <v>0.34780200641419934</v>
      </c>
      <c r="AB596" s="3">
        <f t="shared" si="208"/>
        <v>7.7167565844023069E-3</v>
      </c>
      <c r="AC596" s="3">
        <f t="shared" si="206"/>
        <v>3.1093828641605335E-2</v>
      </c>
      <c r="AD596" s="48"/>
      <c r="AE596" s="46">
        <f t="shared" si="201"/>
        <v>42.092148761742614</v>
      </c>
      <c r="AF596" s="46">
        <f t="shared" si="202"/>
        <v>-248.53984729090334</v>
      </c>
      <c r="AG596" s="47">
        <f t="shared" si="203"/>
        <v>13712.242716244873</v>
      </c>
      <c r="AH596" s="45" t="str">
        <f t="shared" si="207"/>
        <v>-248.53985,42.09215,13712</v>
      </c>
      <c r="AI596" s="44">
        <f t="shared" si="209"/>
        <v>1021.3288148278349</v>
      </c>
    </row>
    <row r="597" spans="1:35" ht="18" customHeight="1" x14ac:dyDescent="0.25">
      <c r="A597" s="36">
        <f t="shared" si="204"/>
        <v>0.74637738425925926</v>
      </c>
      <c r="B597" s="42">
        <f t="shared" si="189"/>
        <v>42.092148756080057</v>
      </c>
      <c r="C597" s="43">
        <f t="shared" si="190"/>
        <v>111.460152826285</v>
      </c>
      <c r="D597" s="18">
        <f t="shared" si="191"/>
        <v>13.681111515546945</v>
      </c>
      <c r="E597" s="21" t="str">
        <f t="shared" si="192"/>
        <v>Umbra</v>
      </c>
      <c r="F597" s="23">
        <f>IF($E597&lt;&gt;"Umbra",fracil2($S$2,$S$3,$S$4,$A597,$Q$2,$O$3,$Q$4,$U597,$V597,$W597),0)</f>
        <v>0</v>
      </c>
      <c r="G597" s="19">
        <f t="shared" si="193"/>
        <v>69.299877100190585</v>
      </c>
      <c r="H597" s="19">
        <f t="shared" si="194"/>
        <v>-4.105494137445123</v>
      </c>
      <c r="I597" s="19">
        <f t="shared" si="195"/>
        <v>-2.897476188050228</v>
      </c>
      <c r="J597" s="28">
        <f t="shared" si="196"/>
        <v>5.438474685926795E-3</v>
      </c>
      <c r="K597" s="24">
        <f t="shared" si="197"/>
        <v>1048.9920903642812</v>
      </c>
      <c r="L597" s="32">
        <f t="shared" si="198"/>
        <v>0.55677910033638767</v>
      </c>
      <c r="M597" s="35">
        <f t="shared" si="199"/>
        <v>13.299080919119181</v>
      </c>
      <c r="O597" s="29">
        <f t="shared" si="200"/>
        <v>1046.5835202614862</v>
      </c>
      <c r="T597" s="48">
        <v>0.74637738425925926</v>
      </c>
      <c r="U597" s="29">
        <v>-1308.5678525055557</v>
      </c>
      <c r="V597" s="29">
        <v>4566.5032288823086</v>
      </c>
      <c r="W597" s="29">
        <v>4262.374133184886</v>
      </c>
      <c r="X597" s="4">
        <v>-0.32666942176612057</v>
      </c>
      <c r="Y597" s="4">
        <v>-0.1175397151902999</v>
      </c>
      <c r="Z597" s="4">
        <v>-2.0780945720612207E-2</v>
      </c>
      <c r="AA597" s="3">
        <f t="shared" si="205"/>
        <v>0.34779353569189786</v>
      </c>
      <c r="AB597" s="3">
        <f t="shared" si="208"/>
        <v>7.6709500978190742E-3</v>
      </c>
      <c r="AC597" s="3">
        <f t="shared" si="206"/>
        <v>3.1018381640936461E-2</v>
      </c>
      <c r="AD597" s="48"/>
      <c r="AE597" s="46">
        <f t="shared" si="201"/>
        <v>42.092148756080057</v>
      </c>
      <c r="AF597" s="46">
        <f t="shared" si="202"/>
        <v>-248.539847173715</v>
      </c>
      <c r="AG597" s="47">
        <f t="shared" si="203"/>
        <v>13681.111515546945</v>
      </c>
      <c r="AH597" s="45" t="str">
        <f t="shared" si="207"/>
        <v>-248.53985,42.09215,13681</v>
      </c>
      <c r="AI597" s="44">
        <f t="shared" si="209"/>
        <v>1021.3288148278349</v>
      </c>
    </row>
    <row r="598" spans="1:35" ht="18" customHeight="1" x14ac:dyDescent="0.25">
      <c r="A598" s="36">
        <f t="shared" si="204"/>
        <v>0.74638892361111109</v>
      </c>
      <c r="B598" s="42">
        <f t="shared" si="189"/>
        <v>42.092148750471843</v>
      </c>
      <c r="C598" s="43">
        <f t="shared" si="190"/>
        <v>111.46015183894107</v>
      </c>
      <c r="D598" s="18">
        <f t="shared" si="191"/>
        <v>13.650249545315091</v>
      </c>
      <c r="E598" s="21" t="str">
        <f t="shared" si="192"/>
        <v>Umbra</v>
      </c>
      <c r="F598" s="23">
        <f>IF($E598&lt;&gt;"Umbra",fracil2($S$2,$S$3,$S$4,$A598,$Q$2,$O$3,$Q$4,$U598,$V598,$W598),0)</f>
        <v>0</v>
      </c>
      <c r="G598" s="19">
        <f t="shared" si="193"/>
        <v>69.299881617835496</v>
      </c>
      <c r="H598" s="19">
        <f t="shared" si="194"/>
        <v>-4.1071719972985532</v>
      </c>
      <c r="I598" s="19">
        <f t="shared" si="195"/>
        <v>-2.8991540479036582</v>
      </c>
      <c r="J598" s="28">
        <f t="shared" si="196"/>
        <v>5.4349848606583167E-3</v>
      </c>
      <c r="K598" s="24">
        <f t="shared" si="197"/>
        <v>1048.9891214119016</v>
      </c>
      <c r="L598" s="32">
        <f t="shared" si="198"/>
        <v>0.55679423347031853</v>
      </c>
      <c r="M598" s="35">
        <f t="shared" si="199"/>
        <v>13.297954432599996</v>
      </c>
      <c r="O598" s="29">
        <f t="shared" si="200"/>
        <v>1046.5834407355135</v>
      </c>
      <c r="T598" s="48">
        <v>0.74638892361111109</v>
      </c>
      <c r="U598" s="29">
        <v>-1308.893455850774</v>
      </c>
      <c r="V598" s="29">
        <v>4566.3860886219718</v>
      </c>
      <c r="W598" s="29">
        <v>4262.3534451720789</v>
      </c>
      <c r="X598" s="4">
        <v>-0.32667447577527642</v>
      </c>
      <c r="Y598" s="4">
        <v>-0.11750975567315528</v>
      </c>
      <c r="Z598" s="4">
        <v>-2.0730924913040193E-2</v>
      </c>
      <c r="AA598" s="3">
        <f t="shared" si="205"/>
        <v>0.34778517370521478</v>
      </c>
      <c r="AB598" s="3">
        <f t="shared" si="208"/>
        <v>7.6282700394095506E-3</v>
      </c>
      <c r="AC598" s="3">
        <f t="shared" si="206"/>
        <v>3.094380323337817E-2</v>
      </c>
      <c r="AD598" s="48"/>
      <c r="AE598" s="46">
        <f t="shared" si="201"/>
        <v>42.092148750471843</v>
      </c>
      <c r="AF598" s="46">
        <f t="shared" si="202"/>
        <v>-248.53984816105893</v>
      </c>
      <c r="AG598" s="47">
        <f t="shared" si="203"/>
        <v>13650.249545315091</v>
      </c>
      <c r="AH598" s="45" t="str">
        <f t="shared" si="207"/>
        <v>-248.53985,42.09215,13650</v>
      </c>
      <c r="AI598" s="44">
        <f t="shared" si="209"/>
        <v>1021.3289490866199</v>
      </c>
    </row>
    <row r="599" spans="1:35" ht="18" customHeight="1" x14ac:dyDescent="0.25">
      <c r="A599" s="36">
        <f t="shared" si="204"/>
        <v>0.74640049768518513</v>
      </c>
      <c r="B599" s="42">
        <f t="shared" si="189"/>
        <v>42.092148744862989</v>
      </c>
      <c r="C599" s="43">
        <f t="shared" si="190"/>
        <v>111.46015277985801</v>
      </c>
      <c r="D599" s="18">
        <f t="shared" si="191"/>
        <v>13.619354959057091</v>
      </c>
      <c r="E599" s="21" t="str">
        <f t="shared" si="192"/>
        <v>Umbra</v>
      </c>
      <c r="F599" s="23">
        <f>IF($E599&lt;&gt;"Umbra",fracil2($S$2,$S$3,$S$4,$A599,$Q$2,$O$3,$Q$4,$U599,$V599,$W599),0)</f>
        <v>0</v>
      </c>
      <c r="G599" s="19">
        <f t="shared" si="193"/>
        <v>69.299888103965756</v>
      </c>
      <c r="H599" s="19">
        <f t="shared" si="194"/>
        <v>-4.108852430321221</v>
      </c>
      <c r="I599" s="19">
        <f t="shared" si="195"/>
        <v>-2.900834480926326</v>
      </c>
      <c r="J599" s="28">
        <f t="shared" si="196"/>
        <v>5.4315020749086396E-3</v>
      </c>
      <c r="K599" s="24">
        <f t="shared" si="197"/>
        <v>1048.9863054329298</v>
      </c>
      <c r="L599" s="32">
        <f t="shared" si="198"/>
        <v>0.55680940312974725</v>
      </c>
      <c r="M599" s="35">
        <f t="shared" si="199"/>
        <v>13.296824750114075</v>
      </c>
      <c r="O599" s="29">
        <f t="shared" si="200"/>
        <v>1046.5835162480412</v>
      </c>
      <c r="T599" s="48">
        <v>0.74640049768518513</v>
      </c>
      <c r="U599" s="29">
        <v>-1309.2201950182068</v>
      </c>
      <c r="V599" s="29">
        <v>4566.2685714177387</v>
      </c>
      <c r="W599" s="29">
        <v>4262.332735295885</v>
      </c>
      <c r="X599" s="4">
        <v>-0.32667947664621932</v>
      </c>
      <c r="Y599" s="4">
        <v>-0.11747997752614937</v>
      </c>
      <c r="Z599" s="4">
        <v>-2.0680996183576293E-2</v>
      </c>
      <c r="AA599" s="3">
        <f t="shared" si="205"/>
        <v>0.34777683819446259</v>
      </c>
      <c r="AB599" s="3">
        <f t="shared" si="208"/>
        <v>7.5913648596887566E-3</v>
      </c>
      <c r="AC599" s="3">
        <f t="shared" si="206"/>
        <v>3.0869362309564288E-2</v>
      </c>
      <c r="AD599" s="48"/>
      <c r="AE599" s="46">
        <f t="shared" si="201"/>
        <v>42.092148744862989</v>
      </c>
      <c r="AF599" s="46">
        <f t="shared" si="202"/>
        <v>-248.53984722014201</v>
      </c>
      <c r="AG599" s="47">
        <f t="shared" si="203"/>
        <v>13619.354959057091</v>
      </c>
      <c r="AH599" s="45" t="str">
        <f t="shared" si="207"/>
        <v>-248.53985,42.09215,13619</v>
      </c>
      <c r="AI599" s="44">
        <f t="shared" si="209"/>
        <v>1021.3290833454049</v>
      </c>
    </row>
    <row r="600" spans="1:35" ht="18" customHeight="1" x14ac:dyDescent="0.25">
      <c r="A600" s="36">
        <f t="shared" si="204"/>
        <v>0.74641216435185187</v>
      </c>
      <c r="B600" s="42">
        <f t="shared" si="189"/>
        <v>42.092148739230304</v>
      </c>
      <c r="C600" s="43">
        <f t="shared" si="190"/>
        <v>111.46015213563187</v>
      </c>
      <c r="D600" s="18">
        <f t="shared" si="191"/>
        <v>13.588300136634643</v>
      </c>
      <c r="E600" s="21" t="str">
        <f t="shared" si="192"/>
        <v>Umbra</v>
      </c>
      <c r="F600" s="23">
        <f>IF($E600&lt;&gt;"Umbra",fracil2($S$2,$S$3,$S$4,$A600,$Q$2,$O$3,$Q$4,$U600,$V600,$W600),0)</f>
        <v>0</v>
      </c>
      <c r="G600" s="19">
        <f t="shared" si="193"/>
        <v>69.299893005398644</v>
      </c>
      <c r="H600" s="19">
        <f t="shared" si="194"/>
        <v>-4.1105409368522023</v>
      </c>
      <c r="I600" s="19">
        <f t="shared" si="195"/>
        <v>-2.9025229874573073</v>
      </c>
      <c r="J600" s="28">
        <f t="shared" si="196"/>
        <v>5.4280121941970095E-3</v>
      </c>
      <c r="K600" s="24">
        <f t="shared" si="197"/>
        <v>1048.9833478431863</v>
      </c>
      <c r="L600" s="32">
        <f t="shared" si="198"/>
        <v>0.5568246858111584</v>
      </c>
      <c r="M600" s="35">
        <f t="shared" si="199"/>
        <v>13.295690823135631</v>
      </c>
      <c r="O600" s="29">
        <f t="shared" si="200"/>
        <v>1046.5834643092485</v>
      </c>
      <c r="T600" s="48">
        <v>0.74641216435185187</v>
      </c>
      <c r="U600" s="29">
        <v>-1309.5494286514306</v>
      </c>
      <c r="V600" s="29">
        <v>4566.1501888262273</v>
      </c>
      <c r="W600" s="29">
        <v>4262.3119180074254</v>
      </c>
      <c r="X600" s="4">
        <v>-0.32668444517706691</v>
      </c>
      <c r="Y600" s="4">
        <v>-0.11745025722767043</v>
      </c>
      <c r="Z600" s="4">
        <v>-2.063095218512042E-2</v>
      </c>
      <c r="AA600" s="3">
        <f t="shared" si="205"/>
        <v>0.34776849459311104</v>
      </c>
      <c r="AB600" s="3">
        <f t="shared" si="208"/>
        <v>7.5484823550054448E-3</v>
      </c>
      <c r="AC600" s="3">
        <f t="shared" si="206"/>
        <v>3.0794749728246831E-2</v>
      </c>
      <c r="AD600" s="48"/>
      <c r="AE600" s="46">
        <f t="shared" si="201"/>
        <v>42.092148739230304</v>
      </c>
      <c r="AF600" s="46">
        <f t="shared" si="202"/>
        <v>-248.53984786436814</v>
      </c>
      <c r="AG600" s="47">
        <f t="shared" si="203"/>
        <v>13588.300136634643</v>
      </c>
      <c r="AH600" s="45" t="str">
        <f t="shared" si="207"/>
        <v>-248.53985,42.09215,13588</v>
      </c>
      <c r="AI600" s="44">
        <f t="shared" si="209"/>
        <v>1021.3290833454049</v>
      </c>
    </row>
    <row r="601" spans="1:35" ht="18" customHeight="1" x14ac:dyDescent="0.25">
      <c r="A601" s="36">
        <f t="shared" si="204"/>
        <v>0.74642361111111111</v>
      </c>
      <c r="B601" s="42">
        <f t="shared" si="189"/>
        <v>42.092148733723917</v>
      </c>
      <c r="C601" s="43">
        <f t="shared" si="190"/>
        <v>111.46015021191326</v>
      </c>
      <c r="D601" s="18">
        <f t="shared" si="191"/>
        <v>13.557913090548936</v>
      </c>
      <c r="E601" s="21" t="str">
        <f t="shared" si="192"/>
        <v>Umbra</v>
      </c>
      <c r="F601" s="23">
        <f>IF($E601&lt;&gt;"Umbra",fracil2($S$2,$S$3,$S$4,$A601,$Q$2,$O$3,$Q$4,$U601,$V601,$W601),0)</f>
        <v>0</v>
      </c>
      <c r="G601" s="19">
        <f t="shared" si="193"/>
        <v>69.299896485062675</v>
      </c>
      <c r="H601" s="19">
        <f t="shared" si="194"/>
        <v>-4.1121926148547745</v>
      </c>
      <c r="I601" s="19">
        <f t="shared" si="195"/>
        <v>-2.9041746654598795</v>
      </c>
      <c r="J601" s="28">
        <f t="shared" si="196"/>
        <v>5.4246080715997323E-3</v>
      </c>
      <c r="K601" s="24">
        <f t="shared" si="197"/>
        <v>1048.9803506864321</v>
      </c>
      <c r="L601" s="32">
        <f t="shared" si="198"/>
        <v>0.55683967229103615</v>
      </c>
      <c r="M601" s="35">
        <f t="shared" si="199"/>
        <v>13.294582588864682</v>
      </c>
      <c r="O601" s="29">
        <f t="shared" si="200"/>
        <v>1046.5833094982195</v>
      </c>
      <c r="T601" s="48">
        <v>0.74642361111111111</v>
      </c>
      <c r="U601" s="29">
        <v>-1309.8723603838416</v>
      </c>
      <c r="V601" s="29">
        <v>4566.0341029057481</v>
      </c>
      <c r="W601" s="29">
        <v>4262.2915483565594</v>
      </c>
      <c r="X601" s="4">
        <v>-0.3266892498245661</v>
      </c>
      <c r="Y601" s="4">
        <v>-0.11742138363976266</v>
      </c>
      <c r="Z601" s="4">
        <v>-2.0582125147796962E-2</v>
      </c>
      <c r="AA601" s="3">
        <f t="shared" si="205"/>
        <v>0.34776036456504594</v>
      </c>
      <c r="AB601" s="3">
        <f t="shared" si="208"/>
        <v>7.5063893024804682E-3</v>
      </c>
      <c r="AC601" s="3">
        <f t="shared" si="206"/>
        <v>3.0721951758935349E-2</v>
      </c>
      <c r="AD601" s="48"/>
      <c r="AE601" s="46">
        <f t="shared" si="201"/>
        <v>42.092148733723917</v>
      </c>
      <c r="AF601" s="46">
        <f t="shared" si="202"/>
        <v>-248.53984978808674</v>
      </c>
      <c r="AG601" s="47">
        <f t="shared" si="203"/>
        <v>13557.913090548936</v>
      </c>
      <c r="AH601" s="45" t="str">
        <f t="shared" si="207"/>
        <v>-248.53985,42.09215,13558</v>
      </c>
      <c r="AI601" s="44">
        <f t="shared" si="209"/>
        <v>1021.3292732160008</v>
      </c>
    </row>
    <row r="602" spans="1:35" ht="18" customHeight="1" x14ac:dyDescent="0.25">
      <c r="A602" s="36">
        <f t="shared" si="204"/>
        <v>0.74643524305555553</v>
      </c>
      <c r="B602" s="42">
        <f t="shared" si="189"/>
        <v>42.092148728145169</v>
      </c>
      <c r="C602" s="43">
        <f t="shared" si="190"/>
        <v>111.46014983720931</v>
      </c>
      <c r="D602" s="18">
        <f t="shared" si="191"/>
        <v>13.52709641868114</v>
      </c>
      <c r="E602" s="21" t="str">
        <f t="shared" si="192"/>
        <v>Umbra</v>
      </c>
      <c r="F602" s="23">
        <f>IF($E602&lt;&gt;"Umbra",fracil2($S$2,$S$3,$S$4,$A602,$Q$2,$O$3,$Q$4,$U602,$V602,$W602),0)</f>
        <v>0</v>
      </c>
      <c r="G602" s="19">
        <f t="shared" si="193"/>
        <v>69.299901618247944</v>
      </c>
      <c r="H602" s="19">
        <f t="shared" si="194"/>
        <v>-4.1138682998338023</v>
      </c>
      <c r="I602" s="19">
        <f t="shared" si="195"/>
        <v>-2.9058503504389073</v>
      </c>
      <c r="J602" s="28">
        <f t="shared" si="196"/>
        <v>5.4211663817559123E-3</v>
      </c>
      <c r="K602" s="24">
        <f t="shared" si="197"/>
        <v>1048.9774388492867</v>
      </c>
      <c r="L602" s="32">
        <f t="shared" si="198"/>
        <v>0.55685489238512997</v>
      </c>
      <c r="M602" s="35">
        <f t="shared" si="199"/>
        <v>13.293457044066043</v>
      </c>
      <c r="O602" s="29">
        <f t="shared" si="200"/>
        <v>1046.5832792312463</v>
      </c>
      <c r="T602" s="48">
        <v>0.74643524305555553</v>
      </c>
      <c r="U602" s="29">
        <v>-1310.2006449244436</v>
      </c>
      <c r="V602" s="29">
        <v>4565.9161236357313</v>
      </c>
      <c r="W602" s="29">
        <v>4262.2708907108308</v>
      </c>
      <c r="X602" s="4">
        <v>-0.32669406467755169</v>
      </c>
      <c r="Y602" s="4">
        <v>-0.11739231181576672</v>
      </c>
      <c r="Z602" s="4">
        <v>-2.0532750198268328E-2</v>
      </c>
      <c r="AA602" s="3">
        <f t="shared" si="205"/>
        <v>0.34775215398282583</v>
      </c>
      <c r="AB602" s="3">
        <f t="shared" si="208"/>
        <v>7.4697563000612616E-3</v>
      </c>
      <c r="AC602" s="3">
        <f t="shared" si="206"/>
        <v>3.0648337086505689E-2</v>
      </c>
      <c r="AD602" s="48"/>
      <c r="AE602" s="46">
        <f t="shared" si="201"/>
        <v>42.092148728145169</v>
      </c>
      <c r="AF602" s="46">
        <f t="shared" si="202"/>
        <v>-248.53985016279069</v>
      </c>
      <c r="AG602" s="47">
        <f t="shared" si="203"/>
        <v>13527.09641868114</v>
      </c>
      <c r="AH602" s="45" t="str">
        <f t="shared" si="207"/>
        <v>-248.53985,42.09215,13527</v>
      </c>
      <c r="AI602" s="44">
        <f t="shared" si="209"/>
        <v>1021.3293681512988</v>
      </c>
    </row>
    <row r="603" spans="1:35" ht="18" customHeight="1" x14ac:dyDescent="0.25">
      <c r="A603" s="36">
        <f t="shared" si="204"/>
        <v>0.74644677083333333</v>
      </c>
      <c r="B603" s="42">
        <f t="shared" si="189"/>
        <v>42.092148722631649</v>
      </c>
      <c r="C603" s="43">
        <f t="shared" si="190"/>
        <v>111.46015178517526</v>
      </c>
      <c r="D603" s="18">
        <f t="shared" si="191"/>
        <v>13.496611581174875</v>
      </c>
      <c r="E603" s="21" t="str">
        <f t="shared" si="192"/>
        <v>Umbra</v>
      </c>
      <c r="F603" s="23">
        <f>IF($E603&lt;&gt;"Umbra",fracil2($S$2,$S$3,$S$4,$A603,$Q$2,$O$3,$Q$4,$U603,$V603,$W603),0)</f>
        <v>0</v>
      </c>
      <c r="G603" s="19">
        <f t="shared" si="193"/>
        <v>69.299909056135817</v>
      </c>
      <c r="H603" s="19">
        <f t="shared" si="194"/>
        <v>-4.115526898911595</v>
      </c>
      <c r="I603" s="19">
        <f t="shared" si="195"/>
        <v>-2.9075089495166999</v>
      </c>
      <c r="J603" s="28">
        <f t="shared" si="196"/>
        <v>5.4177721732051745E-3</v>
      </c>
      <c r="K603" s="24">
        <f t="shared" si="197"/>
        <v>1048.9747457787121</v>
      </c>
      <c r="L603" s="32">
        <f t="shared" si="198"/>
        <v>0.55686996725907445</v>
      </c>
      <c r="M603" s="35">
        <f t="shared" si="199"/>
        <v>13.292341214521336</v>
      </c>
      <c r="O603" s="29">
        <f t="shared" si="200"/>
        <v>1046.5834357161991</v>
      </c>
      <c r="T603" s="48">
        <v>0.74644677083333333</v>
      </c>
      <c r="U603" s="29">
        <v>-1310.5261757427545</v>
      </c>
      <c r="V603" s="29">
        <v>4565.7991644138956</v>
      </c>
      <c r="W603" s="29">
        <v>4262.2504555073547</v>
      </c>
      <c r="X603" s="4">
        <v>-0.32669877030473687</v>
      </c>
      <c r="Y603" s="4">
        <v>-0.11736376164561024</v>
      </c>
      <c r="Z603" s="4">
        <v>-2.0484048455383985E-2</v>
      </c>
      <c r="AA603" s="3">
        <f t="shared" si="205"/>
        <v>0.34774406581185158</v>
      </c>
      <c r="AB603" s="3">
        <f t="shared" si="208"/>
        <v>7.4344666251952834E-3</v>
      </c>
      <c r="AC603" s="3">
        <f t="shared" si="206"/>
        <v>3.0575726316297805E-2</v>
      </c>
      <c r="AD603" s="48"/>
      <c r="AE603" s="46">
        <f t="shared" si="201"/>
        <v>42.092148722631649</v>
      </c>
      <c r="AF603" s="46">
        <f t="shared" si="202"/>
        <v>-248.53984821482476</v>
      </c>
      <c r="AG603" s="47">
        <f t="shared" si="203"/>
        <v>13496.611581174875</v>
      </c>
      <c r="AH603" s="45" t="str">
        <f t="shared" si="207"/>
        <v>-248.53985,42.09215,13497</v>
      </c>
      <c r="AI603" s="44">
        <f t="shared" si="209"/>
        <v>1021.3295580218947</v>
      </c>
    </row>
    <row r="604" spans="1:35" ht="18" customHeight="1" x14ac:dyDescent="0.25">
      <c r="A604" s="36">
        <f t="shared" si="204"/>
        <v>0.7464583217592593</v>
      </c>
      <c r="B604" s="42">
        <f t="shared" si="189"/>
        <v>42.092148717127962</v>
      </c>
      <c r="C604" s="43">
        <f t="shared" si="190"/>
        <v>111.46015169143087</v>
      </c>
      <c r="D604" s="18">
        <f t="shared" si="191"/>
        <v>13.466152870366386</v>
      </c>
      <c r="E604" s="21" t="str">
        <f t="shared" si="192"/>
        <v>Umbra</v>
      </c>
      <c r="F604" s="23">
        <f>IF($E604&lt;&gt;"Umbra",fracil2($S$2,$S$3,$S$4,$A604,$Q$2,$O$3,$Q$4,$U604,$V604,$W604),0)</f>
        <v>0</v>
      </c>
      <c r="G604" s="19">
        <f t="shared" si="193"/>
        <v>69.299914411274301</v>
      </c>
      <c r="H604" s="19">
        <f t="shared" si="194"/>
        <v>-4.1171832505148327</v>
      </c>
      <c r="I604" s="19">
        <f t="shared" si="195"/>
        <v>-2.9091653011199377</v>
      </c>
      <c r="J604" s="28">
        <f t="shared" si="196"/>
        <v>5.4143914916296599E-3</v>
      </c>
      <c r="K604" s="24">
        <f t="shared" si="197"/>
        <v>1048.9718917766895</v>
      </c>
      <c r="L604" s="32">
        <f t="shared" si="198"/>
        <v>0.55688506450447695</v>
      </c>
      <c r="M604" s="35">
        <f t="shared" si="199"/>
        <v>13.291228418919699</v>
      </c>
      <c r="O604" s="29">
        <f t="shared" si="200"/>
        <v>1046.5834280411798</v>
      </c>
      <c r="T604" s="48">
        <v>0.7464583217592593</v>
      </c>
      <c r="U604" s="29">
        <v>-1310.8522050051267</v>
      </c>
      <c r="V604" s="29">
        <v>4565.6820561599261</v>
      </c>
      <c r="W604" s="29">
        <v>4262.2300378180735</v>
      </c>
      <c r="X604" s="4">
        <v>-0.32670341540361242</v>
      </c>
      <c r="Y604" s="4">
        <v>-0.11733544131088919</v>
      </c>
      <c r="Z604" s="4">
        <v>-2.043552721396192E-2</v>
      </c>
      <c r="AA604" s="3">
        <f t="shared" si="205"/>
        <v>0.34773601797415093</v>
      </c>
      <c r="AB604" s="3">
        <f t="shared" si="208"/>
        <v>7.3920489842900852E-3</v>
      </c>
      <c r="AC604" s="3">
        <f t="shared" si="206"/>
        <v>3.0503384856822236E-2</v>
      </c>
      <c r="AD604" s="48"/>
      <c r="AE604" s="46">
        <f t="shared" si="201"/>
        <v>42.092148717127962</v>
      </c>
      <c r="AF604" s="46">
        <f t="shared" si="202"/>
        <v>-248.53984830856913</v>
      </c>
      <c r="AG604" s="47">
        <f t="shared" si="203"/>
        <v>13466.152870366386</v>
      </c>
      <c r="AH604" s="45" t="str">
        <f t="shared" si="207"/>
        <v>-248.53985,42.09215,13466</v>
      </c>
      <c r="AI604" s="44">
        <f t="shared" si="209"/>
        <v>1021.3295580218947</v>
      </c>
    </row>
    <row r="605" spans="1:35" ht="18" customHeight="1" x14ac:dyDescent="0.25">
      <c r="A605" s="36">
        <f t="shared" si="204"/>
        <v>0.7464701041666667</v>
      </c>
      <c r="B605" s="42">
        <f t="shared" si="189"/>
        <v>42.092148711531635</v>
      </c>
      <c r="C605" s="43">
        <f t="shared" si="190"/>
        <v>111.46015233323617</v>
      </c>
      <c r="D605" s="18">
        <f t="shared" si="191"/>
        <v>13.4351526127939</v>
      </c>
      <c r="E605" s="21" t="str">
        <f t="shared" si="192"/>
        <v>Umbra</v>
      </c>
      <c r="F605" s="23">
        <f>IF($E605&lt;&gt;"Umbra",fracil2($S$2,$S$3,$S$4,$A605,$Q$2,$O$3,$Q$4,$U605,$V605,$W605),0)</f>
        <v>0</v>
      </c>
      <c r="G605" s="19">
        <f t="shared" si="193"/>
        <v>69.299920612001316</v>
      </c>
      <c r="H605" s="19">
        <f t="shared" si="194"/>
        <v>-4.1188693622742134</v>
      </c>
      <c r="I605" s="19">
        <f t="shared" si="195"/>
        <v>-2.9108514128793184</v>
      </c>
      <c r="J605" s="28">
        <f t="shared" si="196"/>
        <v>5.4109615425879777E-3</v>
      </c>
      <c r="K605" s="24">
        <f t="shared" si="197"/>
        <v>1048.9690472388013</v>
      </c>
      <c r="L605" s="32">
        <f t="shared" si="198"/>
        <v>0.55690045556702916</v>
      </c>
      <c r="M605" s="35">
        <f t="shared" si="199"/>
        <v>13.290095059398514</v>
      </c>
      <c r="O605" s="29">
        <f t="shared" si="200"/>
        <v>1046.5834795044568</v>
      </c>
      <c r="T605" s="48">
        <v>0.7464701041666667</v>
      </c>
      <c r="U605" s="29">
        <v>-1311.1848303734746</v>
      </c>
      <c r="V605" s="29">
        <v>4565.5626092990515</v>
      </c>
      <c r="W605" s="29">
        <v>4262.2092571088224</v>
      </c>
      <c r="X605" s="4">
        <v>-0.32670808414648272</v>
      </c>
      <c r="Y605" s="4">
        <v>-0.11730683147648494</v>
      </c>
      <c r="Z605" s="4">
        <v>-2.0386288653440953E-2</v>
      </c>
      <c r="AA605" s="3">
        <f t="shared" si="205"/>
        <v>0.34772786158543451</v>
      </c>
      <c r="AB605" s="3">
        <f t="shared" si="208"/>
        <v>7.353936085152021E-3</v>
      </c>
      <c r="AC605" s="3">
        <f t="shared" si="206"/>
        <v>3.0429974131020755E-2</v>
      </c>
      <c r="AD605" s="48"/>
      <c r="AE605" s="46">
        <f t="shared" si="201"/>
        <v>42.092148711531635</v>
      </c>
      <c r="AF605" s="46">
        <f t="shared" si="202"/>
        <v>-248.53984766676382</v>
      </c>
      <c r="AG605" s="47">
        <f t="shared" si="203"/>
        <v>13435.1526127939</v>
      </c>
      <c r="AH605" s="45" t="str">
        <f t="shared" si="207"/>
        <v>-248.53985,42.09215,13435</v>
      </c>
      <c r="AI605" s="44">
        <f t="shared" si="209"/>
        <v>1021.3295580218947</v>
      </c>
    </row>
    <row r="606" spans="1:35" ht="18" customHeight="1" x14ac:dyDescent="0.25">
      <c r="A606" s="36">
        <f t="shared" si="204"/>
        <v>0.74648151620370362</v>
      </c>
      <c r="B606" s="42">
        <f t="shared" si="189"/>
        <v>42.092148706127468</v>
      </c>
      <c r="C606" s="43">
        <f t="shared" si="190"/>
        <v>111.46015416138063</v>
      </c>
      <c r="D606" s="18">
        <f t="shared" si="191"/>
        <v>13.405189166116543</v>
      </c>
      <c r="E606" s="21" t="str">
        <f t="shared" si="192"/>
        <v>Umbra</v>
      </c>
      <c r="F606" s="23">
        <f>IF($E606&lt;&gt;"Umbra",fracil2($S$2,$S$3,$S$4,$A606,$Q$2,$O$3,$Q$4,$U606,$V606,$W606),0)</f>
        <v>0</v>
      </c>
      <c r="G606" s="19">
        <f t="shared" si="193"/>
        <v>69.299927834690848</v>
      </c>
      <c r="H606" s="19">
        <f t="shared" si="194"/>
        <v>-4.1204995840663425</v>
      </c>
      <c r="I606" s="19">
        <f t="shared" si="195"/>
        <v>-2.9124816346714475</v>
      </c>
      <c r="J606" s="28">
        <f t="shared" si="196"/>
        <v>5.4076563469271184E-3</v>
      </c>
      <c r="K606" s="24">
        <f t="shared" si="197"/>
        <v>1048.9663958645722</v>
      </c>
      <c r="L606" s="32">
        <f t="shared" si="198"/>
        <v>0.55691535434078177</v>
      </c>
      <c r="M606" s="35">
        <f t="shared" si="199"/>
        <v>13.288998343874196</v>
      </c>
      <c r="O606" s="29">
        <f t="shared" si="200"/>
        <v>1046.58362635812</v>
      </c>
      <c r="T606" s="48">
        <v>0.74648151620370362</v>
      </c>
      <c r="U606" s="29">
        <v>-1311.5070988247203</v>
      </c>
      <c r="V606" s="29">
        <v>4565.446910905187</v>
      </c>
      <c r="W606" s="29">
        <v>4262.18917141569</v>
      </c>
      <c r="X606" s="4">
        <v>-0.32671254150133799</v>
      </c>
      <c r="Y606" s="4">
        <v>-0.11727937916631689</v>
      </c>
      <c r="Z606" s="4">
        <v>-2.0338831910301794E-2</v>
      </c>
      <c r="AA606" s="3">
        <f t="shared" si="205"/>
        <v>0.34772001040402567</v>
      </c>
      <c r="AB606" s="3">
        <f t="shared" si="208"/>
        <v>7.3178264952137332E-3</v>
      </c>
      <c r="AC606" s="3">
        <f t="shared" si="206"/>
        <v>3.0359220144901999E-2</v>
      </c>
      <c r="AD606" s="48"/>
      <c r="AE606" s="46">
        <f t="shared" si="201"/>
        <v>42.092148706127468</v>
      </c>
      <c r="AF606" s="46">
        <f t="shared" si="202"/>
        <v>-248.53984583861939</v>
      </c>
      <c r="AG606" s="47">
        <f t="shared" si="203"/>
        <v>13405.189166116543</v>
      </c>
      <c r="AH606" s="45" t="str">
        <f t="shared" si="207"/>
        <v>-248.53985,42.09215,13405</v>
      </c>
      <c r="AI606" s="44">
        <f t="shared" si="209"/>
        <v>1021.3297224546541</v>
      </c>
    </row>
    <row r="607" spans="1:35" ht="18" customHeight="1" x14ac:dyDescent="0.25">
      <c r="A607" s="36">
        <f t="shared" si="204"/>
        <v>0.74649318287037036</v>
      </c>
      <c r="B607" s="42">
        <f t="shared" si="189"/>
        <v>42.092148700628059</v>
      </c>
      <c r="C607" s="43">
        <f t="shared" si="190"/>
        <v>111.46015046720973</v>
      </c>
      <c r="D607" s="18">
        <f t="shared" si="191"/>
        <v>13.374669458536118</v>
      </c>
      <c r="E607" s="21" t="str">
        <f t="shared" si="192"/>
        <v>Umbra</v>
      </c>
      <c r="F607" s="23">
        <f>IF($E607&lt;&gt;"Umbra",fracil2($S$2,$S$3,$S$4,$A607,$Q$2,$O$3,$Q$4,$U607,$V607,$W607),0)</f>
        <v>0</v>
      </c>
      <c r="G607" s="19">
        <f t="shared" si="193"/>
        <v>69.299929536227026</v>
      </c>
      <c r="H607" s="19">
        <f t="shared" si="194"/>
        <v>-4.1221578081437169</v>
      </c>
      <c r="I607" s="19">
        <f t="shared" si="195"/>
        <v>-2.9141398587488219</v>
      </c>
      <c r="J607" s="28">
        <f t="shared" si="196"/>
        <v>5.4043007331289056E-3</v>
      </c>
      <c r="K607" s="24">
        <f t="shared" si="197"/>
        <v>1048.9632491565119</v>
      </c>
      <c r="L607" s="32">
        <f t="shared" si="198"/>
        <v>0.55693057851915129</v>
      </c>
      <c r="M607" s="35">
        <f t="shared" si="199"/>
        <v>13.287886959711281</v>
      </c>
      <c r="O607" s="29">
        <f t="shared" si="200"/>
        <v>1046.5833291970646</v>
      </c>
      <c r="T607" s="48">
        <v>0.74649318287037036</v>
      </c>
      <c r="U607" s="29">
        <v>-1311.836127401456</v>
      </c>
      <c r="V607" s="29">
        <v>4565.3288149590735</v>
      </c>
      <c r="W607" s="29">
        <v>4262.1687128391186</v>
      </c>
      <c r="X607" s="4">
        <v>-0.32671702490632909</v>
      </c>
      <c r="Y607" s="4">
        <v>-0.11725162293145121</v>
      </c>
      <c r="Z607" s="4">
        <v>-2.0290633233918248E-2</v>
      </c>
      <c r="AA607" s="3">
        <f t="shared" si="205"/>
        <v>0.34771204644178705</v>
      </c>
      <c r="AB607" s="3">
        <f t="shared" si="208"/>
        <v>7.2699986270265702E-3</v>
      </c>
      <c r="AC607" s="3">
        <f t="shared" si="206"/>
        <v>3.0287360221512613E-2</v>
      </c>
      <c r="AD607" s="48"/>
      <c r="AE607" s="46">
        <f t="shared" si="201"/>
        <v>42.092148700628059</v>
      </c>
      <c r="AF607" s="46">
        <f t="shared" si="202"/>
        <v>-248.53984953279027</v>
      </c>
      <c r="AG607" s="47">
        <f t="shared" si="203"/>
        <v>13374.669458536118</v>
      </c>
      <c r="AH607" s="45" t="str">
        <f t="shared" si="207"/>
        <v>-248.53985,42.09215,13375</v>
      </c>
      <c r="AI607" s="44">
        <f t="shared" si="209"/>
        <v>1021.3300373194168</v>
      </c>
    </row>
    <row r="608" spans="1:35" ht="18" customHeight="1" x14ac:dyDescent="0.25">
      <c r="A608" s="36">
        <f t="shared" si="204"/>
        <v>0.74650466435185192</v>
      </c>
      <c r="B608" s="42">
        <f t="shared" si="189"/>
        <v>42.092148695226058</v>
      </c>
      <c r="C608" s="43">
        <f t="shared" si="190"/>
        <v>111.46015294096449</v>
      </c>
      <c r="D608" s="18">
        <f t="shared" si="191"/>
        <v>13.344660541769372</v>
      </c>
      <c r="E608" s="21" t="str">
        <f t="shared" si="192"/>
        <v>Umbra</v>
      </c>
      <c r="F608" s="23">
        <f>IF($E608&lt;&gt;"Umbra",fracil2($S$2,$S$3,$S$4,$A608,$Q$2,$O$3,$Q$4,$U608,$V608,$W608),0)</f>
        <v>0</v>
      </c>
      <c r="G608" s="19">
        <f t="shared" si="193"/>
        <v>69.299937424207542</v>
      </c>
      <c r="H608" s="19">
        <f t="shared" si="194"/>
        <v>-4.1237907838041146</v>
      </c>
      <c r="I608" s="19">
        <f t="shared" si="195"/>
        <v>-2.9157728344092195</v>
      </c>
      <c r="J608" s="28">
        <f t="shared" si="196"/>
        <v>5.401010969006464E-3</v>
      </c>
      <c r="K608" s="24">
        <f t="shared" si="197"/>
        <v>1048.9606471887005</v>
      </c>
      <c r="L608" s="32">
        <f t="shared" si="198"/>
        <v>0.55694555148091918</v>
      </c>
      <c r="M608" s="35">
        <f t="shared" si="199"/>
        <v>13.286787879608537</v>
      </c>
      <c r="O608" s="29">
        <f t="shared" si="200"/>
        <v>1046.5835279599671</v>
      </c>
      <c r="T608" s="48">
        <v>0.74650466435185192</v>
      </c>
      <c r="U608" s="29">
        <v>-1312.1604154506867</v>
      </c>
      <c r="V608" s="29">
        <v>4565.2124492896382</v>
      </c>
      <c r="W608" s="29">
        <v>4262.1485966664368</v>
      </c>
      <c r="X608" s="4">
        <v>-0.32672137753025682</v>
      </c>
      <c r="Y608" s="4">
        <v>-0.1172245334157099</v>
      </c>
      <c r="Z608" s="4">
        <v>-2.0243377799663405E-2</v>
      </c>
      <c r="AA608" s="3">
        <f t="shared" si="205"/>
        <v>0.34770424805362876</v>
      </c>
      <c r="AB608" s="3">
        <f t="shared" si="208"/>
        <v>7.2426690927069369E-3</v>
      </c>
      <c r="AC608" s="3">
        <f t="shared" si="206"/>
        <v>3.0216906781294052E-2</v>
      </c>
      <c r="AD608" s="48"/>
      <c r="AE608" s="46">
        <f t="shared" si="201"/>
        <v>42.092148695226058</v>
      </c>
      <c r="AF608" s="46">
        <f t="shared" si="202"/>
        <v>-248.53984705903551</v>
      </c>
      <c r="AG608" s="47">
        <f t="shared" si="203"/>
        <v>13344.660541769372</v>
      </c>
      <c r="AH608" s="45" t="str">
        <f t="shared" si="207"/>
        <v>-248.53985,42.09215,13345</v>
      </c>
      <c r="AI608" s="44">
        <f t="shared" si="209"/>
        <v>1021.3302271900127</v>
      </c>
    </row>
    <row r="609" spans="1:35" ht="18" customHeight="1" x14ac:dyDescent="0.25">
      <c r="A609" s="36">
        <f t="shared" si="204"/>
        <v>0.74651626157407414</v>
      </c>
      <c r="B609" s="42">
        <f t="shared" si="189"/>
        <v>42.092148689791308</v>
      </c>
      <c r="C609" s="43">
        <f t="shared" si="190"/>
        <v>111.46015272394436</v>
      </c>
      <c r="D609" s="18">
        <f t="shared" si="191"/>
        <v>13.314439538714396</v>
      </c>
      <c r="E609" s="21" t="str">
        <f t="shared" si="192"/>
        <v>Umbra</v>
      </c>
      <c r="F609" s="23">
        <f>IF($E609&lt;&gt;"Umbra",fracil2($S$2,$S$3,$S$4,$A609,$Q$2,$O$3,$Q$4,$U609,$V609,$W609),0)</f>
        <v>0</v>
      </c>
      <c r="G609" s="19">
        <f t="shared" si="193"/>
        <v>69.29994261143824</v>
      </c>
      <c r="H609" s="19">
        <f t="shared" si="194"/>
        <v>-4.1254342025034552</v>
      </c>
      <c r="I609" s="19">
        <f t="shared" si="195"/>
        <v>-2.9174162531085601</v>
      </c>
      <c r="J609" s="28">
        <f t="shared" si="196"/>
        <v>5.3977084878121832E-3</v>
      </c>
      <c r="K609" s="24">
        <f t="shared" si="197"/>
        <v>1048.957809820803</v>
      </c>
      <c r="L609" s="32">
        <f t="shared" si="198"/>
        <v>0.55696066784312714</v>
      </c>
      <c r="M609" s="35">
        <f t="shared" si="199"/>
        <v>13.285683795706625</v>
      </c>
      <c r="O609" s="29">
        <f t="shared" si="200"/>
        <v>1046.5835103748977</v>
      </c>
      <c r="T609" s="48">
        <v>0.74651626157407414</v>
      </c>
      <c r="U609" s="29">
        <v>-1312.4877645720032</v>
      </c>
      <c r="V609" s="29">
        <v>4565.0950138986473</v>
      </c>
      <c r="W609" s="29">
        <v>4262.1283383243199</v>
      </c>
      <c r="X609" s="4">
        <v>-0.32672570487909086</v>
      </c>
      <c r="Y609" s="4">
        <v>-0.11719745556615607</v>
      </c>
      <c r="Z609" s="4">
        <v>-2.0195925651551882E-2</v>
      </c>
      <c r="AA609" s="3">
        <f t="shared" si="205"/>
        <v>0.34769642683358554</v>
      </c>
      <c r="AB609" s="3">
        <f t="shared" si="208"/>
        <v>7.2002167151393875E-3</v>
      </c>
      <c r="AC609" s="3">
        <f t="shared" si="206"/>
        <v>3.0146160245535222E-2</v>
      </c>
      <c r="AD609" s="48"/>
      <c r="AE609" s="46">
        <f t="shared" si="201"/>
        <v>42.092148689791308</v>
      </c>
      <c r="AF609" s="46">
        <f t="shared" si="202"/>
        <v>-248.53984727605564</v>
      </c>
      <c r="AG609" s="47">
        <f t="shared" si="203"/>
        <v>13314.439538714396</v>
      </c>
      <c r="AH609" s="45" t="str">
        <f t="shared" si="207"/>
        <v>-248.53985,42.09215,13314</v>
      </c>
      <c r="AI609" s="44">
        <f t="shared" si="209"/>
        <v>1021.3302271900127</v>
      </c>
    </row>
    <row r="610" spans="1:35" ht="18" customHeight="1" x14ac:dyDescent="0.25">
      <c r="A610" s="36">
        <f t="shared" si="204"/>
        <v>0.74652778935185182</v>
      </c>
      <c r="B610" s="42">
        <f t="shared" si="189"/>
        <v>42.09214868440786</v>
      </c>
      <c r="C610" s="43">
        <f t="shared" si="190"/>
        <v>111.4601516282076</v>
      </c>
      <c r="D610" s="18">
        <f t="shared" si="191"/>
        <v>13.284475931182897</v>
      </c>
      <c r="E610" s="21" t="str">
        <f t="shared" si="192"/>
        <v>Umbra</v>
      </c>
      <c r="F610" s="23">
        <f>IF($E610&lt;&gt;"Umbra",fracil2($S$2,$S$3,$S$4,$A610,$Q$2,$O$3,$Q$4,$U610,$V610,$W610),0)</f>
        <v>0</v>
      </c>
      <c r="G610" s="19">
        <f t="shared" si="193"/>
        <v>69.299946858254941</v>
      </c>
      <c r="H610" s="19">
        <f t="shared" si="194"/>
        <v>-4.1270632732798358</v>
      </c>
      <c r="I610" s="19">
        <f t="shared" si="195"/>
        <v>-2.9190453238849408</v>
      </c>
      <c r="J610" s="28">
        <f t="shared" si="196"/>
        <v>5.3944443112102893E-3</v>
      </c>
      <c r="K610" s="24">
        <f t="shared" si="197"/>
        <v>1048.9549266330384</v>
      </c>
      <c r="L610" s="32">
        <f t="shared" si="198"/>
        <v>0.55697568580733392</v>
      </c>
      <c r="M610" s="35">
        <f t="shared" si="199"/>
        <v>13.284590000512745</v>
      </c>
      <c r="O610" s="29">
        <f t="shared" si="200"/>
        <v>1046.5834221393957</v>
      </c>
      <c r="T610" s="48">
        <v>0.74652778935185182</v>
      </c>
      <c r="U610" s="29">
        <v>-1312.8130890150219</v>
      </c>
      <c r="V610" s="29">
        <v>4564.9783331303061</v>
      </c>
      <c r="W610" s="29">
        <v>4262.1082525250931</v>
      </c>
      <c r="X610" s="4">
        <v>-0.32672994018991242</v>
      </c>
      <c r="Y610" s="4">
        <v>-0.11717080830884334</v>
      </c>
      <c r="Z610" s="4">
        <v>-2.0149012363937475E-2</v>
      </c>
      <c r="AA610" s="3">
        <f t="shared" si="205"/>
        <v>0.34768870392276707</v>
      </c>
      <c r="AB610" s="3">
        <f t="shared" si="208"/>
        <v>7.1613150828772855E-3</v>
      </c>
      <c r="AC610" s="3">
        <f t="shared" si="206"/>
        <v>3.0076217285255891E-2</v>
      </c>
      <c r="AD610" s="48"/>
      <c r="AE610" s="46">
        <f t="shared" si="201"/>
        <v>42.09214868440786</v>
      </c>
      <c r="AF610" s="46">
        <f t="shared" si="202"/>
        <v>-248.5398483717924</v>
      </c>
      <c r="AG610" s="47">
        <f t="shared" si="203"/>
        <v>13284.475931182897</v>
      </c>
      <c r="AH610" s="45" t="str">
        <f t="shared" si="207"/>
        <v>-248.53985,42.09215,13284</v>
      </c>
      <c r="AI610" s="44">
        <f t="shared" si="209"/>
        <v>1021.3302271900127</v>
      </c>
    </row>
    <row r="611" spans="1:35" ht="18" customHeight="1" x14ac:dyDescent="0.25">
      <c r="A611" s="36">
        <f t="shared" si="204"/>
        <v>0.74653937499999989</v>
      </c>
      <c r="B611" s="42">
        <f t="shared" si="189"/>
        <v>42.092148679012929</v>
      </c>
      <c r="C611" s="43">
        <f t="shared" si="190"/>
        <v>111.46015217203085</v>
      </c>
      <c r="D611" s="18">
        <f t="shared" si="191"/>
        <v>13.254420118998496</v>
      </c>
      <c r="E611" s="21" t="str">
        <f t="shared" si="192"/>
        <v>Umbra</v>
      </c>
      <c r="F611" s="23">
        <f>IF($E611&lt;&gt;"Umbra",fracil2($S$2,$S$3,$S$4,$A611,$Q$2,$O$3,$Q$4,$U611,$V611,$W611),0)</f>
        <v>0</v>
      </c>
      <c r="G611" s="19">
        <f t="shared" si="193"/>
        <v>69.299952790365779</v>
      </c>
      <c r="H611" s="19">
        <f t="shared" si="194"/>
        <v>-4.1286980366561297</v>
      </c>
      <c r="I611" s="19">
        <f t="shared" si="195"/>
        <v>-2.9206800872612346</v>
      </c>
      <c r="J611" s="28">
        <f t="shared" si="196"/>
        <v>5.3911800509457474E-3</v>
      </c>
      <c r="K611" s="24">
        <f t="shared" si="197"/>
        <v>1048.9521675937287</v>
      </c>
      <c r="L611" s="32">
        <f t="shared" si="198"/>
        <v>0.55699077068677505</v>
      </c>
      <c r="M611" s="35">
        <f t="shared" si="199"/>
        <v>13.283491131270468</v>
      </c>
      <c r="O611" s="29">
        <f t="shared" si="200"/>
        <v>1046.5834657296364</v>
      </c>
      <c r="T611" s="48">
        <v>0.74653937499999989</v>
      </c>
      <c r="U611" s="29">
        <v>-1313.1401795198728</v>
      </c>
      <c r="V611" s="29">
        <v>4564.861047077291</v>
      </c>
      <c r="W611" s="29">
        <v>4262.0881049178397</v>
      </c>
      <c r="X611" s="4">
        <v>-0.32673413322692124</v>
      </c>
      <c r="Y611" s="4">
        <v>-0.11714427936008827</v>
      </c>
      <c r="Z611" s="4">
        <v>-2.0102089632982694E-2</v>
      </c>
      <c r="AA611" s="3">
        <f t="shared" si="205"/>
        <v>0.34768098885322218</v>
      </c>
      <c r="AB611" s="3">
        <f t="shared" si="208"/>
        <v>7.1269593862108424E-3</v>
      </c>
      <c r="AC611" s="3">
        <f t="shared" si="206"/>
        <v>3.0006260434551429E-2</v>
      </c>
      <c r="AD611" s="48"/>
      <c r="AE611" s="46">
        <f t="shared" si="201"/>
        <v>42.092148679012929</v>
      </c>
      <c r="AF611" s="46">
        <f t="shared" si="202"/>
        <v>-248.53984782796914</v>
      </c>
      <c r="AG611" s="47">
        <f t="shared" si="203"/>
        <v>13254.420118998496</v>
      </c>
      <c r="AH611" s="45" t="str">
        <f t="shared" si="207"/>
        <v>-248.53985,42.09215,13254</v>
      </c>
      <c r="AI611" s="44">
        <f t="shared" si="209"/>
        <v>1021.3302271900127</v>
      </c>
    </row>
    <row r="612" spans="1:35" ht="18" customHeight="1" x14ac:dyDescent="0.25">
      <c r="A612" s="36">
        <f t="shared" si="204"/>
        <v>0.74655099537037029</v>
      </c>
      <c r="B612" s="42">
        <f t="shared" si="189"/>
        <v>42.092148673616371</v>
      </c>
      <c r="C612" s="43">
        <f t="shared" si="190"/>
        <v>111.46015511991503</v>
      </c>
      <c r="D612" s="18">
        <f t="shared" si="191"/>
        <v>13.224327229085247</v>
      </c>
      <c r="E612" s="21" t="str">
        <f t="shared" si="192"/>
        <v>Umbra</v>
      </c>
      <c r="F612" s="23">
        <f>IF($E612&lt;&gt;"Umbra",fracil2($S$2,$S$3,$S$4,$A612,$Q$2,$O$3,$Q$4,$U612,$V612,$W612),0)</f>
        <v>0</v>
      </c>
      <c r="G612" s="19">
        <f t="shared" si="193"/>
        <v>69.299961176025406</v>
      </c>
      <c r="H612" s="19">
        <f t="shared" si="194"/>
        <v>-4.1303358060144495</v>
      </c>
      <c r="I612" s="19">
        <f t="shared" si="195"/>
        <v>-2.9223178566195545</v>
      </c>
      <c r="J612" s="28">
        <f t="shared" si="196"/>
        <v>5.3879216943868366E-3</v>
      </c>
      <c r="K612" s="24">
        <f t="shared" si="197"/>
        <v>1048.9495993494756</v>
      </c>
      <c r="L612" s="32">
        <f t="shared" si="198"/>
        <v>0.55700589209052098</v>
      </c>
      <c r="M612" s="35">
        <f t="shared" si="199"/>
        <v>13.28238841723384</v>
      </c>
      <c r="O612" s="29">
        <f t="shared" si="200"/>
        <v>1046.5837026142435</v>
      </c>
      <c r="T612" s="48">
        <v>0.74655099537037029</v>
      </c>
      <c r="U612" s="29">
        <v>-1313.4684424189848</v>
      </c>
      <c r="V612" s="29">
        <v>4564.7433687044131</v>
      </c>
      <c r="W612" s="29">
        <v>4262.0679324563298</v>
      </c>
      <c r="X612" s="4">
        <v>-0.32673827585879417</v>
      </c>
      <c r="Y612" s="4">
        <v>-0.11711791886381641</v>
      </c>
      <c r="Z612" s="4">
        <v>-2.0055244485554527E-2</v>
      </c>
      <c r="AA612" s="3">
        <f t="shared" si="205"/>
        <v>0.34767329587062673</v>
      </c>
      <c r="AB612" s="3">
        <f t="shared" si="208"/>
        <v>7.0938956060174188E-3</v>
      </c>
      <c r="AC612" s="3">
        <f t="shared" si="206"/>
        <v>2.9936419443277448E-2</v>
      </c>
      <c r="AD612" s="48"/>
      <c r="AE612" s="46">
        <f t="shared" si="201"/>
        <v>42.092148673616371</v>
      </c>
      <c r="AF612" s="46">
        <f t="shared" si="202"/>
        <v>-248.53984488008496</v>
      </c>
      <c r="AG612" s="47">
        <f t="shared" si="203"/>
        <v>13224.327229085247</v>
      </c>
      <c r="AH612" s="45" t="str">
        <f t="shared" si="207"/>
        <v>-248.53984,42.09215,13224</v>
      </c>
      <c r="AI612" s="44">
        <f t="shared" si="209"/>
        <v>1021.3304957075842</v>
      </c>
    </row>
    <row r="613" spans="1:35" ht="18" customHeight="1" x14ac:dyDescent="0.25">
      <c r="A613" s="36">
        <f t="shared" si="204"/>
        <v>0.74656250000000002</v>
      </c>
      <c r="B613" s="42">
        <f t="shared" si="189"/>
        <v>42.092148668297725</v>
      </c>
      <c r="C613" s="43">
        <f t="shared" si="190"/>
        <v>111.46015276513097</v>
      </c>
      <c r="D613" s="18">
        <f t="shared" si="191"/>
        <v>13.194640720132156</v>
      </c>
      <c r="E613" s="21" t="str">
        <f t="shared" si="192"/>
        <v>Umbra</v>
      </c>
      <c r="F613" s="23">
        <f>IF($E613&lt;&gt;"Umbra",fracil2($S$2,$S$3,$S$4,$A613,$Q$2,$O$3,$Q$4,$U613,$V613,$W613),0)</f>
        <v>0</v>
      </c>
      <c r="G613" s="19">
        <f t="shared" si="193"/>
        <v>69.299964091836642</v>
      </c>
      <c r="H613" s="19">
        <f t="shared" si="194"/>
        <v>-4.1319493196280837</v>
      </c>
      <c r="I613" s="19">
        <f t="shared" si="195"/>
        <v>-2.9239313702331886</v>
      </c>
      <c r="J613" s="28">
        <f t="shared" si="196"/>
        <v>5.3847178533237327E-3</v>
      </c>
      <c r="K613" s="24">
        <f t="shared" si="197"/>
        <v>1048.9466432492372</v>
      </c>
      <c r="L613" s="32">
        <f t="shared" si="198"/>
        <v>0.55702085621045527</v>
      </c>
      <c r="M613" s="35">
        <f t="shared" si="199"/>
        <v>13.281305982492357</v>
      </c>
      <c r="O613" s="29">
        <f t="shared" si="200"/>
        <v>1046.5835131488202</v>
      </c>
      <c r="T613" s="48">
        <v>0.74656250000000002</v>
      </c>
      <c r="U613" s="29">
        <v>-1313.7930275012268</v>
      </c>
      <c r="V613" s="29">
        <v>4564.6270361511188</v>
      </c>
      <c r="W613" s="29">
        <v>4262.0480324085675</v>
      </c>
      <c r="X613" s="4">
        <v>-0.32674230756088896</v>
      </c>
      <c r="Y613" s="4">
        <v>-0.11709211322105077</v>
      </c>
      <c r="Z613" s="4">
        <v>-2.0009166212997087E-2</v>
      </c>
      <c r="AA613" s="3">
        <f t="shared" si="205"/>
        <v>0.34766573783064286</v>
      </c>
      <c r="AB613" s="3">
        <f t="shared" si="208"/>
        <v>7.0479451160777732E-3</v>
      </c>
      <c r="AC613" s="3">
        <f t="shared" si="206"/>
        <v>2.9867721966367423E-2</v>
      </c>
      <c r="AD613" s="48"/>
      <c r="AE613" s="46">
        <f t="shared" si="201"/>
        <v>42.092148668297725</v>
      </c>
      <c r="AF613" s="46">
        <f t="shared" si="202"/>
        <v>-248.53984723486903</v>
      </c>
      <c r="AG613" s="47">
        <f t="shared" si="203"/>
        <v>13194.640720132156</v>
      </c>
      <c r="AH613" s="45" t="str">
        <f t="shared" si="207"/>
        <v>-248.53985,42.09215,13195</v>
      </c>
      <c r="AI613" s="44">
        <f t="shared" si="209"/>
        <v>1021.3306855781801</v>
      </c>
    </row>
    <row r="614" spans="1:35" ht="18" customHeight="1" x14ac:dyDescent="0.25">
      <c r="A614" s="36">
        <f t="shared" si="204"/>
        <v>0.74657406250000002</v>
      </c>
      <c r="B614" s="42">
        <f t="shared" si="189"/>
        <v>42.092148662966274</v>
      </c>
      <c r="C614" s="43">
        <f t="shared" si="190"/>
        <v>111.46015293823558</v>
      </c>
      <c r="D614" s="18">
        <f t="shared" si="191"/>
        <v>13.164855399641056</v>
      </c>
      <c r="E614" s="21" t="str">
        <f t="shared" si="192"/>
        <v>Umbra</v>
      </c>
      <c r="F614" s="23">
        <f>IF($E614&lt;&gt;"Umbra",fracil2($S$2,$S$3,$S$4,$A614,$Q$2,$O$3,$Q$4,$U614,$V614,$W614),0)</f>
        <v>0</v>
      </c>
      <c r="G614" s="19">
        <f t="shared" si="193"/>
        <v>69.299969598278281</v>
      </c>
      <c r="H614" s="19">
        <f t="shared" si="194"/>
        <v>-4.1335692470122751</v>
      </c>
      <c r="I614" s="19">
        <f t="shared" si="195"/>
        <v>-2.9255512976173801</v>
      </c>
      <c r="J614" s="28">
        <f t="shared" si="196"/>
        <v>5.3815129937530839E-3</v>
      </c>
      <c r="K614" s="24">
        <f t="shared" si="197"/>
        <v>1048.9438821361316</v>
      </c>
      <c r="L614" s="32">
        <f t="shared" si="198"/>
        <v>0.55703588705749485</v>
      </c>
      <c r="M614" s="35">
        <f t="shared" si="199"/>
        <v>13.280217320026084</v>
      </c>
      <c r="O614" s="29">
        <f t="shared" si="200"/>
        <v>1046.5835269336453</v>
      </c>
      <c r="T614" s="48">
        <v>0.74657406250000002</v>
      </c>
      <c r="U614" s="29">
        <v>-1314.1194479688456</v>
      </c>
      <c r="V614" s="29">
        <v>4564.5100729498035</v>
      </c>
      <c r="W614" s="29">
        <v>4262.0280661239103</v>
      </c>
      <c r="X614" s="4">
        <v>-0.32674629839300517</v>
      </c>
      <c r="Y614" s="4">
        <v>-0.11706641802198887</v>
      </c>
      <c r="Z614" s="4">
        <v>-1.996306646373697E-2</v>
      </c>
      <c r="AA614" s="3">
        <f t="shared" si="205"/>
        <v>0.34765818524042463</v>
      </c>
      <c r="AB614" s="3">
        <f t="shared" si="208"/>
        <v>7.0159194472135906E-3</v>
      </c>
      <c r="AC614" s="3">
        <f t="shared" si="206"/>
        <v>2.9798992658374109E-2</v>
      </c>
      <c r="AD614" s="48"/>
      <c r="AE614" s="46">
        <f t="shared" si="201"/>
        <v>42.092148662966274</v>
      </c>
      <c r="AF614" s="46">
        <f t="shared" si="202"/>
        <v>-248.53984706176442</v>
      </c>
      <c r="AG614" s="47">
        <f t="shared" si="203"/>
        <v>13164.855399641056</v>
      </c>
      <c r="AH614" s="45" t="str">
        <f t="shared" si="207"/>
        <v>-248.53985,42.09215,13165</v>
      </c>
      <c r="AI614" s="44">
        <f t="shared" si="209"/>
        <v>1021.3306855781801</v>
      </c>
    </row>
    <row r="615" spans="1:35" ht="18" customHeight="1" x14ac:dyDescent="0.25">
      <c r="A615" s="36">
        <f t="shared" si="204"/>
        <v>0.74658567129629627</v>
      </c>
      <c r="B615" s="42">
        <f t="shared" si="189"/>
        <v>42.092148657628741</v>
      </c>
      <c r="C615" s="43">
        <f t="shared" si="190"/>
        <v>111.46015462203385</v>
      </c>
      <c r="D615" s="18">
        <f t="shared" si="191"/>
        <v>13.135009014979914</v>
      </c>
      <c r="E615" s="21" t="str">
        <f t="shared" si="192"/>
        <v>Umbra</v>
      </c>
      <c r="F615" s="23">
        <f>IF($E615&lt;&gt;"Umbra",fracil2($S$2,$S$3,$S$4,$A615,$Q$2,$O$3,$Q$4,$U615,$V615,$W615),0)</f>
        <v>0</v>
      </c>
      <c r="G615" s="19">
        <f t="shared" si="193"/>
        <v>69.299976653276104</v>
      </c>
      <c r="H615" s="19">
        <f t="shared" si="194"/>
        <v>-4.1351931197435201</v>
      </c>
      <c r="I615" s="19">
        <f t="shared" si="195"/>
        <v>-2.9271751703486251</v>
      </c>
      <c r="J615" s="28">
        <f t="shared" si="196"/>
        <v>5.3783112180038166E-3</v>
      </c>
      <c r="K615" s="24">
        <f t="shared" si="197"/>
        <v>1048.9412377036128</v>
      </c>
      <c r="L615" s="32">
        <f t="shared" si="198"/>
        <v>0.55705096975617152</v>
      </c>
      <c r="M615" s="35">
        <f t="shared" si="199"/>
        <v>13.279124854652077</v>
      </c>
      <c r="O615" s="29">
        <f t="shared" si="200"/>
        <v>1046.5836621830604</v>
      </c>
      <c r="T615" s="48">
        <v>0.74658567129629627</v>
      </c>
      <c r="U615" s="29">
        <v>-1314.4472975383364</v>
      </c>
      <c r="V615" s="29">
        <v>4564.3926248092002</v>
      </c>
      <c r="W615" s="29">
        <v>4262.0080589059171</v>
      </c>
      <c r="X615" s="4">
        <v>-0.32675024335831049</v>
      </c>
      <c r="Y615" s="4">
        <v>-0.11704086558121109</v>
      </c>
      <c r="Z615" s="4">
        <v>-1.9917002915454004E-2</v>
      </c>
      <c r="AA615" s="3">
        <f t="shared" si="205"/>
        <v>0.34765064757001163</v>
      </c>
      <c r="AB615" s="3">
        <f t="shared" si="208"/>
        <v>6.9824329610122995E-3</v>
      </c>
      <c r="AC615" s="3">
        <f t="shared" si="206"/>
        <v>2.9730317511545864E-2</v>
      </c>
      <c r="AD615" s="48"/>
      <c r="AE615" s="46">
        <f t="shared" si="201"/>
        <v>42.092148657628741</v>
      </c>
      <c r="AF615" s="46">
        <f t="shared" si="202"/>
        <v>-248.53984537796615</v>
      </c>
      <c r="AG615" s="47">
        <f t="shared" si="203"/>
        <v>13135.009014979914</v>
      </c>
      <c r="AH615" s="45" t="str">
        <f t="shared" si="207"/>
        <v>-248.53985,42.09215,13135</v>
      </c>
      <c r="AI615" s="44">
        <f t="shared" si="209"/>
        <v>1021.3308198369651</v>
      </c>
    </row>
    <row r="616" spans="1:35" ht="18" customHeight="1" x14ac:dyDescent="0.25">
      <c r="A616" s="36">
        <f t="shared" si="204"/>
        <v>0.74659738425925937</v>
      </c>
      <c r="B616" s="42">
        <f t="shared" si="189"/>
        <v>42.092148652263788</v>
      </c>
      <c r="C616" s="43">
        <f t="shared" si="190"/>
        <v>111.46015399507354</v>
      </c>
      <c r="D616" s="18">
        <f t="shared" si="191"/>
        <v>13.104981010224037</v>
      </c>
      <c r="E616" s="21" t="str">
        <f t="shared" si="192"/>
        <v>Umbra</v>
      </c>
      <c r="F616" s="23">
        <f>IF($E616&lt;&gt;"Umbra",fracil2($S$2,$S$3,$S$4,$A616,$Q$2,$O$3,$Q$4,$U616,$V616,$W616),0)</f>
        <v>0</v>
      </c>
      <c r="G616" s="19">
        <f t="shared" si="193"/>
        <v>69.299981388869682</v>
      </c>
      <c r="H616" s="19">
        <f t="shared" si="194"/>
        <v>-4.1368259363619</v>
      </c>
      <c r="I616" s="19">
        <f t="shared" si="195"/>
        <v>-2.928807986967005</v>
      </c>
      <c r="J616" s="28">
        <f t="shared" si="196"/>
        <v>5.3751000943610336E-3</v>
      </c>
      <c r="K616" s="24">
        <f t="shared" si="197"/>
        <v>1048.9383913140753</v>
      </c>
      <c r="L616" s="32">
        <f t="shared" si="198"/>
        <v>0.55706618033313038</v>
      </c>
      <c r="M616" s="35">
        <f t="shared" si="199"/>
        <v>13.278028105905197</v>
      </c>
      <c r="O616" s="29">
        <f t="shared" si="200"/>
        <v>1046.5836116391968</v>
      </c>
      <c r="T616" s="48">
        <v>0.74659738425925937</v>
      </c>
      <c r="U616" s="29">
        <v>-1314.7779110619329</v>
      </c>
      <c r="V616" s="29">
        <v>4564.2742137726264</v>
      </c>
      <c r="W616" s="29">
        <v>4261.9879299411787</v>
      </c>
      <c r="X616" s="4">
        <v>-0.32675415747297687</v>
      </c>
      <c r="Y616" s="4">
        <v>-0.11701535587533032</v>
      </c>
      <c r="Z616" s="4">
        <v>-1.987079177027469E-2</v>
      </c>
      <c r="AA616" s="3">
        <f t="shared" si="205"/>
        <v>0.34764309471364852</v>
      </c>
      <c r="AB616" s="3">
        <f t="shared" si="208"/>
        <v>6.9424910070532047E-3</v>
      </c>
      <c r="AC616" s="3">
        <f t="shared" si="206"/>
        <v>2.966142250792814E-2</v>
      </c>
      <c r="AD616" s="48"/>
      <c r="AE616" s="46">
        <f t="shared" si="201"/>
        <v>42.092148652263788</v>
      </c>
      <c r="AF616" s="46">
        <f t="shared" si="202"/>
        <v>-248.53984600492646</v>
      </c>
      <c r="AG616" s="47">
        <f t="shared" si="203"/>
        <v>13104.981010224037</v>
      </c>
      <c r="AH616" s="45" t="str">
        <f t="shared" si="207"/>
        <v>-248.53985,42.09215,13105</v>
      </c>
      <c r="AI616" s="44">
        <f t="shared" si="209"/>
        <v>1021.3308198369651</v>
      </c>
    </row>
    <row r="617" spans="1:35" ht="18" customHeight="1" x14ac:dyDescent="0.25">
      <c r="A617" s="36">
        <f t="shared" si="204"/>
        <v>0.74660881944444446</v>
      </c>
      <c r="B617" s="42">
        <f t="shared" si="189"/>
        <v>42.092148647042436</v>
      </c>
      <c r="C617" s="43">
        <f t="shared" si="190"/>
        <v>111.46015357604</v>
      </c>
      <c r="D617" s="18">
        <f t="shared" si="191"/>
        <v>13.075730876558737</v>
      </c>
      <c r="E617" s="21" t="str">
        <f t="shared" si="192"/>
        <v>Umbra</v>
      </c>
      <c r="F617" s="23">
        <f>IF($E617&lt;&gt;"Umbra",fracil2($S$2,$S$3,$S$4,$A617,$Q$2,$O$3,$Q$4,$U617,$V617,$W617),0)</f>
        <v>0</v>
      </c>
      <c r="G617" s="19">
        <f t="shared" si="193"/>
        <v>69.299986196910311</v>
      </c>
      <c r="H617" s="19">
        <f t="shared" si="194"/>
        <v>-4.1384165417211749</v>
      </c>
      <c r="I617" s="19">
        <f t="shared" si="195"/>
        <v>-2.9303985923262799</v>
      </c>
      <c r="J617" s="28">
        <f t="shared" si="196"/>
        <v>5.371981857255622E-3</v>
      </c>
      <c r="K617" s="24">
        <f t="shared" si="197"/>
        <v>1048.9356348997003</v>
      </c>
      <c r="L617" s="32">
        <f t="shared" si="198"/>
        <v>0.55708102239099266</v>
      </c>
      <c r="M617" s="35">
        <f t="shared" si="199"/>
        <v>13.276959552189066</v>
      </c>
      <c r="O617" s="29">
        <f t="shared" si="200"/>
        <v>1046.5835778169164</v>
      </c>
      <c r="T617" s="48">
        <v>0.74660881944444446</v>
      </c>
      <c r="U617" s="29">
        <v>-1315.1007028811762</v>
      </c>
      <c r="V617" s="29">
        <v>4564.1586302561009</v>
      </c>
      <c r="W617" s="29">
        <v>4261.9683224147257</v>
      </c>
      <c r="X617" s="4">
        <v>-0.32675791658998088</v>
      </c>
      <c r="Y617" s="4">
        <v>-0.1169907005031002</v>
      </c>
      <c r="Z617" s="4">
        <v>-1.9825907819049537E-2</v>
      </c>
      <c r="AA617" s="3">
        <f t="shared" si="205"/>
        <v>0.34763576726119605</v>
      </c>
      <c r="AB617" s="3">
        <f t="shared" si="208"/>
        <v>6.9068820332144863E-3</v>
      </c>
      <c r="AC617" s="3">
        <f t="shared" si="206"/>
        <v>2.9594506369333588E-2</v>
      </c>
      <c r="AD617" s="48"/>
      <c r="AE617" s="46">
        <f t="shared" si="201"/>
        <v>42.092148647042436</v>
      </c>
      <c r="AF617" s="46">
        <f t="shared" si="202"/>
        <v>-248.53984642396</v>
      </c>
      <c r="AG617" s="47">
        <f t="shared" si="203"/>
        <v>13075.730876558737</v>
      </c>
      <c r="AH617" s="45" t="str">
        <f t="shared" si="207"/>
        <v>-248.53985,42.09215,13076</v>
      </c>
      <c r="AI617" s="44">
        <f t="shared" si="209"/>
        <v>1021.3308198369651</v>
      </c>
    </row>
    <row r="618" spans="1:35" ht="18" customHeight="1" x14ac:dyDescent="0.25">
      <c r="A618" s="36">
        <f t="shared" si="204"/>
        <v>0.74662047453703695</v>
      </c>
      <c r="B618" s="42">
        <f t="shared" si="189"/>
        <v>42.092148641737239</v>
      </c>
      <c r="C618" s="43">
        <f t="shared" si="190"/>
        <v>111.46015349788598</v>
      </c>
      <c r="D618" s="18">
        <f t="shared" si="191"/>
        <v>13.045983660342245</v>
      </c>
      <c r="E618" s="21" t="str">
        <f t="shared" si="192"/>
        <v>Umbra</v>
      </c>
      <c r="F618" s="23">
        <f>IF($E618&lt;&gt;"Umbra",fracil2($S$2,$S$3,$S$4,$A618,$Q$2,$O$3,$Q$4,$U618,$V618,$W618),0)</f>
        <v>0</v>
      </c>
      <c r="G618" s="19">
        <f t="shared" si="193"/>
        <v>69.299991440880177</v>
      </c>
      <c r="H618" s="19">
        <f t="shared" si="194"/>
        <v>-4.1400343284544201</v>
      </c>
      <c r="I618" s="19">
        <f t="shared" si="195"/>
        <v>-2.9320163790595251</v>
      </c>
      <c r="J618" s="28">
        <f t="shared" si="196"/>
        <v>5.3688204361927571E-3</v>
      </c>
      <c r="K618" s="24">
        <f t="shared" si="197"/>
        <v>1048.9328604668237</v>
      </c>
      <c r="L618" s="32">
        <f t="shared" si="198"/>
        <v>0.55709614194953894</v>
      </c>
      <c r="M618" s="35">
        <f t="shared" si="199"/>
        <v>13.275872462448977</v>
      </c>
      <c r="O618" s="29">
        <f t="shared" si="200"/>
        <v>1046.5835714003788</v>
      </c>
      <c r="T618" s="48">
        <v>0.74662047453703695</v>
      </c>
      <c r="U618" s="29">
        <v>-1315.4297333599634</v>
      </c>
      <c r="V618" s="29">
        <v>4564.040839131836</v>
      </c>
      <c r="W618" s="29">
        <v>4261.9483816745033</v>
      </c>
      <c r="X618" s="4">
        <v>-0.32676168526125488</v>
      </c>
      <c r="Y618" s="4">
        <v>-0.11696582215541884</v>
      </c>
      <c r="Z618" s="4">
        <v>-1.978039285350263E-2</v>
      </c>
      <c r="AA618" s="3">
        <f t="shared" si="205"/>
        <v>0.34762834528948783</v>
      </c>
      <c r="AB618" s="3">
        <f t="shared" si="208"/>
        <v>6.8718147461358852E-3</v>
      </c>
      <c r="AC618" s="3">
        <f t="shared" si="206"/>
        <v>2.9526649658825781E-2</v>
      </c>
      <c r="AD618" s="48"/>
      <c r="AE618" s="46">
        <f t="shared" si="201"/>
        <v>42.092148641737239</v>
      </c>
      <c r="AF618" s="46">
        <f t="shared" si="202"/>
        <v>-248.53984650211402</v>
      </c>
      <c r="AG618" s="47">
        <f t="shared" si="203"/>
        <v>13045.983660342245</v>
      </c>
      <c r="AH618" s="45" t="str">
        <f t="shared" si="207"/>
        <v>-248.53985,42.09215,13046</v>
      </c>
      <c r="AI618" s="44">
        <f t="shared" si="209"/>
        <v>1021.3308198369651</v>
      </c>
    </row>
    <row r="619" spans="1:35" ht="18" customHeight="1" x14ac:dyDescent="0.25">
      <c r="A619" s="36">
        <f t="shared" si="204"/>
        <v>0.74663203703703707</v>
      </c>
      <c r="B619" s="42">
        <f t="shared" si="189"/>
        <v>42.092148636490649</v>
      </c>
      <c r="C619" s="43">
        <f t="shared" si="190"/>
        <v>111.46015374564595</v>
      </c>
      <c r="D619" s="18">
        <f t="shared" si="191"/>
        <v>13.016537854404305</v>
      </c>
      <c r="E619" s="21" t="str">
        <f t="shared" si="192"/>
        <v>Umbra</v>
      </c>
      <c r="F619" s="23">
        <f>IF($E619&lt;&gt;"Umbra",fracil2($S$2,$S$3,$S$4,$A619,$Q$2,$O$3,$Q$4,$U619,$V619,$W619),0)</f>
        <v>0</v>
      </c>
      <c r="G619" s="19">
        <f t="shared" si="193"/>
        <v>69.299996962650098</v>
      </c>
      <c r="H619" s="19">
        <f t="shared" si="194"/>
        <v>-4.1416358639552433</v>
      </c>
      <c r="I619" s="19">
        <f t="shared" si="195"/>
        <v>-2.9336179145603483</v>
      </c>
      <c r="J619" s="28">
        <f t="shared" si="196"/>
        <v>5.3657007346164564E-3</v>
      </c>
      <c r="K619" s="24">
        <f t="shared" si="197"/>
        <v>1048.9301411238177</v>
      </c>
      <c r="L619" s="32">
        <f t="shared" si="198"/>
        <v>0.55711113353242692</v>
      </c>
      <c r="M619" s="35">
        <f t="shared" si="199"/>
        <v>13.274796034412269</v>
      </c>
      <c r="O619" s="29">
        <f t="shared" si="200"/>
        <v>1046.5835911898616</v>
      </c>
      <c r="T619" s="48">
        <v>0.74663203703703707</v>
      </c>
      <c r="U619" s="29">
        <v>-1315.7561790964992</v>
      </c>
      <c r="V619" s="29">
        <v>4563.9239992938074</v>
      </c>
      <c r="W619" s="29">
        <v>4261.9286429819613</v>
      </c>
      <c r="X619" s="4">
        <v>-0.32676536196534289</v>
      </c>
      <c r="Y619" s="4">
        <v>-0.11694138986094529</v>
      </c>
      <c r="Z619" s="4">
        <v>-1.9735469171961399E-2</v>
      </c>
      <c r="AA619" s="3">
        <f t="shared" si="205"/>
        <v>0.34762102811307116</v>
      </c>
      <c r="AB619" s="3">
        <f t="shared" si="208"/>
        <v>6.8368386610068261E-3</v>
      </c>
      <c r="AC619" s="3">
        <f t="shared" si="206"/>
        <v>2.9459674660955178E-2</v>
      </c>
      <c r="AD619" s="48"/>
      <c r="AE619" s="46">
        <f t="shared" si="201"/>
        <v>42.092148636490649</v>
      </c>
      <c r="AF619" s="46">
        <f t="shared" si="202"/>
        <v>-248.53984625435405</v>
      </c>
      <c r="AG619" s="47">
        <f t="shared" si="203"/>
        <v>13016.537854404305</v>
      </c>
      <c r="AH619" s="45" t="str">
        <f t="shared" si="207"/>
        <v>-248.53985,42.09215,13017</v>
      </c>
      <c r="AI619" s="44">
        <f t="shared" si="209"/>
        <v>1021.3308198369651</v>
      </c>
    </row>
    <row r="620" spans="1:35" ht="18" customHeight="1" x14ac:dyDescent="0.25">
      <c r="A620" s="36">
        <f t="shared" si="204"/>
        <v>0.74664358796296293</v>
      </c>
      <c r="B620" s="42">
        <f t="shared" si="189"/>
        <v>42.092148631267833</v>
      </c>
      <c r="C620" s="43">
        <f t="shared" si="190"/>
        <v>111.46015240800496</v>
      </c>
      <c r="D620" s="18">
        <f t="shared" si="191"/>
        <v>12.987199342379427</v>
      </c>
      <c r="E620" s="21" t="str">
        <f t="shared" si="192"/>
        <v>Umbra</v>
      </c>
      <c r="F620" s="23">
        <f>IF($E620&lt;&gt;"Umbra",fracil2($S$2,$S$3,$S$4,$A620,$Q$2,$O$3,$Q$4,$U620,$V620,$W620),0)</f>
        <v>0</v>
      </c>
      <c r="G620" s="19">
        <f t="shared" si="193"/>
        <v>69.300000851595939</v>
      </c>
      <c r="H620" s="19">
        <f t="shared" si="194"/>
        <v>-4.1432309271170427</v>
      </c>
      <c r="I620" s="19">
        <f t="shared" si="195"/>
        <v>-2.9352129777221476</v>
      </c>
      <c r="J620" s="28">
        <f t="shared" si="196"/>
        <v>5.3626020050848216E-3</v>
      </c>
      <c r="K620" s="24">
        <f t="shared" si="197"/>
        <v>1048.9273050397785</v>
      </c>
      <c r="L620" s="32">
        <f t="shared" si="198"/>
        <v>0.5571261028253135</v>
      </c>
      <c r="M620" s="35">
        <f t="shared" si="199"/>
        <v>13.273725136556825</v>
      </c>
      <c r="O620" s="29">
        <f t="shared" si="200"/>
        <v>1046.5834835084845</v>
      </c>
      <c r="T620" s="48">
        <v>0.74664358796296293</v>
      </c>
      <c r="U620" s="29">
        <v>-1316.0821777703859</v>
      </c>
      <c r="V620" s="29">
        <v>4563.8073450018019</v>
      </c>
      <c r="W620" s="29">
        <v>4261.9089762131798</v>
      </c>
      <c r="X620" s="4">
        <v>-0.3267689726302796</v>
      </c>
      <c r="Y620" s="4">
        <v>-0.11691723644053993</v>
      </c>
      <c r="Z620" s="4">
        <v>-1.9690835881886342E-2</v>
      </c>
      <c r="AA620" s="3">
        <f t="shared" si="205"/>
        <v>0.34761376651172621</v>
      </c>
      <c r="AB620" s="3">
        <f t="shared" si="208"/>
        <v>6.7994318790063771E-3</v>
      </c>
      <c r="AC620" s="3">
        <f t="shared" si="206"/>
        <v>2.9393132782408016E-2</v>
      </c>
      <c r="AD620" s="48"/>
      <c r="AE620" s="46">
        <f t="shared" si="201"/>
        <v>42.092148631267833</v>
      </c>
      <c r="AF620" s="46">
        <f t="shared" si="202"/>
        <v>-248.53984759199506</v>
      </c>
      <c r="AG620" s="47">
        <f t="shared" si="203"/>
        <v>12987.199342379427</v>
      </c>
      <c r="AH620" s="45" t="str">
        <f t="shared" si="207"/>
        <v>-248.53985,42.09215,12987</v>
      </c>
      <c r="AI620" s="44">
        <f t="shared" si="209"/>
        <v>1021.3308198369651</v>
      </c>
    </row>
    <row r="621" spans="1:35" ht="18" customHeight="1" x14ac:dyDescent="0.25">
      <c r="A621" s="36">
        <f t="shared" si="204"/>
        <v>0.74665508101851852</v>
      </c>
      <c r="B621" s="42">
        <f t="shared" si="189"/>
        <v>42.092148626081169</v>
      </c>
      <c r="C621" s="43">
        <f t="shared" si="190"/>
        <v>111.4601561899844</v>
      </c>
      <c r="D621" s="18">
        <f t="shared" si="191"/>
        <v>12.958037707718177</v>
      </c>
      <c r="E621" s="21" t="str">
        <f t="shared" si="192"/>
        <v>Umbra</v>
      </c>
      <c r="F621" s="23">
        <f>IF($E621&lt;&gt;"Umbra",fracil2($S$2,$S$3,$S$4,$A621,$Q$2,$O$3,$Q$4,$U621,$V621,$W621),0)</f>
        <v>0</v>
      </c>
      <c r="G621" s="19">
        <f t="shared" si="193"/>
        <v>69.300009919727003</v>
      </c>
      <c r="H621" s="19">
        <f t="shared" si="194"/>
        <v>-4.1448184624411066</v>
      </c>
      <c r="I621" s="19">
        <f t="shared" si="195"/>
        <v>-2.9368005130462116</v>
      </c>
      <c r="J621" s="28">
        <f t="shared" si="196"/>
        <v>5.3595309962288645E-3</v>
      </c>
      <c r="K621" s="24">
        <f t="shared" si="197"/>
        <v>1048.9248980583211</v>
      </c>
      <c r="L621" s="32">
        <f t="shared" si="198"/>
        <v>0.55714098819509683</v>
      </c>
      <c r="M621" s="35">
        <f t="shared" si="199"/>
        <v>13.272655427894961</v>
      </c>
      <c r="O621" s="29">
        <f t="shared" si="200"/>
        <v>1046.5837874623523</v>
      </c>
      <c r="T621" s="48">
        <v>0.74665508101851852</v>
      </c>
      <c r="U621" s="29">
        <v>-1316.4069466485232</v>
      </c>
      <c r="V621" s="29">
        <v>4563.6911558858174</v>
      </c>
      <c r="W621" s="29">
        <v>4261.8894280127024</v>
      </c>
      <c r="X621" s="4">
        <v>-0.32677250885771392</v>
      </c>
      <c r="Y621" s="4">
        <v>-0.11689341841158714</v>
      </c>
      <c r="Z621" s="4">
        <v>-1.9646598790241623E-2</v>
      </c>
      <c r="AA621" s="3">
        <f t="shared" si="205"/>
        <v>0.34760657740775824</v>
      </c>
      <c r="AB621" s="3">
        <f t="shared" si="208"/>
        <v>6.7729890465793169E-3</v>
      </c>
      <c r="AC621" s="3">
        <f t="shared" si="206"/>
        <v>2.9327181763331201E-2</v>
      </c>
      <c r="AD621" s="48"/>
      <c r="AE621" s="46">
        <f t="shared" si="201"/>
        <v>42.092148626081169</v>
      </c>
      <c r="AF621" s="46">
        <f t="shared" si="202"/>
        <v>-248.53984381001561</v>
      </c>
      <c r="AG621" s="47">
        <f t="shared" si="203"/>
        <v>12958.037707718177</v>
      </c>
      <c r="AH621" s="45" t="str">
        <f t="shared" si="207"/>
        <v>-248.53984,42.09215,12958</v>
      </c>
      <c r="AI621" s="44">
        <f t="shared" si="209"/>
        <v>1021.3311200487365</v>
      </c>
    </row>
    <row r="622" spans="1:35" ht="18" customHeight="1" x14ac:dyDescent="0.25">
      <c r="A622" s="36">
        <f t="shared" si="204"/>
        <v>0.74666671296296305</v>
      </c>
      <c r="B622" s="42">
        <f t="shared" si="189"/>
        <v>42.092148620855461</v>
      </c>
      <c r="C622" s="43">
        <f t="shared" si="190"/>
        <v>111.46015437024388</v>
      </c>
      <c r="D622" s="18">
        <f t="shared" si="191"/>
        <v>12.928629797162102</v>
      </c>
      <c r="E622" s="21" t="str">
        <f t="shared" si="192"/>
        <v>Umbra</v>
      </c>
      <c r="F622" s="23">
        <f>IF($E622&lt;&gt;"Umbra",fracil2($S$2,$S$3,$S$4,$A622,$Q$2,$O$3,$Q$4,$U622,$V622,$W622),0)</f>
        <v>0</v>
      </c>
      <c r="G622" s="19">
        <f t="shared" si="193"/>
        <v>69.300013330446205</v>
      </c>
      <c r="H622" s="19">
        <f t="shared" si="194"/>
        <v>-4.146417120427059</v>
      </c>
      <c r="I622" s="19">
        <f t="shared" si="195"/>
        <v>-2.938399171032164</v>
      </c>
      <c r="J622" s="28">
        <f t="shared" si="196"/>
        <v>5.3564440957289275E-3</v>
      </c>
      <c r="K622" s="24">
        <f t="shared" si="197"/>
        <v>1048.9220183651439</v>
      </c>
      <c r="L622" s="32">
        <f t="shared" si="198"/>
        <v>0.55715604724970957</v>
      </c>
      <c r="M622" s="35">
        <f t="shared" si="199"/>
        <v>13.27158245047648</v>
      </c>
      <c r="O622" s="29">
        <f t="shared" si="200"/>
        <v>1046.5836410185141</v>
      </c>
      <c r="T622" s="48">
        <v>0.74666671296296305</v>
      </c>
      <c r="U622" s="29">
        <v>-1316.7352021353586</v>
      </c>
      <c r="V622" s="29">
        <v>4563.573744601209</v>
      </c>
      <c r="W622" s="29">
        <v>4261.8697147241228</v>
      </c>
      <c r="X622" s="4">
        <v>-0.32677602180199966</v>
      </c>
      <c r="Y622" s="4">
        <v>-0.11686959064109784</v>
      </c>
      <c r="Z622" s="4">
        <v>-1.9602116181294021E-2</v>
      </c>
      <c r="AA622" s="3">
        <f t="shared" si="205"/>
        <v>0.34759935644379963</v>
      </c>
      <c r="AB622" s="3">
        <f t="shared" si="208"/>
        <v>6.7292401276581601E-3</v>
      </c>
      <c r="AC622" s="3">
        <f t="shared" si="206"/>
        <v>2.9260864899995413E-2</v>
      </c>
      <c r="AD622" s="48"/>
      <c r="AE622" s="46">
        <f t="shared" si="201"/>
        <v>42.092148620855461</v>
      </c>
      <c r="AF622" s="46">
        <f t="shared" si="202"/>
        <v>-248.53984562975612</v>
      </c>
      <c r="AG622" s="47">
        <f t="shared" si="203"/>
        <v>12928.629797162102</v>
      </c>
      <c r="AH622" s="45" t="str">
        <f t="shared" si="207"/>
        <v>-248.53985,42.09215,12929</v>
      </c>
      <c r="AI622" s="44">
        <f t="shared" si="209"/>
        <v>1021.3312844814958</v>
      </c>
    </row>
    <row r="623" spans="1:35" ht="18" customHeight="1" x14ac:dyDescent="0.25">
      <c r="A623" s="36">
        <f t="shared" si="204"/>
        <v>0.7466782638888888</v>
      </c>
      <c r="B623" s="42">
        <f t="shared" si="189"/>
        <v>42.092148615677772</v>
      </c>
      <c r="C623" s="43">
        <f t="shared" si="190"/>
        <v>111.46015638697895</v>
      </c>
      <c r="D623" s="18">
        <f t="shared" si="191"/>
        <v>12.899465806452099</v>
      </c>
      <c r="E623" s="21" t="str">
        <f t="shared" si="192"/>
        <v>Umbra</v>
      </c>
      <c r="F623" s="23">
        <f>IF($E623&lt;&gt;"Umbra",fracil2($S$2,$S$3,$S$4,$A623,$Q$2,$O$3,$Q$4,$U623,$V623,$W623),0)</f>
        <v>0</v>
      </c>
      <c r="G623" s="19">
        <f t="shared" si="193"/>
        <v>69.300020602346891</v>
      </c>
      <c r="H623" s="19">
        <f t="shared" si="194"/>
        <v>-4.1480040813019112</v>
      </c>
      <c r="I623" s="19">
        <f t="shared" si="195"/>
        <v>-2.9399861319070162</v>
      </c>
      <c r="J623" s="28">
        <f t="shared" si="196"/>
        <v>5.3533918772516384E-3</v>
      </c>
      <c r="K623" s="24">
        <f t="shared" si="197"/>
        <v>1048.9194707737936</v>
      </c>
      <c r="L623" s="32">
        <f t="shared" si="198"/>
        <v>0.55717099280654525</v>
      </c>
      <c r="M623" s="35">
        <f t="shared" si="199"/>
        <v>13.270514430771504</v>
      </c>
      <c r="O623" s="29">
        <f t="shared" si="200"/>
        <v>1046.5838030411412</v>
      </c>
      <c r="T623" s="48">
        <v>0.7466782638888888</v>
      </c>
      <c r="U623" s="29">
        <v>-1317.0614738322599</v>
      </c>
      <c r="V623" s="29">
        <v>4563.4570677203328</v>
      </c>
      <c r="W623" s="29">
        <v>4261.8501649450764</v>
      </c>
      <c r="X623" s="4">
        <v>-0.3267794531160027</v>
      </c>
      <c r="Y623" s="4">
        <v>-0.11684614949122192</v>
      </c>
      <c r="Z623" s="4">
        <v>-1.955812867672975E-2</v>
      </c>
      <c r="AA623" s="3">
        <f t="shared" si="205"/>
        <v>0.34759222377241744</v>
      </c>
      <c r="AB623" s="3">
        <f t="shared" si="208"/>
        <v>6.7009965871930258E-3</v>
      </c>
      <c r="AC623" s="3">
        <f t="shared" si="206"/>
        <v>2.9195286347407454E-2</v>
      </c>
      <c r="AD623" s="48"/>
      <c r="AE623" s="46">
        <f t="shared" si="201"/>
        <v>42.092148615677772</v>
      </c>
      <c r="AF623" s="46">
        <f t="shared" si="202"/>
        <v>-248.53984361302105</v>
      </c>
      <c r="AG623" s="47">
        <f t="shared" si="203"/>
        <v>12899.465806452099</v>
      </c>
      <c r="AH623" s="45" t="str">
        <f t="shared" si="207"/>
        <v>-248.53984,42.09215,12899</v>
      </c>
      <c r="AI623" s="44">
        <f t="shared" si="209"/>
        <v>1021.3314489142551</v>
      </c>
    </row>
    <row r="624" spans="1:35" ht="18" customHeight="1" x14ac:dyDescent="0.25">
      <c r="A624" s="36">
        <f t="shared" si="204"/>
        <v>0.74668981481481478</v>
      </c>
      <c r="B624" s="42">
        <f t="shared" si="189"/>
        <v>42.092148610521292</v>
      </c>
      <c r="C624" s="43">
        <f t="shared" si="190"/>
        <v>111.46015431417779</v>
      </c>
      <c r="D624" s="18">
        <f t="shared" si="191"/>
        <v>12.870395654667846</v>
      </c>
      <c r="E624" s="21" t="str">
        <f t="shared" si="192"/>
        <v>Umbra</v>
      </c>
      <c r="F624" s="23">
        <f>IF($E624&lt;&gt;"Umbra",fracil2($S$2,$S$3,$S$4,$A624,$Q$2,$O$3,$Q$4,$U624,$V624,$W624),0)</f>
        <v>0</v>
      </c>
      <c r="G624" s="19">
        <f t="shared" si="193"/>
        <v>69.30002369509387</v>
      </c>
      <c r="H624" s="19">
        <f t="shared" si="194"/>
        <v>-4.1495842836126355</v>
      </c>
      <c r="I624" s="19">
        <f t="shared" si="195"/>
        <v>-2.9415663342177405</v>
      </c>
      <c r="J624" s="28">
        <f t="shared" si="196"/>
        <v>5.3503592580436765E-3</v>
      </c>
      <c r="K624" s="24">
        <f t="shared" si="197"/>
        <v>1048.9166037215925</v>
      </c>
      <c r="L624" s="32">
        <f t="shared" si="198"/>
        <v>0.55718593191689603</v>
      </c>
      <c r="M624" s="35">
        <f t="shared" si="199"/>
        <v>13.269454020127579</v>
      </c>
      <c r="O624" s="29">
        <f t="shared" si="200"/>
        <v>1046.5836362521272</v>
      </c>
      <c r="T624" s="48">
        <v>0.74668981481481478</v>
      </c>
      <c r="U624" s="29">
        <v>-1317.3874291203474</v>
      </c>
      <c r="V624" s="29">
        <v>4563.3405284516393</v>
      </c>
      <c r="W624" s="29">
        <v>4261.8306780703633</v>
      </c>
      <c r="X624" s="4">
        <v>-0.32678282086005145</v>
      </c>
      <c r="Y624" s="4">
        <v>-0.11682297272437789</v>
      </c>
      <c r="Z624" s="4">
        <v>-1.9514409218313791E-2</v>
      </c>
      <c r="AA624" s="3">
        <f t="shared" si="205"/>
        <v>0.34758514227819493</v>
      </c>
      <c r="AB624" s="3">
        <f t="shared" si="208"/>
        <v>6.6601440710427531E-3</v>
      </c>
      <c r="AC624" s="3">
        <f t="shared" si="206"/>
        <v>2.913010759339206E-2</v>
      </c>
      <c r="AD624" s="48"/>
      <c r="AE624" s="46">
        <f t="shared" si="201"/>
        <v>42.092148610521292</v>
      </c>
      <c r="AF624" s="46">
        <f t="shared" si="202"/>
        <v>-248.53984568582223</v>
      </c>
      <c r="AG624" s="47">
        <f t="shared" si="203"/>
        <v>12870.395654667846</v>
      </c>
      <c r="AH624" s="45" t="str">
        <f t="shared" si="207"/>
        <v>-248.53985,42.09215,12870</v>
      </c>
      <c r="AI624" s="44">
        <f t="shared" si="209"/>
        <v>1021.3315831730401</v>
      </c>
    </row>
    <row r="625" spans="1:35" ht="18" customHeight="1" x14ac:dyDescent="0.25">
      <c r="A625" s="36">
        <f t="shared" si="204"/>
        <v>0.74670148148148152</v>
      </c>
      <c r="B625" s="42">
        <f t="shared" si="189"/>
        <v>42.092148605328433</v>
      </c>
      <c r="C625" s="43">
        <f t="shared" si="190"/>
        <v>111.46015311050292</v>
      </c>
      <c r="D625" s="18">
        <f t="shared" si="191"/>
        <v>12.841093895151971</v>
      </c>
      <c r="E625" s="21" t="str">
        <f t="shared" si="192"/>
        <v>Umbra</v>
      </c>
      <c r="F625" s="23">
        <f>IF($E625&lt;&gt;"Umbra",fracil2($S$2,$S$3,$S$4,$A625,$Q$2,$O$3,$Q$4,$U625,$V625,$W625),0)</f>
        <v>0</v>
      </c>
      <c r="G625" s="19">
        <f t="shared" si="193"/>
        <v>69.300027713917785</v>
      </c>
      <c r="H625" s="19">
        <f t="shared" si="194"/>
        <v>-4.151177444412693</v>
      </c>
      <c r="I625" s="19">
        <f t="shared" si="195"/>
        <v>-2.9431594950177979</v>
      </c>
      <c r="J625" s="28">
        <f t="shared" si="196"/>
        <v>5.3473118616501267E-3</v>
      </c>
      <c r="K625" s="24">
        <f t="shared" si="197"/>
        <v>1048.9137858806102</v>
      </c>
      <c r="L625" s="32">
        <f t="shared" si="198"/>
        <v>0.5572010128773166</v>
      </c>
      <c r="M625" s="35">
        <f t="shared" si="199"/>
        <v>13.26838423268026</v>
      </c>
      <c r="O625" s="29">
        <f t="shared" si="200"/>
        <v>1046.5835393428188</v>
      </c>
      <c r="T625" s="48">
        <v>0.74670148148148152</v>
      </c>
      <c r="U625" s="29">
        <v>-1317.7167235172988</v>
      </c>
      <c r="V625" s="29">
        <v>4563.2228199078409</v>
      </c>
      <c r="W625" s="29">
        <v>4261.8110359402026</v>
      </c>
      <c r="X625" s="4">
        <v>-0.3267861625633382</v>
      </c>
      <c r="Y625" s="4">
        <v>-0.11679980142675027</v>
      </c>
      <c r="Z625" s="4">
        <v>-1.9470468439288544E-2</v>
      </c>
      <c r="AA625" s="3">
        <f t="shared" si="205"/>
        <v>0.34757803267388193</v>
      </c>
      <c r="AB625" s="3">
        <f t="shared" si="208"/>
        <v>6.6274335611649473E-3</v>
      </c>
      <c r="AC625" s="3">
        <f t="shared" si="206"/>
        <v>2.9064599070982841E-2</v>
      </c>
      <c r="AD625" s="48"/>
      <c r="AE625" s="46">
        <f t="shared" si="201"/>
        <v>42.092148605328433</v>
      </c>
      <c r="AF625" s="46">
        <f t="shared" si="202"/>
        <v>-248.53984688949708</v>
      </c>
      <c r="AG625" s="47">
        <f t="shared" si="203"/>
        <v>12841.093895151971</v>
      </c>
      <c r="AH625" s="45" t="str">
        <f t="shared" si="207"/>
        <v>-248.53985,42.09215,12841</v>
      </c>
      <c r="AI625" s="44">
        <f t="shared" si="209"/>
        <v>1021.3315831730401</v>
      </c>
    </row>
    <row r="626" spans="1:35" ht="18" customHeight="1" x14ac:dyDescent="0.25">
      <c r="A626" s="36">
        <f t="shared" si="204"/>
        <v>0.74671295138888893</v>
      </c>
      <c r="B626" s="42">
        <f t="shared" si="189"/>
        <v>42.092148600235049</v>
      </c>
      <c r="C626" s="43">
        <f t="shared" si="190"/>
        <v>111.46015525553439</v>
      </c>
      <c r="D626" s="18">
        <f t="shared" si="191"/>
        <v>12.812327449484656</v>
      </c>
      <c r="E626" s="21" t="str">
        <f t="shared" si="192"/>
        <v>Umbra</v>
      </c>
      <c r="F626" s="23">
        <f>IF($E626&lt;&gt;"Umbra",fracil2($S$2,$S$3,$S$4,$A626,$Q$2,$O$3,$Q$4,$U626,$V626,$W626),0)</f>
        <v>0</v>
      </c>
      <c r="G626" s="19">
        <f t="shared" si="193"/>
        <v>69.300035045312441</v>
      </c>
      <c r="H626" s="19">
        <f t="shared" si="194"/>
        <v>-4.1527428597641443</v>
      </c>
      <c r="I626" s="19">
        <f t="shared" si="195"/>
        <v>-2.9447249103692492</v>
      </c>
      <c r="J626" s="28">
        <f t="shared" si="196"/>
        <v>5.3443290176786087E-3</v>
      </c>
      <c r="K626" s="24">
        <f t="shared" si="197"/>
        <v>1048.9112879226986</v>
      </c>
      <c r="L626" s="32">
        <f t="shared" si="198"/>
        <v>0.55721583117891693</v>
      </c>
      <c r="M626" s="35">
        <f t="shared" si="199"/>
        <v>13.267330556351478</v>
      </c>
      <c r="O626" s="29">
        <f t="shared" si="200"/>
        <v>1046.5837116830076</v>
      </c>
      <c r="T626" s="48">
        <v>0.74671295138888893</v>
      </c>
      <c r="U626" s="29">
        <v>-1318.0407279581368</v>
      </c>
      <c r="V626" s="29">
        <v>4563.1070261312143</v>
      </c>
      <c r="W626" s="29">
        <v>4261.7917526525052</v>
      </c>
      <c r="X626" s="4">
        <v>-0.32678939184385458</v>
      </c>
      <c r="Y626" s="4">
        <v>-0.11677723812036908</v>
      </c>
      <c r="Z626" s="4">
        <v>-1.9427453429695138E-2</v>
      </c>
      <c r="AA626" s="3">
        <f t="shared" si="205"/>
        <v>0.34757108037272133</v>
      </c>
      <c r="AB626" s="3">
        <f t="shared" si="208"/>
        <v>6.5990786508600564E-3</v>
      </c>
      <c r="AC626" s="3">
        <f t="shared" si="206"/>
        <v>2.9000470900819728E-2</v>
      </c>
      <c r="AD626" s="48"/>
      <c r="AE626" s="46">
        <f t="shared" si="201"/>
        <v>42.092148600235049</v>
      </c>
      <c r="AF626" s="46">
        <f t="shared" si="202"/>
        <v>-248.5398447444656</v>
      </c>
      <c r="AG626" s="47">
        <f t="shared" si="203"/>
        <v>12812.327449484656</v>
      </c>
      <c r="AH626" s="45" t="str">
        <f t="shared" si="207"/>
        <v>-248.53984,42.09215,12812</v>
      </c>
      <c r="AI626" s="44">
        <f t="shared" si="209"/>
        <v>1021.3317476057995</v>
      </c>
    </row>
    <row r="627" spans="1:35" ht="18" customHeight="1" x14ac:dyDescent="0.25">
      <c r="A627" s="36">
        <f t="shared" si="204"/>
        <v>0.74672460648148142</v>
      </c>
      <c r="B627" s="42">
        <f t="shared" si="189"/>
        <v>42.092148595077468</v>
      </c>
      <c r="C627" s="43">
        <f t="shared" si="190"/>
        <v>111.46015572479551</v>
      </c>
      <c r="D627" s="18">
        <f t="shared" si="191"/>
        <v>12.783173399945554</v>
      </c>
      <c r="E627" s="21" t="str">
        <f t="shared" si="192"/>
        <v>Umbra</v>
      </c>
      <c r="F627" s="23">
        <f>IF($E627&lt;&gt;"Umbra",fracil2($S$2,$S$3,$S$4,$A627,$Q$2,$O$3,$Q$4,$U627,$V627,$W627),0)</f>
        <v>0</v>
      </c>
      <c r="G627" s="19">
        <f t="shared" si="193"/>
        <v>69.30004074047585</v>
      </c>
      <c r="H627" s="19">
        <f t="shared" si="194"/>
        <v>-4.1543286829657013</v>
      </c>
      <c r="I627" s="19">
        <f t="shared" si="195"/>
        <v>-2.9463107335708063</v>
      </c>
      <c r="J627" s="28">
        <f t="shared" si="196"/>
        <v>5.3413153362815219E-3</v>
      </c>
      <c r="K627" s="24">
        <f t="shared" si="197"/>
        <v>1048.9086199740475</v>
      </c>
      <c r="L627" s="32">
        <f t="shared" si="198"/>
        <v>0.55723088169258572</v>
      </c>
      <c r="M627" s="35">
        <f t="shared" si="199"/>
        <v>13.266264413530221</v>
      </c>
      <c r="O627" s="29">
        <f t="shared" si="200"/>
        <v>1046.5837492841413</v>
      </c>
      <c r="T627" s="48">
        <v>0.74672460648148142</v>
      </c>
      <c r="U627" s="29">
        <v>-1318.369833066429</v>
      </c>
      <c r="V627" s="29">
        <v>4562.9894334050377</v>
      </c>
      <c r="W627" s="29">
        <v>4261.7722095389518</v>
      </c>
      <c r="X627" s="4">
        <v>-0.32679261289085959</v>
      </c>
      <c r="Y627" s="4">
        <v>-0.11675455673587667</v>
      </c>
      <c r="Z627" s="4">
        <v>-1.9383982410452246E-2</v>
      </c>
      <c r="AA627" s="3">
        <f t="shared" si="205"/>
        <v>0.34756406191192291</v>
      </c>
      <c r="AB627" s="3">
        <f t="shared" si="208"/>
        <v>6.5630552158351145E-3</v>
      </c>
      <c r="AC627" s="3">
        <f t="shared" si="206"/>
        <v>2.8935663080137702E-2</v>
      </c>
      <c r="AD627" s="48"/>
      <c r="AE627" s="46">
        <f t="shared" si="201"/>
        <v>42.092148595077468</v>
      </c>
      <c r="AF627" s="46">
        <f t="shared" si="202"/>
        <v>-248.53984427520447</v>
      </c>
      <c r="AG627" s="47">
        <f t="shared" si="203"/>
        <v>12783.173399945554</v>
      </c>
      <c r="AH627" s="45" t="str">
        <f t="shared" si="207"/>
        <v>-248.53984,42.09215,12783</v>
      </c>
      <c r="AI627" s="44">
        <f t="shared" si="209"/>
        <v>1021.3317476057995</v>
      </c>
    </row>
    <row r="628" spans="1:35" ht="18" customHeight="1" x14ac:dyDescent="0.25">
      <c r="A628" s="36">
        <f t="shared" si="204"/>
        <v>0.74673619212962972</v>
      </c>
      <c r="B628" s="42">
        <f t="shared" si="189"/>
        <v>42.092148589969511</v>
      </c>
      <c r="C628" s="43">
        <f t="shared" si="190"/>
        <v>111.4601538415214</v>
      </c>
      <c r="D628" s="18">
        <f t="shared" si="191"/>
        <v>12.754273841197573</v>
      </c>
      <c r="E628" s="21" t="str">
        <f t="shared" si="192"/>
        <v>Umbra</v>
      </c>
      <c r="F628" s="23">
        <f>IF($E628&lt;&gt;"Umbra",fracil2($S$2,$S$3,$S$4,$A628,$Q$2,$O$3,$Q$4,$U628,$V628,$W628),0)</f>
        <v>0</v>
      </c>
      <c r="G628" s="19">
        <f t="shared" si="193"/>
        <v>69.300043995678081</v>
      </c>
      <c r="H628" s="19">
        <f t="shared" si="194"/>
        <v>-4.1558997175793069</v>
      </c>
      <c r="I628" s="19">
        <f t="shared" si="195"/>
        <v>-2.9478817681844118</v>
      </c>
      <c r="J628" s="28">
        <f t="shared" si="196"/>
        <v>5.3383374182412388E-3</v>
      </c>
      <c r="K628" s="24">
        <f t="shared" si="197"/>
        <v>1048.9057871903651</v>
      </c>
      <c r="L628" s="32">
        <f t="shared" si="198"/>
        <v>0.55724583572933384</v>
      </c>
      <c r="M628" s="35">
        <f t="shared" si="199"/>
        <v>13.265209968411286</v>
      </c>
      <c r="O628" s="29">
        <f t="shared" si="200"/>
        <v>1046.5835977349388</v>
      </c>
      <c r="T628" s="48">
        <v>0.74673619212962972</v>
      </c>
      <c r="U628" s="29">
        <v>-1318.6967967144365</v>
      </c>
      <c r="V628" s="29">
        <v>4562.8726294828193</v>
      </c>
      <c r="W628" s="29">
        <v>4261.7528370210366</v>
      </c>
      <c r="X628" s="4">
        <v>-0.32679575386683191</v>
      </c>
      <c r="Y628" s="4">
        <v>-0.11673225987446167</v>
      </c>
      <c r="Z628" s="4">
        <v>-1.9341015250607402E-2</v>
      </c>
      <c r="AA628" s="3">
        <f t="shared" si="205"/>
        <v>0.34755713215486467</v>
      </c>
      <c r="AB628" s="3">
        <f t="shared" si="208"/>
        <v>6.5258492727489001E-3</v>
      </c>
      <c r="AC628" s="3">
        <f t="shared" si="206"/>
        <v>2.8871606609690355E-2</v>
      </c>
      <c r="AD628" s="48"/>
      <c r="AE628" s="46">
        <f t="shared" si="201"/>
        <v>42.092148589969511</v>
      </c>
      <c r="AF628" s="46">
        <f t="shared" si="202"/>
        <v>-248.53984615847861</v>
      </c>
      <c r="AG628" s="47">
        <f t="shared" si="203"/>
        <v>12754.273841197573</v>
      </c>
      <c r="AH628" s="45" t="str">
        <f t="shared" si="207"/>
        <v>-248.53985,42.09215,12754</v>
      </c>
      <c r="AI628" s="44">
        <f t="shared" si="209"/>
        <v>1021.3318818645845</v>
      </c>
    </row>
    <row r="629" spans="1:35" ht="18" customHeight="1" x14ac:dyDescent="0.25">
      <c r="A629" s="36">
        <f t="shared" si="204"/>
        <v>0.74674773148148155</v>
      </c>
      <c r="B629" s="42">
        <f t="shared" si="189"/>
        <v>42.092148584891987</v>
      </c>
      <c r="C629" s="43">
        <f t="shared" si="190"/>
        <v>111.46015668618875</v>
      </c>
      <c r="D629" s="18">
        <f t="shared" si="191"/>
        <v>12.725520822225917</v>
      </c>
      <c r="E629" s="21" t="str">
        <f t="shared" si="192"/>
        <v>Umbra</v>
      </c>
      <c r="F629" s="23">
        <f>IF($E629&lt;&gt;"Umbra",fracil2($S$2,$S$3,$S$4,$A629,$Q$2,$O$3,$Q$4,$U629,$V629,$W629),0)</f>
        <v>0</v>
      </c>
      <c r="G629" s="19">
        <f t="shared" si="193"/>
        <v>69.300052036823018</v>
      </c>
      <c r="H629" s="19">
        <f t="shared" si="194"/>
        <v>-4.1574647098480559</v>
      </c>
      <c r="I629" s="19">
        <f t="shared" si="195"/>
        <v>-2.9494467604531609</v>
      </c>
      <c r="J629" s="28">
        <f t="shared" si="196"/>
        <v>5.3353832713289827E-3</v>
      </c>
      <c r="K629" s="24">
        <f t="shared" si="197"/>
        <v>1048.9033491184937</v>
      </c>
      <c r="L629" s="32">
        <f t="shared" si="198"/>
        <v>0.55726072135936133</v>
      </c>
      <c r="M629" s="35">
        <f t="shared" si="199"/>
        <v>13.264156010154602</v>
      </c>
      <c r="O629" s="29">
        <f t="shared" si="200"/>
        <v>1046.5838263285573</v>
      </c>
      <c r="T629" s="48">
        <v>0.74674773148148155</v>
      </c>
      <c r="U629" s="29">
        <v>-1319.0228261592906</v>
      </c>
      <c r="V629" s="29">
        <v>4562.7561824979284</v>
      </c>
      <c r="W629" s="29">
        <v>4261.7335627349112</v>
      </c>
      <c r="X629" s="4">
        <v>-0.32679882783532938</v>
      </c>
      <c r="Y629" s="4">
        <v>-0.11671025941069627</v>
      </c>
      <c r="Z629" s="4">
        <v>-1.9298387888590854E-2</v>
      </c>
      <c r="AA629" s="3">
        <f t="shared" si="205"/>
        <v>0.34755026442423514</v>
      </c>
      <c r="AB629" s="3">
        <f t="shared" si="208"/>
        <v>6.5001972326300681E-3</v>
      </c>
      <c r="AC629" s="3">
        <f t="shared" si="206"/>
        <v>2.8808056898429493E-2</v>
      </c>
      <c r="AD629" s="48"/>
      <c r="AE629" s="46">
        <f t="shared" si="201"/>
        <v>42.092148584891987</v>
      </c>
      <c r="AF629" s="46">
        <f t="shared" si="202"/>
        <v>-248.53984331381125</v>
      </c>
      <c r="AG629" s="47">
        <f t="shared" si="203"/>
        <v>12725.520822225917</v>
      </c>
      <c r="AH629" s="45" t="str">
        <f t="shared" si="207"/>
        <v>-248.53984,42.09215,12726</v>
      </c>
      <c r="AI629" s="44">
        <f t="shared" si="209"/>
        <v>1021.3321144076231</v>
      </c>
    </row>
    <row r="630" spans="1:35" ht="18" customHeight="1" x14ac:dyDescent="0.25">
      <c r="A630" s="36">
        <f t="shared" si="204"/>
        <v>0.74675939814814818</v>
      </c>
      <c r="B630" s="42">
        <f t="shared" si="189"/>
        <v>42.09214857977868</v>
      </c>
      <c r="C630" s="43">
        <f t="shared" si="190"/>
        <v>111.4601559108655</v>
      </c>
      <c r="D630" s="18">
        <f t="shared" si="191"/>
        <v>12.696539998018125</v>
      </c>
      <c r="E630" s="21" t="str">
        <f t="shared" si="192"/>
        <v>Umbra</v>
      </c>
      <c r="F630" s="23">
        <f>IF($E630&lt;&gt;"Umbra",fracil2($S$2,$S$3,$S$4,$A630,$Q$2,$O$3,$Q$4,$U630,$V630,$W630),0)</f>
        <v>0</v>
      </c>
      <c r="G630" s="19">
        <f t="shared" si="193"/>
        <v>69.30005643429368</v>
      </c>
      <c r="H630" s="19">
        <f t="shared" si="194"/>
        <v>-4.1590406304114973</v>
      </c>
      <c r="I630" s="19">
        <f t="shared" si="195"/>
        <v>-2.9510226810166023</v>
      </c>
      <c r="J630" s="28">
        <f t="shared" si="196"/>
        <v>5.3324152349925871E-3</v>
      </c>
      <c r="K630" s="24">
        <f t="shared" si="197"/>
        <v>1048.9005995032226</v>
      </c>
      <c r="L630" s="32">
        <f t="shared" si="198"/>
        <v>0.55727576482206143</v>
      </c>
      <c r="M630" s="35">
        <f t="shared" si="199"/>
        <v>13.263097420392596</v>
      </c>
      <c r="O630" s="29">
        <f t="shared" si="200"/>
        <v>1046.5837638621142</v>
      </c>
      <c r="T630" s="48">
        <v>0.74675939814814818</v>
      </c>
      <c r="U630" s="29">
        <v>-1319.3521702539808</v>
      </c>
      <c r="V630" s="29">
        <v>4562.6385748971916</v>
      </c>
      <c r="W630" s="29">
        <v>4261.7141357422952</v>
      </c>
      <c r="X630" s="4">
        <v>-0.32680187432369295</v>
      </c>
      <c r="Y630" s="4">
        <v>-0.11668827055933478</v>
      </c>
      <c r="Z630" s="4">
        <v>-1.9255546606409584E-2</v>
      </c>
      <c r="AA630" s="3">
        <f t="shared" si="205"/>
        <v>0.34754336941268055</v>
      </c>
      <c r="AB630" s="3">
        <f t="shared" si="208"/>
        <v>6.4615085589179036E-3</v>
      </c>
      <c r="AC630" s="3">
        <f t="shared" si="206"/>
        <v>2.8744188453077503E-2</v>
      </c>
      <c r="AD630" s="48"/>
      <c r="AE630" s="46">
        <f t="shared" si="201"/>
        <v>42.09214857977868</v>
      </c>
      <c r="AF630" s="46">
        <f t="shared" si="202"/>
        <v>-248.5398440891345</v>
      </c>
      <c r="AG630" s="47">
        <f t="shared" si="203"/>
        <v>12696.539998018125</v>
      </c>
      <c r="AH630" s="45" t="str">
        <f t="shared" si="207"/>
        <v>-248.53984,42.09215,12697</v>
      </c>
      <c r="AI630" s="44">
        <f t="shared" si="209"/>
        <v>1021.3321144076231</v>
      </c>
    </row>
    <row r="631" spans="1:35" ht="18" customHeight="1" x14ac:dyDescent="0.25">
      <c r="A631" s="36">
        <f t="shared" si="204"/>
        <v>0.74677092592592587</v>
      </c>
      <c r="B631" s="42">
        <f t="shared" si="189"/>
        <v>42.092148574742573</v>
      </c>
      <c r="C631" s="43">
        <f t="shared" si="190"/>
        <v>111.46015460836723</v>
      </c>
      <c r="D631" s="18">
        <f t="shared" si="191"/>
        <v>12.667970959132617</v>
      </c>
      <c r="E631" s="21" t="str">
        <f t="shared" si="192"/>
        <v>Umbra</v>
      </c>
      <c r="F631" s="23">
        <f>IF($E631&lt;&gt;"Umbra",fracil2($S$2,$S$3,$S$4,$A631,$Q$2,$O$3,$Q$4,$U631,$V631,$W631),0)</f>
        <v>0</v>
      </c>
      <c r="G631" s="19">
        <f t="shared" si="193"/>
        <v>69.300060221524305</v>
      </c>
      <c r="H631" s="19">
        <f t="shared" si="194"/>
        <v>-4.1605939486377173</v>
      </c>
      <c r="I631" s="19">
        <f t="shared" si="195"/>
        <v>-2.9525759992428222</v>
      </c>
      <c r="J631" s="28">
        <f t="shared" si="196"/>
        <v>5.3294985012022813E-3</v>
      </c>
      <c r="K631" s="24">
        <f t="shared" si="197"/>
        <v>1048.8978464405052</v>
      </c>
      <c r="L631" s="32">
        <f t="shared" si="198"/>
        <v>0.55729062206595692</v>
      </c>
      <c r="M631" s="35">
        <f t="shared" si="199"/>
        <v>13.262054405675146</v>
      </c>
      <c r="O631" s="29">
        <f t="shared" si="200"/>
        <v>1046.5836590110002</v>
      </c>
      <c r="T631" s="48">
        <v>0.74677092592592587</v>
      </c>
      <c r="U631" s="29">
        <v>-1319.6775546574468</v>
      </c>
      <c r="V631" s="29">
        <v>4562.5224039996665</v>
      </c>
      <c r="W631" s="29">
        <v>4261.6949847860451</v>
      </c>
      <c r="X631" s="4">
        <v>-0.32680482635406993</v>
      </c>
      <c r="Y631" s="4">
        <v>-0.11666677756390798</v>
      </c>
      <c r="Z631" s="4">
        <v>-1.9213436326944076E-2</v>
      </c>
      <c r="AA631" s="3">
        <f t="shared" si="205"/>
        <v>0.34753659900929817</v>
      </c>
      <c r="AB631" s="3">
        <f t="shared" si="208"/>
        <v>6.4277583408378558E-3</v>
      </c>
      <c r="AC631" s="3">
        <f t="shared" si="206"/>
        <v>2.8681409977180904E-2</v>
      </c>
      <c r="AD631" s="48"/>
      <c r="AE631" s="46">
        <f t="shared" si="201"/>
        <v>42.092148574742573</v>
      </c>
      <c r="AF631" s="46">
        <f t="shared" si="202"/>
        <v>-248.53984539163275</v>
      </c>
      <c r="AG631" s="47">
        <f t="shared" si="203"/>
        <v>12667.970959132617</v>
      </c>
      <c r="AH631" s="45" t="str">
        <f t="shared" si="207"/>
        <v>-248.53985,42.09215,12668</v>
      </c>
      <c r="AI631" s="44">
        <f t="shared" si="209"/>
        <v>1021.3321144076231</v>
      </c>
    </row>
    <row r="632" spans="1:35" ht="18" customHeight="1" x14ac:dyDescent="0.25">
      <c r="A632" s="36">
        <f t="shared" si="204"/>
        <v>0.7467825578703704</v>
      </c>
      <c r="B632" s="42">
        <f t="shared" si="189"/>
        <v>42.092148569674563</v>
      </c>
      <c r="C632" s="43">
        <f t="shared" si="190"/>
        <v>111.46015501516624</v>
      </c>
      <c r="D632" s="18">
        <f t="shared" si="191"/>
        <v>12.63919521806929</v>
      </c>
      <c r="E632" s="21" t="str">
        <f t="shared" si="192"/>
        <v>Umbra</v>
      </c>
      <c r="F632" s="23">
        <f>IF($E632&lt;&gt;"Umbra",fracil2($S$2,$S$3,$S$4,$A632,$Q$2,$O$3,$Q$4,$U632,$V632,$W632),0)</f>
        <v>0</v>
      </c>
      <c r="G632" s="19">
        <f t="shared" si="193"/>
        <v>69.300065785506348</v>
      </c>
      <c r="H632" s="19">
        <f t="shared" si="194"/>
        <v>-4.1621592107328791</v>
      </c>
      <c r="I632" s="19">
        <f t="shared" si="195"/>
        <v>-2.954141261337984</v>
      </c>
      <c r="J632" s="28">
        <f t="shared" si="196"/>
        <v>5.3265695421396055E-3</v>
      </c>
      <c r="K632" s="24">
        <f t="shared" si="197"/>
        <v>1048.8952124982559</v>
      </c>
      <c r="L632" s="32">
        <f t="shared" si="198"/>
        <v>0.55730560577599608</v>
      </c>
      <c r="M632" s="35">
        <f t="shared" si="199"/>
        <v>13.261002062957321</v>
      </c>
      <c r="O632" s="29">
        <f t="shared" si="200"/>
        <v>1046.5836915922141</v>
      </c>
      <c r="T632" s="48">
        <v>0.7467825578703704</v>
      </c>
      <c r="U632" s="29">
        <v>-1320.0060168902619</v>
      </c>
      <c r="V632" s="29">
        <v>4562.4051568775039</v>
      </c>
      <c r="W632" s="29">
        <v>4261.6756952695332</v>
      </c>
      <c r="X632" s="4">
        <v>-0.32680774873778479</v>
      </c>
      <c r="Y632" s="4">
        <v>-0.11664531183861838</v>
      </c>
      <c r="Z632" s="4">
        <v>-1.917114279043608E-2</v>
      </c>
      <c r="AA632" s="3">
        <f t="shared" si="205"/>
        <v>0.34752980609564826</v>
      </c>
      <c r="AB632" s="3">
        <f t="shared" si="208"/>
        <v>6.3979000991172524E-3</v>
      </c>
      <c r="AC632" s="3">
        <f t="shared" si="206"/>
        <v>2.8618358479766612E-2</v>
      </c>
      <c r="AD632" s="48"/>
      <c r="AE632" s="46">
        <f t="shared" si="201"/>
        <v>42.092148569674563</v>
      </c>
      <c r="AF632" s="46">
        <f t="shared" si="202"/>
        <v>-248.53984498483376</v>
      </c>
      <c r="AG632" s="47">
        <f t="shared" si="203"/>
        <v>12639.19521806929</v>
      </c>
      <c r="AH632" s="45" t="str">
        <f t="shared" si="207"/>
        <v>-248.53984,42.09215,12639</v>
      </c>
      <c r="AI632" s="44">
        <f t="shared" si="209"/>
        <v>1021.3321144076231</v>
      </c>
    </row>
    <row r="633" spans="1:35" ht="18" customHeight="1" x14ac:dyDescent="0.25">
      <c r="A633" s="36">
        <f t="shared" si="204"/>
        <v>0.74679401620370367</v>
      </c>
      <c r="B633" s="42">
        <f t="shared" si="189"/>
        <v>42.092148564696508</v>
      </c>
      <c r="C633" s="43">
        <f t="shared" si="190"/>
        <v>111.4601561405365</v>
      </c>
      <c r="D633" s="18">
        <f t="shared" si="191"/>
        <v>12.610905857195576</v>
      </c>
      <c r="E633" s="21" t="str">
        <f t="shared" si="192"/>
        <v>Umbra</v>
      </c>
      <c r="F633" s="23">
        <f>IF($E633&lt;&gt;"Umbra",fracil2($S$2,$S$3,$S$4,$A633,$Q$2,$O$3,$Q$4,$U633,$V633,$W633),0)</f>
        <v>0</v>
      </c>
      <c r="G633" s="19">
        <f t="shared" si="193"/>
        <v>69.300071993829334</v>
      </c>
      <c r="H633" s="19">
        <f t="shared" si="194"/>
        <v>-4.1636983178854292</v>
      </c>
      <c r="I633" s="19">
        <f t="shared" si="195"/>
        <v>-2.9556803684905342</v>
      </c>
      <c r="J633" s="28">
        <f t="shared" si="196"/>
        <v>5.3236988397127351E-3</v>
      </c>
      <c r="K633" s="24">
        <f t="shared" si="197"/>
        <v>1048.8926821959712</v>
      </c>
      <c r="L633" s="32">
        <f t="shared" si="198"/>
        <v>0.55732035850403061</v>
      </c>
      <c r="M633" s="35">
        <f t="shared" si="199"/>
        <v>13.25996674538832</v>
      </c>
      <c r="O633" s="29">
        <f t="shared" si="200"/>
        <v>1046.5837819511714</v>
      </c>
      <c r="T633" s="48">
        <v>0.74679401620370367</v>
      </c>
      <c r="U633" s="29">
        <v>-1320.3296362659964</v>
      </c>
      <c r="V633" s="29">
        <v>4562.2896604538664</v>
      </c>
      <c r="W633" s="29">
        <v>4261.6567317932422</v>
      </c>
      <c r="X633" s="4">
        <v>-0.32681057183764667</v>
      </c>
      <c r="Y633" s="4">
        <v>-0.11662438762282734</v>
      </c>
      <c r="Z633" s="4">
        <v>-1.9129682717375356E-2</v>
      </c>
      <c r="AA633" s="3">
        <f t="shared" si="205"/>
        <v>0.3475231537813222</v>
      </c>
      <c r="AB633" s="3">
        <f t="shared" si="208"/>
        <v>6.3668283849782686E-3</v>
      </c>
      <c r="AC633" s="3">
        <f t="shared" si="206"/>
        <v>2.855654969181529E-2</v>
      </c>
      <c r="AD633" s="48"/>
      <c r="AE633" s="46">
        <f t="shared" si="201"/>
        <v>42.092148564696508</v>
      </c>
      <c r="AF633" s="46">
        <f t="shared" si="202"/>
        <v>-248.5398438594635</v>
      </c>
      <c r="AG633" s="47">
        <f t="shared" si="203"/>
        <v>12610.905857195576</v>
      </c>
      <c r="AH633" s="45" t="str">
        <f t="shared" si="207"/>
        <v>-248.53984,42.09215,12611</v>
      </c>
      <c r="AI633" s="44">
        <f t="shared" si="209"/>
        <v>1021.3321144076231</v>
      </c>
    </row>
    <row r="634" spans="1:35" ht="18" customHeight="1" x14ac:dyDescent="0.25">
      <c r="A634" s="36">
        <f t="shared" si="204"/>
        <v>0.74680563657407406</v>
      </c>
      <c r="B634" s="42">
        <f t="shared" si="189"/>
        <v>42.092148559664807</v>
      </c>
      <c r="C634" s="43">
        <f t="shared" si="190"/>
        <v>111.46015614374006</v>
      </c>
      <c r="D634" s="18">
        <f t="shared" si="191"/>
        <v>12.582286590450167</v>
      </c>
      <c r="E634" s="21" t="str">
        <f t="shared" si="192"/>
        <v>Umbra</v>
      </c>
      <c r="F634" s="23">
        <f>IF($E634&lt;&gt;"Umbra",fracil2($S$2,$S$3,$S$4,$A634,$Q$2,$O$3,$Q$4,$U634,$V634,$W634),0)</f>
        <v>0</v>
      </c>
      <c r="G634" s="19">
        <f t="shared" si="193"/>
        <v>69.300077119063033</v>
      </c>
      <c r="H634" s="19">
        <f t="shared" si="194"/>
        <v>-4.1652549212214192</v>
      </c>
      <c r="I634" s="19">
        <f t="shared" si="195"/>
        <v>-2.9572369718265241</v>
      </c>
      <c r="J634" s="28">
        <f t="shared" si="196"/>
        <v>5.3208035896503024E-3</v>
      </c>
      <c r="K634" s="24">
        <f t="shared" si="197"/>
        <v>1048.890031829407</v>
      </c>
      <c r="L634" s="32">
        <f t="shared" si="198"/>
        <v>0.55733531298370409</v>
      </c>
      <c r="M634" s="35">
        <f t="shared" si="199"/>
        <v>13.25892050047154</v>
      </c>
      <c r="O634" s="29">
        <f t="shared" si="200"/>
        <v>1046.5837820828908</v>
      </c>
      <c r="T634" s="48">
        <v>0.74680563657407406</v>
      </c>
      <c r="U634" s="29">
        <v>-1320.6577459255384</v>
      </c>
      <c r="V634" s="29">
        <v>4562.1725835424741</v>
      </c>
      <c r="W634" s="29">
        <v>4261.6375471683796</v>
      </c>
      <c r="X634" s="4">
        <v>-0.32681337770637725</v>
      </c>
      <c r="Y634" s="4">
        <v>-0.11660339896089887</v>
      </c>
      <c r="Z634" s="4">
        <v>-1.9087858066206866E-2</v>
      </c>
      <c r="AA634" s="3">
        <f t="shared" si="205"/>
        <v>0.34751644971517737</v>
      </c>
      <c r="AB634" s="3">
        <f t="shared" si="208"/>
        <v>6.3332356749753824E-3</v>
      </c>
      <c r="AC634" s="3">
        <f t="shared" si="206"/>
        <v>2.8494197567950255E-2</v>
      </c>
      <c r="AD634" s="48"/>
      <c r="AE634" s="46">
        <f t="shared" si="201"/>
        <v>42.092148559664807</v>
      </c>
      <c r="AF634" s="46">
        <f t="shared" si="202"/>
        <v>-248.53984385625995</v>
      </c>
      <c r="AG634" s="47">
        <f t="shared" si="203"/>
        <v>12582.286590450167</v>
      </c>
      <c r="AH634" s="45" t="str">
        <f t="shared" si="207"/>
        <v>-248.53984,42.09215,12582</v>
      </c>
      <c r="AI634" s="44">
        <f t="shared" si="209"/>
        <v>1021.3321144076231</v>
      </c>
    </row>
    <row r="635" spans="1:35" ht="18" customHeight="1" x14ac:dyDescent="0.25">
      <c r="A635" s="36">
        <f t="shared" si="204"/>
        <v>0.74681714120370379</v>
      </c>
      <c r="B635" s="42">
        <f t="shared" si="189"/>
        <v>42.092148554698753</v>
      </c>
      <c r="C635" s="43">
        <f t="shared" si="190"/>
        <v>111.46015580838696</v>
      </c>
      <c r="D635" s="18">
        <f t="shared" si="191"/>
        <v>12.554016227149077</v>
      </c>
      <c r="E635" s="21" t="str">
        <f t="shared" si="192"/>
        <v>Umbra</v>
      </c>
      <c r="F635" s="23">
        <f>IF($E635&lt;&gt;"Umbra",fracil2($S$2,$S$3,$S$4,$A635,$Q$2,$O$3,$Q$4,$U635,$V635,$W635),0)</f>
        <v>0</v>
      </c>
      <c r="G635" s="19">
        <f t="shared" si="193"/>
        <v>69.300081837287621</v>
      </c>
      <c r="H635" s="19">
        <f t="shared" si="194"/>
        <v>-4.1667924182289839</v>
      </c>
      <c r="I635" s="19">
        <f t="shared" si="195"/>
        <v>-2.9587744688340889</v>
      </c>
      <c r="J635" s="28">
        <f t="shared" si="196"/>
        <v>5.3179524102794067E-3</v>
      </c>
      <c r="K635" s="24">
        <f t="shared" si="197"/>
        <v>1048.8873873030202</v>
      </c>
      <c r="L635" s="32">
        <f t="shared" si="198"/>
        <v>0.55735011150940439</v>
      </c>
      <c r="M635" s="35">
        <f t="shared" si="199"/>
        <v>13.257887339734767</v>
      </c>
      <c r="O635" s="29">
        <f t="shared" si="200"/>
        <v>1046.5837549951827</v>
      </c>
      <c r="T635" s="48">
        <v>0.74681714120370379</v>
      </c>
      <c r="U635" s="29">
        <v>-1320.9825638681925</v>
      </c>
      <c r="V635" s="29">
        <v>4562.0567028138548</v>
      </c>
      <c r="W635" s="29">
        <v>4261.6185964276356</v>
      </c>
      <c r="X635" s="4">
        <v>-0.32681609968299757</v>
      </c>
      <c r="Y635" s="4">
        <v>-0.11658284396046541</v>
      </c>
      <c r="Z635" s="4">
        <v>-1.9046661111369292E-2</v>
      </c>
      <c r="AA635" s="3">
        <f t="shared" si="205"/>
        <v>0.34750985283500752</v>
      </c>
      <c r="AB635" s="3">
        <f t="shared" si="208"/>
        <v>6.3009280581419426E-3</v>
      </c>
      <c r="AC635" s="3">
        <f t="shared" si="206"/>
        <v>2.8432781388814794E-2</v>
      </c>
      <c r="AD635" s="48"/>
      <c r="AE635" s="46">
        <f t="shared" si="201"/>
        <v>42.092148554698753</v>
      </c>
      <c r="AF635" s="46">
        <f t="shared" si="202"/>
        <v>-248.53984419161304</v>
      </c>
      <c r="AG635" s="47">
        <f t="shared" si="203"/>
        <v>12554.016227149077</v>
      </c>
      <c r="AH635" s="45" t="str">
        <f t="shared" si="207"/>
        <v>-248.53984,42.09215,12554</v>
      </c>
      <c r="AI635" s="44">
        <f t="shared" si="209"/>
        <v>1021.3321144076231</v>
      </c>
    </row>
    <row r="636" spans="1:35" ht="18" customHeight="1" x14ac:dyDescent="0.25">
      <c r="A636" s="36">
        <f t="shared" si="204"/>
        <v>0.74682870370370369</v>
      </c>
      <c r="B636" s="42">
        <f t="shared" si="189"/>
        <v>42.092148549720591</v>
      </c>
      <c r="C636" s="43">
        <f t="shared" si="190"/>
        <v>111.46015739847203</v>
      </c>
      <c r="D636" s="18">
        <f t="shared" si="191"/>
        <v>12.525651968932834</v>
      </c>
      <c r="E636" s="21" t="str">
        <f t="shared" si="192"/>
        <v>Umbra</v>
      </c>
      <c r="F636" s="23">
        <f>IF($E636&lt;&gt;"Umbra",fracil2($S$2,$S$3,$S$4,$A636,$Q$2,$O$3,$Q$4,$U636,$V636,$W636),0)</f>
        <v>0</v>
      </c>
      <c r="G636" s="19">
        <f t="shared" si="193"/>
        <v>69.300088532061054</v>
      </c>
      <c r="H636" s="19">
        <f t="shared" si="194"/>
        <v>-4.1683358100045558</v>
      </c>
      <c r="I636" s="19">
        <f t="shared" si="195"/>
        <v>-2.9603178606096607</v>
      </c>
      <c r="J636" s="28">
        <f t="shared" si="196"/>
        <v>5.3151002635799891E-3</v>
      </c>
      <c r="K636" s="24">
        <f t="shared" si="197"/>
        <v>1048.8848897290748</v>
      </c>
      <c r="L636" s="32">
        <f t="shared" si="198"/>
        <v>0.55736497682707842</v>
      </c>
      <c r="M636" s="35">
        <f t="shared" si="199"/>
        <v>13.256848754001171</v>
      </c>
      <c r="O636" s="29">
        <f t="shared" si="200"/>
        <v>1046.5838827187456</v>
      </c>
      <c r="T636" s="48">
        <v>0.74682870370370369</v>
      </c>
      <c r="U636" s="29">
        <v>-1321.3091691819477</v>
      </c>
      <c r="V636" s="29">
        <v>4561.940205881996</v>
      </c>
      <c r="W636" s="29">
        <v>4261.5995827457909</v>
      </c>
      <c r="X636" s="4">
        <v>-0.32681878133013526</v>
      </c>
      <c r="Y636" s="4">
        <v>-0.1165623972878279</v>
      </c>
      <c r="Z636" s="4">
        <v>-1.9005444005415355E-2</v>
      </c>
      <c r="AA636" s="3">
        <f t="shared" si="205"/>
        <v>0.34750325925585673</v>
      </c>
      <c r="AB636" s="3">
        <f t="shared" si="208"/>
        <v>6.2724405348754814E-3</v>
      </c>
      <c r="AC636" s="3">
        <f t="shared" si="206"/>
        <v>2.8371335344482246E-2</v>
      </c>
      <c r="AD636" s="48"/>
      <c r="AE636" s="46">
        <f t="shared" si="201"/>
        <v>42.092148549720591</v>
      </c>
      <c r="AF636" s="46">
        <f t="shared" si="202"/>
        <v>-248.53984260152797</v>
      </c>
      <c r="AG636" s="47">
        <f t="shared" si="203"/>
        <v>12525.651968932834</v>
      </c>
      <c r="AH636" s="45" t="str">
        <f t="shared" si="207"/>
        <v>-248.53984,42.09215,12526</v>
      </c>
      <c r="AI636" s="44">
        <f t="shared" si="209"/>
        <v>1021.3322486664081</v>
      </c>
    </row>
    <row r="637" spans="1:35" ht="18" customHeight="1" x14ac:dyDescent="0.25">
      <c r="A637" s="36">
        <f t="shared" si="204"/>
        <v>0.74684027777777784</v>
      </c>
      <c r="B637" s="42">
        <f t="shared" si="189"/>
        <v>42.092148544755467</v>
      </c>
      <c r="C637" s="43">
        <f t="shared" si="190"/>
        <v>111.46015643123224</v>
      </c>
      <c r="D637" s="18">
        <f t="shared" si="191"/>
        <v>12.497338025214049</v>
      </c>
      <c r="E637" s="21" t="str">
        <f t="shared" si="192"/>
        <v>Umbra</v>
      </c>
      <c r="F637" s="23">
        <f>IF($E637&lt;&gt;"Umbra",fracil2($S$2,$S$3,$S$4,$A637,$Q$2,$O$3,$Q$4,$U637,$V637,$W637),0)</f>
        <v>0</v>
      </c>
      <c r="G637" s="19">
        <f t="shared" si="193"/>
        <v>69.300092614985161</v>
      </c>
      <c r="H637" s="19">
        <f t="shared" si="194"/>
        <v>-4.1698754367891153</v>
      </c>
      <c r="I637" s="19">
        <f t="shared" si="195"/>
        <v>-2.9618574873942203</v>
      </c>
      <c r="J637" s="28">
        <f t="shared" si="196"/>
        <v>5.312262062769464E-3</v>
      </c>
      <c r="K637" s="24">
        <f t="shared" si="197"/>
        <v>1048.8821918536596</v>
      </c>
      <c r="L637" s="32">
        <f t="shared" si="198"/>
        <v>0.55737985069289342</v>
      </c>
      <c r="M637" s="35">
        <f t="shared" si="199"/>
        <v>13.255814612133273</v>
      </c>
      <c r="O637" s="29">
        <f t="shared" si="200"/>
        <v>1046.5838048252854</v>
      </c>
      <c r="T637" s="48">
        <v>0.74684027777777784</v>
      </c>
      <c r="U637" s="29">
        <v>-1321.6359039634772</v>
      </c>
      <c r="V637" s="29">
        <v>4561.823684050968</v>
      </c>
      <c r="W637" s="29">
        <v>4261.5806027920889</v>
      </c>
      <c r="X637" s="4">
        <v>-0.32682140875352023</v>
      </c>
      <c r="Y637" s="4">
        <v>-0.11654216372489042</v>
      </c>
      <c r="Z637" s="4">
        <v>-1.896441690336045E-2</v>
      </c>
      <c r="AA637" s="3">
        <f t="shared" si="205"/>
        <v>0.34749670250780679</v>
      </c>
      <c r="AB637" s="3">
        <f t="shared" si="208"/>
        <v>6.2372641745615295E-3</v>
      </c>
      <c r="AC637" s="3">
        <f t="shared" si="206"/>
        <v>2.8310172731986095E-2</v>
      </c>
      <c r="AD637" s="48"/>
      <c r="AE637" s="46">
        <f t="shared" si="201"/>
        <v>42.092148544755467</v>
      </c>
      <c r="AF637" s="46">
        <f t="shared" si="202"/>
        <v>-248.53984356876776</v>
      </c>
      <c r="AG637" s="47">
        <f t="shared" si="203"/>
        <v>12497.338025214049</v>
      </c>
      <c r="AH637" s="45" t="str">
        <f t="shared" si="207"/>
        <v>-248.53984,42.09215,12497</v>
      </c>
      <c r="AI637" s="44">
        <f t="shared" si="209"/>
        <v>1021.3323829251931</v>
      </c>
    </row>
    <row r="638" spans="1:35" ht="18" customHeight="1" x14ac:dyDescent="0.25">
      <c r="A638" s="36">
        <f t="shared" si="204"/>
        <v>0.7468519560185185</v>
      </c>
      <c r="B638" s="42">
        <f t="shared" si="189"/>
        <v>42.092148539758576</v>
      </c>
      <c r="C638" s="43">
        <f t="shared" si="190"/>
        <v>111.4601574216109</v>
      </c>
      <c r="D638" s="18">
        <f t="shared" si="191"/>
        <v>12.468817824895268</v>
      </c>
      <c r="E638" s="21" t="str">
        <f t="shared" si="192"/>
        <v>Umbra</v>
      </c>
      <c r="F638" s="23">
        <f>IF($E638&lt;&gt;"Umbra",fracil2($S$2,$S$3,$S$4,$A638,$Q$2,$O$3,$Q$4,$U638,$V638,$W638),0)</f>
        <v>0</v>
      </c>
      <c r="G638" s="19">
        <f t="shared" si="193"/>
        <v>69.300098727320261</v>
      </c>
      <c r="H638" s="19">
        <f t="shared" si="194"/>
        <v>-4.1714270826222624</v>
      </c>
      <c r="I638" s="19">
        <f t="shared" si="195"/>
        <v>-2.9634091332273673</v>
      </c>
      <c r="J638" s="28">
        <f t="shared" si="196"/>
        <v>5.309411964735662E-3</v>
      </c>
      <c r="K638" s="24">
        <f t="shared" si="197"/>
        <v>1048.8796331332906</v>
      </c>
      <c r="L638" s="32">
        <f t="shared" si="198"/>
        <v>0.55739485070353079</v>
      </c>
      <c r="M638" s="35">
        <f t="shared" si="199"/>
        <v>13.254770904337457</v>
      </c>
      <c r="O638" s="29">
        <f t="shared" si="200"/>
        <v>1046.5838843300048</v>
      </c>
      <c r="T638" s="48">
        <v>0.7468519560185185</v>
      </c>
      <c r="U638" s="29">
        <v>-1321.9657358399397</v>
      </c>
      <c r="V638" s="29">
        <v>4561.7060790608484</v>
      </c>
      <c r="W638" s="29">
        <v>4261.5614845768187</v>
      </c>
      <c r="X638" s="4">
        <v>-0.32682400449342125</v>
      </c>
      <c r="Y638" s="4">
        <v>-0.11652196426709924</v>
      </c>
      <c r="Z638" s="4">
        <v>-1.8923211643291499E-2</v>
      </c>
      <c r="AA638" s="3">
        <f t="shared" si="205"/>
        <v>0.34749012361314069</v>
      </c>
      <c r="AB638" s="3">
        <f t="shared" si="208"/>
        <v>6.2084549318486637E-3</v>
      </c>
      <c r="AC638" s="3">
        <f t="shared" si="206"/>
        <v>2.8248744701943232E-2</v>
      </c>
      <c r="AD638" s="48"/>
      <c r="AE638" s="46">
        <f t="shared" si="201"/>
        <v>42.092148539758576</v>
      </c>
      <c r="AF638" s="46">
        <f t="shared" si="202"/>
        <v>-248.53984257838908</v>
      </c>
      <c r="AG638" s="47">
        <f t="shared" si="203"/>
        <v>12468.817824895268</v>
      </c>
      <c r="AH638" s="45" t="str">
        <f t="shared" si="207"/>
        <v>-248.53984,42.09215,12469</v>
      </c>
      <c r="AI638" s="44">
        <f t="shared" si="209"/>
        <v>1021.3325171839781</v>
      </c>
    </row>
    <row r="639" spans="1:35" ht="18" customHeight="1" x14ac:dyDescent="0.25">
      <c r="A639" s="36">
        <f t="shared" si="204"/>
        <v>0.74686353009259265</v>
      </c>
      <c r="B639" s="42">
        <f t="shared" si="189"/>
        <v>42.092148534822492</v>
      </c>
      <c r="C639" s="43">
        <f t="shared" si="190"/>
        <v>111.46015735426946</v>
      </c>
      <c r="D639" s="18">
        <f t="shared" si="191"/>
        <v>12.440620137975202</v>
      </c>
      <c r="E639" s="21" t="str">
        <f t="shared" si="192"/>
        <v>Umbra</v>
      </c>
      <c r="F639" s="23">
        <f>IF($E639&lt;&gt;"Umbra",fracil2($S$2,$S$3,$S$4,$A639,$Q$2,$O$3,$Q$4,$U639,$V639,$W639),0)</f>
        <v>0</v>
      </c>
      <c r="G639" s="19">
        <f t="shared" si="193"/>
        <v>69.30010370539874</v>
      </c>
      <c r="H639" s="19">
        <f t="shared" si="194"/>
        <v>-4.1729607659259873</v>
      </c>
      <c r="I639" s="19">
        <f t="shared" si="195"/>
        <v>-2.9649428165310923</v>
      </c>
      <c r="J639" s="28">
        <f t="shared" si="196"/>
        <v>5.3066028917053577E-3</v>
      </c>
      <c r="K639" s="24">
        <f t="shared" si="197"/>
        <v>1048.8770199191488</v>
      </c>
      <c r="L639" s="32">
        <f t="shared" si="198"/>
        <v>0.55740971018472196</v>
      </c>
      <c r="M639" s="35">
        <f t="shared" si="199"/>
        <v>13.253740054160907</v>
      </c>
      <c r="O639" s="29">
        <f t="shared" si="200"/>
        <v>1046.5838787920616</v>
      </c>
      <c r="T639" s="48">
        <v>0.74686353009259265</v>
      </c>
      <c r="U639" s="29">
        <v>-1322.2925462579785</v>
      </c>
      <c r="V639" s="29">
        <v>4561.5895723097865</v>
      </c>
      <c r="W639" s="29">
        <v>4261.5425825553602</v>
      </c>
      <c r="X639" s="4">
        <v>-0.32682652117398953</v>
      </c>
      <c r="Y639" s="4">
        <v>-0.11650217070041513</v>
      </c>
      <c r="Z639" s="4">
        <v>-1.8882589866518258E-2</v>
      </c>
      <c r="AA639" s="3">
        <f t="shared" si="205"/>
        <v>0.34748364410525573</v>
      </c>
      <c r="AB639" s="3">
        <f t="shared" si="208"/>
        <v>6.1756076335048047E-3</v>
      </c>
      <c r="AC639" s="3">
        <f t="shared" si="206"/>
        <v>2.8188186693488687E-2</v>
      </c>
      <c r="AD639" s="48"/>
      <c r="AE639" s="46">
        <f t="shared" si="201"/>
        <v>42.092148534822492</v>
      </c>
      <c r="AF639" s="46">
        <f t="shared" si="202"/>
        <v>-248.53984264573054</v>
      </c>
      <c r="AG639" s="47">
        <f t="shared" si="203"/>
        <v>12440.620137975202</v>
      </c>
      <c r="AH639" s="45" t="str">
        <f t="shared" si="207"/>
        <v>-248.53984,42.09215,12441</v>
      </c>
      <c r="AI639" s="44">
        <f t="shared" si="209"/>
        <v>1021.3325171839781</v>
      </c>
    </row>
    <row r="640" spans="1:35" ht="18" customHeight="1" x14ac:dyDescent="0.25">
      <c r="A640" s="36">
        <f t="shared" si="204"/>
        <v>0.74687509259259255</v>
      </c>
      <c r="B640" s="42">
        <f t="shared" si="189"/>
        <v>42.092148529905351</v>
      </c>
      <c r="C640" s="43">
        <f t="shared" si="190"/>
        <v>111.46015810494005</v>
      </c>
      <c r="D640" s="18">
        <f t="shared" si="191"/>
        <v>12.412505497442908</v>
      </c>
      <c r="E640" s="21" t="str">
        <f t="shared" si="192"/>
        <v>Umbra</v>
      </c>
      <c r="F640" s="23">
        <f>IF($E640&lt;&gt;"Umbra",fracil2($S$2,$S$3,$S$4,$A640,$Q$2,$O$3,$Q$4,$U640,$V640,$W640),0)</f>
        <v>0</v>
      </c>
      <c r="G640" s="19">
        <f t="shared" si="193"/>
        <v>69.30010950120986</v>
      </c>
      <c r="H640" s="19">
        <f t="shared" si="194"/>
        <v>-4.1744902708245055</v>
      </c>
      <c r="I640" s="19">
        <f t="shared" si="195"/>
        <v>-2.9664723214296105</v>
      </c>
      <c r="J640" s="28">
        <f t="shared" si="196"/>
        <v>5.3038104875918826E-3</v>
      </c>
      <c r="K640" s="24">
        <f t="shared" si="197"/>
        <v>1048.8744809360478</v>
      </c>
      <c r="L640" s="32">
        <f t="shared" si="198"/>
        <v>0.55742454759624727</v>
      </c>
      <c r="M640" s="35">
        <f t="shared" si="199"/>
        <v>13.252711383904639</v>
      </c>
      <c r="O640" s="29">
        <f t="shared" si="200"/>
        <v>1046.5839390254603</v>
      </c>
      <c r="T640" s="48">
        <v>0.74687509259259255</v>
      </c>
      <c r="U640" s="29">
        <v>-1322.619096371754</v>
      </c>
      <c r="V640" s="29">
        <v>4561.4731789035741</v>
      </c>
      <c r="W640" s="29">
        <v>4261.5237362035368</v>
      </c>
      <c r="X640" s="4">
        <v>-0.32682898187247378</v>
      </c>
      <c r="Y640" s="4">
        <v>-0.11648260882814918</v>
      </c>
      <c r="Z640" s="4">
        <v>-1.8842201856088151E-2</v>
      </c>
      <c r="AA640" s="3">
        <f t="shared" si="205"/>
        <v>0.34747720806118343</v>
      </c>
      <c r="AB640" s="3">
        <f t="shared" si="208"/>
        <v>6.1461972875739923E-3</v>
      </c>
      <c r="AC640" s="3">
        <f t="shared" si="206"/>
        <v>2.8127977352497884E-2</v>
      </c>
      <c r="AD640" s="48"/>
      <c r="AE640" s="46">
        <f t="shared" si="201"/>
        <v>42.092148529905351</v>
      </c>
      <c r="AF640" s="46">
        <f t="shared" si="202"/>
        <v>-248.53984189505996</v>
      </c>
      <c r="AG640" s="47">
        <f t="shared" si="203"/>
        <v>12412.505497442908</v>
      </c>
      <c r="AH640" s="45" t="str">
        <f t="shared" si="207"/>
        <v>-248.53984,42.09215,12413</v>
      </c>
      <c r="AI640" s="44">
        <f t="shared" si="209"/>
        <v>1021.3325171839781</v>
      </c>
    </row>
    <row r="641" spans="1:35" ht="18" customHeight="1" x14ac:dyDescent="0.25">
      <c r="A641" s="36">
        <f t="shared" si="204"/>
        <v>0.74688668981481487</v>
      </c>
      <c r="B641" s="42">
        <f t="shared" si="189"/>
        <v>42.092148524992837</v>
      </c>
      <c r="C641" s="43">
        <f t="shared" si="190"/>
        <v>111.46015477138822</v>
      </c>
      <c r="D641" s="18">
        <f t="shared" si="191"/>
        <v>12.384394175122907</v>
      </c>
      <c r="E641" s="21" t="str">
        <f t="shared" si="192"/>
        <v>Umbra</v>
      </c>
      <c r="F641" s="23">
        <f>IF($E641&lt;&gt;"Umbra",fracil2($S$2,$S$3,$S$4,$A641,$Q$2,$O$3,$Q$4,$U641,$V641,$W641),0)</f>
        <v>0</v>
      </c>
      <c r="G641" s="19">
        <f t="shared" si="193"/>
        <v>69.30011113950205</v>
      </c>
      <c r="H641" s="19">
        <f t="shared" si="194"/>
        <v>-4.1760179505221373</v>
      </c>
      <c r="I641" s="19">
        <f t="shared" si="195"/>
        <v>-2.9680000011272423</v>
      </c>
      <c r="J641" s="28">
        <f t="shared" si="196"/>
        <v>5.3010274342637741E-3</v>
      </c>
      <c r="K641" s="24">
        <f t="shared" si="197"/>
        <v>1048.8716144653972</v>
      </c>
      <c r="L641" s="32">
        <f t="shared" si="198"/>
        <v>0.55743942383686207</v>
      </c>
      <c r="M641" s="35">
        <f t="shared" si="199"/>
        <v>13.251687003723454</v>
      </c>
      <c r="O641" s="29">
        <f t="shared" si="200"/>
        <v>1046.5836708740442</v>
      </c>
      <c r="T641" s="48">
        <v>0.74688668981481487</v>
      </c>
      <c r="U641" s="29">
        <v>-1322.9463099403306</v>
      </c>
      <c r="V641" s="29">
        <v>4561.3565693842038</v>
      </c>
      <c r="W641" s="29">
        <v>4261.504892076382</v>
      </c>
      <c r="X641" s="4">
        <v>-0.32683139268611483</v>
      </c>
      <c r="Y641" s="4">
        <v>-0.116463226107224</v>
      </c>
      <c r="Z641" s="4">
        <v>-1.8801935998179087E-2</v>
      </c>
      <c r="AA641" s="3">
        <f t="shared" si="205"/>
        <v>0.34747079744595427</v>
      </c>
      <c r="AB641" s="3">
        <f t="shared" si="208"/>
        <v>6.1092444452281267E-3</v>
      </c>
      <c r="AC641" s="3">
        <f t="shared" si="206"/>
        <v>2.806795028696538E-2</v>
      </c>
      <c r="AD641" s="48"/>
      <c r="AE641" s="46">
        <f t="shared" si="201"/>
        <v>42.092148524992837</v>
      </c>
      <c r="AF641" s="46">
        <f t="shared" si="202"/>
        <v>-248.5398452286118</v>
      </c>
      <c r="AG641" s="47">
        <f t="shared" si="203"/>
        <v>12384.394175122907</v>
      </c>
      <c r="AH641" s="45" t="str">
        <f t="shared" si="207"/>
        <v>-248.53985,42.09215,12384</v>
      </c>
      <c r="AI641" s="44">
        <f t="shared" si="209"/>
        <v>1021.3327857015496</v>
      </c>
    </row>
    <row r="642" spans="1:35" ht="18" customHeight="1" x14ac:dyDescent="0.25">
      <c r="A642" s="36">
        <f t="shared" si="204"/>
        <v>0.74689817129629621</v>
      </c>
      <c r="B642" s="42">
        <f t="shared" si="189"/>
        <v>42.092148520135112</v>
      </c>
      <c r="C642" s="43">
        <f t="shared" si="190"/>
        <v>111.46015901189928</v>
      </c>
      <c r="D642" s="18">
        <f t="shared" si="191"/>
        <v>12.356571981423258</v>
      </c>
      <c r="E642" s="21" t="str">
        <f t="shared" si="192"/>
        <v>Umbra</v>
      </c>
      <c r="F642" s="23">
        <f>IF($E642&lt;&gt;"Umbra",fracil2($S$2,$S$3,$S$4,$A642,$Q$2,$O$3,$Q$4,$U642,$V642,$W642),0)</f>
        <v>0</v>
      </c>
      <c r="G642" s="19">
        <f t="shared" si="193"/>
        <v>69.300120434989822</v>
      </c>
      <c r="H642" s="19">
        <f t="shared" si="194"/>
        <v>-4.177532975119675</v>
      </c>
      <c r="I642" s="19">
        <f t="shared" si="195"/>
        <v>-2.96951502572478</v>
      </c>
      <c r="J642" s="28">
        <f t="shared" si="196"/>
        <v>5.2982805766029614E-3</v>
      </c>
      <c r="K642" s="24">
        <f t="shared" si="197"/>
        <v>1048.8693847236864</v>
      </c>
      <c r="L642" s="32">
        <f t="shared" si="198"/>
        <v>0.55745414250416137</v>
      </c>
      <c r="M642" s="35">
        <f t="shared" si="199"/>
        <v>13.25066541370431</v>
      </c>
      <c r="O642" s="29">
        <f t="shared" si="200"/>
        <v>1046.5840117035852</v>
      </c>
      <c r="T642" s="48">
        <v>0.74689817129629621</v>
      </c>
      <c r="U642" s="29">
        <v>-1323.2708501620502</v>
      </c>
      <c r="V642" s="29">
        <v>4561.2409324717219</v>
      </c>
      <c r="W642" s="29">
        <v>4261.4862417638906</v>
      </c>
      <c r="X642" s="4">
        <v>-0.32683373141132982</v>
      </c>
      <c r="Y642" s="4">
        <v>-0.116444211461622</v>
      </c>
      <c r="Z642" s="4">
        <v>-1.8762194722948135E-2</v>
      </c>
      <c r="AA642" s="3">
        <f t="shared" si="205"/>
        <v>0.34746447634541583</v>
      </c>
      <c r="AB642" s="3">
        <f t="shared" si="208"/>
        <v>6.0904185352847369E-3</v>
      </c>
      <c r="AC642" s="3">
        <f t="shared" si="206"/>
        <v>2.8008705423962391E-2</v>
      </c>
      <c r="AD642" s="48"/>
      <c r="AE642" s="46">
        <f t="shared" si="201"/>
        <v>42.092148520135112</v>
      </c>
      <c r="AF642" s="46">
        <f t="shared" si="202"/>
        <v>-248.53984098810071</v>
      </c>
      <c r="AG642" s="47">
        <f t="shared" si="203"/>
        <v>12356.571981423258</v>
      </c>
      <c r="AH642" s="45" t="str">
        <f t="shared" si="207"/>
        <v>-248.53984,42.09215,12357</v>
      </c>
      <c r="AI642" s="44">
        <f t="shared" si="209"/>
        <v>1021.3331409169075</v>
      </c>
    </row>
    <row r="643" spans="1:35" ht="18" customHeight="1" x14ac:dyDescent="0.25">
      <c r="A643" s="36">
        <f t="shared" si="204"/>
        <v>0.74690981481481478</v>
      </c>
      <c r="B643" s="42">
        <f t="shared" si="189"/>
        <v>42.092148515228502</v>
      </c>
      <c r="C643" s="43">
        <f t="shared" si="190"/>
        <v>111.46015917416345</v>
      </c>
      <c r="D643" s="18">
        <f t="shared" si="191"/>
        <v>12.32844476444825</v>
      </c>
      <c r="E643" s="21" t="str">
        <f t="shared" si="192"/>
        <v>Umbra</v>
      </c>
      <c r="F643" s="23">
        <f>IF($E643&lt;&gt;"Umbra",fracil2($S$2,$S$3,$S$4,$A643,$Q$2,$O$3,$Q$4,$U643,$V643,$W643),0)</f>
        <v>0</v>
      </c>
      <c r="G643" s="19">
        <f t="shared" si="193"/>
        <v>69.300125634224187</v>
      </c>
      <c r="H643" s="19">
        <f t="shared" si="194"/>
        <v>-4.1790629483939439</v>
      </c>
      <c r="I643" s="19">
        <f t="shared" si="195"/>
        <v>-2.9710449989990488</v>
      </c>
      <c r="J643" s="28">
        <f t="shared" si="196"/>
        <v>5.2955125252939069E-3</v>
      </c>
      <c r="K643" s="24">
        <f t="shared" si="197"/>
        <v>1048.8667994801856</v>
      </c>
      <c r="L643" s="32">
        <f t="shared" si="198"/>
        <v>0.55746906323639156</v>
      </c>
      <c r="M643" s="35">
        <f t="shared" si="199"/>
        <v>13.249636833921748</v>
      </c>
      <c r="O643" s="29">
        <f t="shared" si="200"/>
        <v>1046.5840246274415</v>
      </c>
      <c r="T643" s="48">
        <v>0.74690981481481478</v>
      </c>
      <c r="U643" s="29">
        <v>-1323.5996492721906</v>
      </c>
      <c r="V643" s="29">
        <v>4561.1237980555115</v>
      </c>
      <c r="W643" s="29">
        <v>4261.4673869826465</v>
      </c>
      <c r="X643" s="4">
        <v>-0.32683604656674536</v>
      </c>
      <c r="Y643" s="4">
        <v>-0.11642516366754375</v>
      </c>
      <c r="Z643" s="4">
        <v>-1.8722133789212211E-2</v>
      </c>
      <c r="AA643" s="3">
        <f t="shared" si="205"/>
        <v>0.34745811022915446</v>
      </c>
      <c r="AB643" s="3">
        <f t="shared" si="208"/>
        <v>6.0539501195372054E-3</v>
      </c>
      <c r="AC643" s="3">
        <f t="shared" si="206"/>
        <v>2.7948984198880727E-2</v>
      </c>
      <c r="AD643" s="48"/>
      <c r="AE643" s="46">
        <f t="shared" si="201"/>
        <v>42.092148515228502</v>
      </c>
      <c r="AF643" s="46">
        <f t="shared" si="202"/>
        <v>-248.53984082583656</v>
      </c>
      <c r="AG643" s="47">
        <f t="shared" si="203"/>
        <v>12328.44476444825</v>
      </c>
      <c r="AH643" s="45" t="str">
        <f t="shared" si="207"/>
        <v>-248.53984,42.09215,12328</v>
      </c>
      <c r="AI643" s="44">
        <f t="shared" si="209"/>
        <v>1021.3331409169075</v>
      </c>
    </row>
    <row r="644" spans="1:35" ht="18" customHeight="1" x14ac:dyDescent="0.25">
      <c r="A644" s="36">
        <f t="shared" si="204"/>
        <v>0.74692133101851843</v>
      </c>
      <c r="B644" s="42">
        <f t="shared" si="189"/>
        <v>42.09214851039372</v>
      </c>
      <c r="C644" s="43">
        <f t="shared" si="190"/>
        <v>111.46015599330812</v>
      </c>
      <c r="D644" s="18">
        <f t="shared" si="191"/>
        <v>12.300706377953247</v>
      </c>
      <c r="E644" s="21" t="str">
        <f t="shared" si="192"/>
        <v>Umbra</v>
      </c>
      <c r="F644" s="23">
        <f>IF($E644&lt;&gt;"Umbra",fracil2($S$2,$S$3,$S$4,$A644,$Q$2,$O$3,$Q$4,$U644,$V644,$W644),0)</f>
        <v>0</v>
      </c>
      <c r="G644" s="19">
        <f t="shared" si="193"/>
        <v>69.300127361245131</v>
      </c>
      <c r="H644" s="19">
        <f t="shared" si="194"/>
        <v>-4.1805704284608058</v>
      </c>
      <c r="I644" s="19">
        <f t="shared" si="195"/>
        <v>-2.9725524790659108</v>
      </c>
      <c r="J644" s="28">
        <f t="shared" si="196"/>
        <v>5.2927913968233171E-3</v>
      </c>
      <c r="K644" s="24">
        <f t="shared" si="197"/>
        <v>1048.8639819637492</v>
      </c>
      <c r="L644" s="32">
        <f t="shared" si="198"/>
        <v>0.55748381503918842</v>
      </c>
      <c r="M644" s="35">
        <f t="shared" si="199"/>
        <v>13.248625879434721</v>
      </c>
      <c r="O644" s="29">
        <f t="shared" si="200"/>
        <v>1046.5837687552532</v>
      </c>
      <c r="T644" s="48">
        <v>0.74692133101851843</v>
      </c>
      <c r="U644" s="29">
        <v>-1323.9245940895503</v>
      </c>
      <c r="V644" s="29">
        <v>4561.0080562546327</v>
      </c>
      <c r="W644" s="29">
        <v>4261.4487928501194</v>
      </c>
      <c r="X644" s="4">
        <v>-0.32683828149298466</v>
      </c>
      <c r="Y644" s="4">
        <v>-0.11640655093454676</v>
      </c>
      <c r="Z644" s="4">
        <v>-1.8682740026147511E-2</v>
      </c>
      <c r="AA644" s="3">
        <f t="shared" si="205"/>
        <v>0.3474518558371063</v>
      </c>
      <c r="AB644" s="3">
        <f t="shared" si="208"/>
        <v>6.0189242306352602E-3</v>
      </c>
      <c r="AC644" s="3">
        <f t="shared" si="206"/>
        <v>2.7890257735730398E-2</v>
      </c>
      <c r="AD644" s="48"/>
      <c r="AE644" s="46">
        <f t="shared" si="201"/>
        <v>42.09214851039372</v>
      </c>
      <c r="AF644" s="46">
        <f t="shared" si="202"/>
        <v>-248.53984400669188</v>
      </c>
      <c r="AG644" s="47">
        <f t="shared" si="203"/>
        <v>12300.706377953247</v>
      </c>
      <c r="AH644" s="45" t="str">
        <f t="shared" si="207"/>
        <v>-248.53984,42.09215,12301</v>
      </c>
      <c r="AI644" s="44">
        <f t="shared" si="209"/>
        <v>1021.333409434479</v>
      </c>
    </row>
    <row r="645" spans="1:35" ht="18" customHeight="1" x14ac:dyDescent="0.25">
      <c r="A645" s="36">
        <f t="shared" si="204"/>
        <v>0.7469328819444444</v>
      </c>
      <c r="B645" s="42">
        <f t="shared" si="189"/>
        <v>42.092148505553432</v>
      </c>
      <c r="C645" s="43">
        <f t="shared" si="190"/>
        <v>111.46015735886176</v>
      </c>
      <c r="D645" s="18">
        <f t="shared" si="191"/>
        <v>12.272912572361747</v>
      </c>
      <c r="E645" s="21" t="str">
        <f t="shared" si="192"/>
        <v>Umbra</v>
      </c>
      <c r="F645" s="23">
        <f>IF($E645&lt;&gt;"Umbra",fracil2($S$2,$S$3,$S$4,$A645,$Q$2,$O$3,$Q$4,$U645,$V645,$W645),0)</f>
        <v>0</v>
      </c>
      <c r="G645" s="19">
        <f t="shared" si="193"/>
        <v>69.300133725559604</v>
      </c>
      <c r="H645" s="19">
        <f t="shared" si="194"/>
        <v>-4.1820827680054613</v>
      </c>
      <c r="I645" s="19">
        <f t="shared" si="195"/>
        <v>-2.9740648186105663</v>
      </c>
      <c r="J645" s="28">
        <f t="shared" si="196"/>
        <v>5.2900728495333142E-3</v>
      </c>
      <c r="K645" s="24">
        <f t="shared" si="197"/>
        <v>1048.8615257773959</v>
      </c>
      <c r="L645" s="32">
        <f t="shared" si="198"/>
        <v>0.55749860315607325</v>
      </c>
      <c r="M645" s="35">
        <f t="shared" si="199"/>
        <v>13.247608222135776</v>
      </c>
      <c r="O645" s="29">
        <f t="shared" si="200"/>
        <v>1046.5838784291955</v>
      </c>
      <c r="T645" s="48">
        <v>0.7469328819444444</v>
      </c>
      <c r="U645" s="29">
        <v>-1324.250877277095</v>
      </c>
      <c r="V645" s="29">
        <v>4560.891857041428</v>
      </c>
      <c r="W645" s="29">
        <v>4261.4301615683371</v>
      </c>
      <c r="X645" s="4">
        <v>-0.32684047262886512</v>
      </c>
      <c r="Y645" s="4">
        <v>-0.11638807276036073</v>
      </c>
      <c r="Z645" s="4">
        <v>-1.8643381061325209E-2</v>
      </c>
      <c r="AA645" s="3">
        <f t="shared" si="205"/>
        <v>0.34744561255904316</v>
      </c>
      <c r="AB645" s="3">
        <f t="shared" si="208"/>
        <v>5.9955130795914247E-3</v>
      </c>
      <c r="AC645" s="3">
        <f t="shared" si="206"/>
        <v>2.7831583318474198E-2</v>
      </c>
      <c r="AD645" s="48"/>
      <c r="AE645" s="46">
        <f t="shared" si="201"/>
        <v>42.092148505553432</v>
      </c>
      <c r="AF645" s="46">
        <f t="shared" si="202"/>
        <v>-248.53984264113825</v>
      </c>
      <c r="AG645" s="47">
        <f t="shared" si="203"/>
        <v>12272.912572361747</v>
      </c>
      <c r="AH645" s="45" t="str">
        <f t="shared" si="207"/>
        <v>-248.53984,42.09215,12273</v>
      </c>
      <c r="AI645" s="44">
        <f t="shared" si="209"/>
        <v>1021.333543693264</v>
      </c>
    </row>
    <row r="646" spans="1:35" ht="18" customHeight="1" x14ac:dyDescent="0.25">
      <c r="A646" s="36">
        <f t="shared" si="204"/>
        <v>0.74694454861111115</v>
      </c>
      <c r="B646" s="42">
        <f t="shared" ref="B646:B709" si="210">latitude($U646,$V646,$W646)</f>
        <v>42.092148500682889</v>
      </c>
      <c r="C646" s="43">
        <f t="shared" ref="C646:C709" si="211">longitude($S$2,$S$3,$S$4,$A646,$U646,$V646)</f>
        <v>111.46015546200363</v>
      </c>
      <c r="D646" s="18">
        <f t="shared" ref="D646:D709" si="212">altitude($U646,$V646,$W646)</f>
        <v>12.244921380781307</v>
      </c>
      <c r="E646" s="21" t="str">
        <f t="shared" ref="E646:E709" si="213">illum2($S$2,$S$3,$S$4,$A646,$U646,$V646,$W646)</f>
        <v>Umbra</v>
      </c>
      <c r="F646" s="23">
        <f>IF($E646&lt;&gt;"Umbra",fracil2($S$2,$S$3,$S$4,$A646,$Q$2,$O$3,$Q$4,$U646,$V646,$W646),0)</f>
        <v>0</v>
      </c>
      <c r="G646" s="19">
        <f t="shared" ref="G646:G709" si="214">azimuth($S$2,$S$3,$S$4,$A646,$Q$2,$O$3,$Q$4,$U646,$V646,$W646)</f>
        <v>69.30013680472409</v>
      </c>
      <c r="H646" s="19">
        <f t="shared" ref="H646:H709" si="215">elev($S$2,$S$3,$S$4,$A646,$Q$2,$O$3,$Q$4,$U646,$V646,$W646)</f>
        <v>-4.1836045333413665</v>
      </c>
      <c r="I646" s="19">
        <f t="shared" ref="I646:I709" si="216">elev($S$2,$S$3,$S$4,$A646,$Q$2,$O$3,$Q$4,$U646,$V646,$W646)+DEGREES(ACOS($Q$3/$Q$4))</f>
        <v>-2.9755865839464715</v>
      </c>
      <c r="J646" s="28">
        <f t="shared" ref="J646:J709" si="217">vang($S$2,$S$3,$S$4,$A646,$Q$2,$O$3,$Q$4,$U646,$V646,$W646,$X646,$Y646,$Z646)</f>
        <v>5.2873435703809247E-3</v>
      </c>
      <c r="K646" s="24">
        <f t="shared" ref="K646:K709" si="218">slant_rng($S$2,$S$3,$S$4,$A646,$Q$2,$O$3,$Q$4,$U646,$V646,$W646)</f>
        <v>1048.8587896743052</v>
      </c>
      <c r="L646" s="32">
        <f t="shared" ref="L646:L709" si="219">radec2("ra",$S$2,$S$3,$S$4,$A646,$Q$2,$O$3,$Q$4,$U646,$V646,$W646)/24</f>
        <v>0.55751353362028888</v>
      </c>
      <c r="M646" s="35">
        <f t="shared" ref="M646:M709" si="220">radec2("dec",$S$2,$S$3,$S$4,$A646,$Q$2,$O$3,$Q$4,$U646,$V646,$W646)</f>
        <v>13.246586672892951</v>
      </c>
      <c r="O646" s="29">
        <f t="shared" ref="O646:O709" si="221">DEGREES(ACOS(SIN(RADIANS($B646))*SIN(RADIANS($O$2))+COS(RADIANS($B646))*COS(RADIANS($O$2))*COS(RADIANS($C646-$O$3))))*111.2</f>
        <v>1046.5837257937328</v>
      </c>
      <c r="T646" s="48">
        <v>0.74694454861111115</v>
      </c>
      <c r="U646" s="29">
        <v>-1324.5801757914205</v>
      </c>
      <c r="V646" s="29">
        <v>4560.774603357926</v>
      </c>
      <c r="W646" s="29">
        <v>4261.4113979713029</v>
      </c>
      <c r="X646" s="4">
        <v>-0.32684263123550594</v>
      </c>
      <c r="Y646" s="4">
        <v>-0.11636963450698204</v>
      </c>
      <c r="Z646" s="4">
        <v>-1.8603854898842705E-2</v>
      </c>
      <c r="AA646" s="3">
        <f t="shared" si="205"/>
        <v>0.34743934844132823</v>
      </c>
      <c r="AB646" s="3">
        <f t="shared" si="208"/>
        <v>5.9612327382071511E-3</v>
      </c>
      <c r="AC646" s="3">
        <f t="shared" si="206"/>
        <v>2.7772659823457106E-2</v>
      </c>
      <c r="AD646" s="48"/>
      <c r="AE646" s="46">
        <f t="shared" ref="AE646:AE709" si="222">$B646</f>
        <v>42.092148500682889</v>
      </c>
      <c r="AF646" s="46">
        <f t="shared" ref="AF646:AF709" si="223">$C646-360</f>
        <v>-248.53984453799637</v>
      </c>
      <c r="AG646" s="47">
        <f t="shared" ref="AG646:AG709" si="224">$D646*1000</f>
        <v>12244.921380781307</v>
      </c>
      <c r="AH646" s="45" t="str">
        <f t="shared" si="207"/>
        <v>-248.53984,42.09215,12245</v>
      </c>
      <c r="AI646" s="44">
        <f t="shared" si="209"/>
        <v>1021.3337081260233</v>
      </c>
    </row>
    <row r="647" spans="1:35" ht="18" customHeight="1" x14ac:dyDescent="0.25">
      <c r="A647" s="36">
        <f t="shared" ref="A647:A710" si="225">$T647+$S$5/86400</f>
        <v>0.7469560300925927</v>
      </c>
      <c r="B647" s="42">
        <f t="shared" si="210"/>
        <v>42.092148495900169</v>
      </c>
      <c r="C647" s="43">
        <f t="shared" si="211"/>
        <v>111.46015681883178</v>
      </c>
      <c r="D647" s="18">
        <f t="shared" si="212"/>
        <v>12.217410979274064</v>
      </c>
      <c r="E647" s="21" t="str">
        <f t="shared" si="213"/>
        <v>Umbra</v>
      </c>
      <c r="F647" s="23">
        <f>IF($E647&lt;&gt;"Umbra",fracil2($S$2,$S$3,$S$4,$A647,$Q$2,$O$3,$Q$4,$U647,$V647,$W647),0)</f>
        <v>0</v>
      </c>
      <c r="G647" s="19">
        <f t="shared" si="214"/>
        <v>69.300143109471136</v>
      </c>
      <c r="H647" s="19">
        <f t="shared" si="215"/>
        <v>-4.1851014685692984</v>
      </c>
      <c r="I647" s="19">
        <f t="shared" si="216"/>
        <v>-2.9770835191744034</v>
      </c>
      <c r="J647" s="28">
        <f t="shared" si="217"/>
        <v>5.2846691813624091E-3</v>
      </c>
      <c r="K647" s="24">
        <f t="shared" si="218"/>
        <v>1048.8563603979298</v>
      </c>
      <c r="L647" s="32">
        <f t="shared" si="219"/>
        <v>0.55752821940821407</v>
      </c>
      <c r="M647" s="35">
        <f t="shared" si="220"/>
        <v>13.245579352692303</v>
      </c>
      <c r="O647" s="29">
        <f t="shared" si="221"/>
        <v>1046.5838347675556</v>
      </c>
      <c r="T647" s="48">
        <v>0.7469560300925927</v>
      </c>
      <c r="U647" s="29">
        <v>-1324.9045016477903</v>
      </c>
      <c r="V647" s="29">
        <v>4560.6591390960375</v>
      </c>
      <c r="W647" s="29">
        <v>4261.3929566671186</v>
      </c>
      <c r="X647" s="4">
        <v>-0.32684470503240159</v>
      </c>
      <c r="Y647" s="4">
        <v>-0.11635168267205061</v>
      </c>
      <c r="Z647" s="4">
        <v>-1.8565119650224435E-2</v>
      </c>
      <c r="AA647" s="3">
        <f t="shared" ref="AA647:AA710" si="226">SQRT($X647*$X647+$Y647*$Y647+$Z647*$Z647)</f>
        <v>0.34743321507300118</v>
      </c>
      <c r="AB647" s="3">
        <f t="shared" si="208"/>
        <v>5.9361568247534909E-3</v>
      </c>
      <c r="AC647" s="3">
        <f t="shared" ref="AC647:AC710" si="227">vrel($S$2,$S$3,$S$4,$A647,$B647,$C647,$U647,$V647,$W647,$X647,$Y647,$Z647)</f>
        <v>2.7714915549263783E-2</v>
      </c>
      <c r="AD647" s="48"/>
      <c r="AE647" s="46">
        <f t="shared" si="222"/>
        <v>42.092148495900169</v>
      </c>
      <c r="AF647" s="46">
        <f t="shared" si="223"/>
        <v>-248.53984318116824</v>
      </c>
      <c r="AG647" s="47">
        <f t="shared" si="224"/>
        <v>12217.410979274064</v>
      </c>
      <c r="AH647" s="45" t="str">
        <f t="shared" ref="AH647:AH710" si="228">CONCATENATE(TEXT($AF647,"00.00000"),",",TEXT($AE647,"00.00000"),",",TEXT($AG647,"00000"))</f>
        <v>-248.53984,42.09215,12217</v>
      </c>
      <c r="AI647" s="44">
        <f t="shared" si="209"/>
        <v>1021.3338423848083</v>
      </c>
    </row>
    <row r="648" spans="1:35" ht="18" customHeight="1" x14ac:dyDescent="0.25">
      <c r="A648" s="36">
        <f t="shared" si="225"/>
        <v>0.7469675925925926</v>
      </c>
      <c r="B648" s="42">
        <f t="shared" si="210"/>
        <v>42.092148491099024</v>
      </c>
      <c r="C648" s="43">
        <f t="shared" si="211"/>
        <v>111.46015719553357</v>
      </c>
      <c r="D648" s="18">
        <f t="shared" si="212"/>
        <v>12.189770800513543</v>
      </c>
      <c r="E648" s="21" t="str">
        <f t="shared" si="213"/>
        <v>Umbra</v>
      </c>
      <c r="F648" s="23">
        <f>IF($E648&lt;&gt;"Umbra",fracil2($S$2,$S$3,$S$4,$A648,$Q$2,$O$3,$Q$4,$U648,$V648,$W648),0)</f>
        <v>0</v>
      </c>
      <c r="G648" s="19">
        <f t="shared" si="214"/>
        <v>69.300148439886684</v>
      </c>
      <c r="H648" s="19">
        <f t="shared" si="215"/>
        <v>-4.1866050741445564</v>
      </c>
      <c r="I648" s="19">
        <f t="shared" si="216"/>
        <v>-2.9785871247496614</v>
      </c>
      <c r="J648" s="28">
        <f t="shared" si="217"/>
        <v>5.2819904058469475E-3</v>
      </c>
      <c r="K648" s="24">
        <f t="shared" si="218"/>
        <v>1048.8538410251826</v>
      </c>
      <c r="L648" s="32">
        <f t="shared" si="219"/>
        <v>0.55754300246603838</v>
      </c>
      <c r="M648" s="35">
        <f t="shared" si="220"/>
        <v>13.244568274250218</v>
      </c>
      <c r="O648" s="29">
        <f t="shared" si="221"/>
        <v>1046.5838649355262</v>
      </c>
      <c r="T648" s="48">
        <v>0.7469675925925926</v>
      </c>
      <c r="U648" s="29">
        <v>-1325.2310407631876</v>
      </c>
      <c r="V648" s="29">
        <v>4560.5429055098894</v>
      </c>
      <c r="W648" s="29">
        <v>4261.3744283684828</v>
      </c>
      <c r="X648" s="4">
        <v>-0.32684674138221431</v>
      </c>
      <c r="Y648" s="4">
        <v>-0.11633381403916222</v>
      </c>
      <c r="Z648" s="4">
        <v>-1.8526311969221176E-2</v>
      </c>
      <c r="AA648" s="3">
        <f t="shared" si="226"/>
        <v>0.34742707562343406</v>
      </c>
      <c r="AB648" s="3">
        <f t="shared" ref="AB648:AB711" si="229">-($AC648-$AC647)/(($A648-$A647)*86400)*1000/9.806</f>
        <v>5.9055673841028949E-3</v>
      </c>
      <c r="AC648" s="3">
        <f t="shared" si="227"/>
        <v>2.7657063465489563E-2</v>
      </c>
      <c r="AD648" s="48"/>
      <c r="AE648" s="46">
        <f t="shared" si="222"/>
        <v>42.092148491099024</v>
      </c>
      <c r="AF648" s="46">
        <f t="shared" si="223"/>
        <v>-248.53984280446645</v>
      </c>
      <c r="AG648" s="47">
        <f t="shared" si="224"/>
        <v>12189.770800513543</v>
      </c>
      <c r="AH648" s="45" t="str">
        <f t="shared" si="228"/>
        <v>-248.53984,42.09215,12190</v>
      </c>
      <c r="AI648" s="44">
        <f t="shared" ref="AI648:AI711" si="230">IFERROR(ACOS(SIN(RADIANS($B647))*SIN(RADIANS($B648))+COS(RADIANS($B647))*COS(RADIANS($B648))*COS(RADIANS($C647-$C648)))*6371,0)+AI647</f>
        <v>1021.3338423848083</v>
      </c>
    </row>
    <row r="649" spans="1:35" ht="18" customHeight="1" x14ac:dyDescent="0.25">
      <c r="A649" s="36">
        <f t="shared" si="225"/>
        <v>0.74697927083333326</v>
      </c>
      <c r="B649" s="42">
        <f t="shared" si="210"/>
        <v>42.09214848626474</v>
      </c>
      <c r="C649" s="43">
        <f t="shared" si="211"/>
        <v>111.4601569292702</v>
      </c>
      <c r="D649" s="18">
        <f t="shared" si="212"/>
        <v>12.161916771812685</v>
      </c>
      <c r="E649" s="21" t="str">
        <f t="shared" si="213"/>
        <v>Umbra</v>
      </c>
      <c r="F649" s="23">
        <f>IF($E649&lt;&gt;"Umbra",fracil2($S$2,$S$3,$S$4,$A649,$Q$2,$O$3,$Q$4,$U649,$V649,$W649),0)</f>
        <v>0</v>
      </c>
      <c r="G649" s="19">
        <f t="shared" si="214"/>
        <v>69.300153154184329</v>
      </c>
      <c r="H649" s="19">
        <f t="shared" si="215"/>
        <v>-4.1881200596435582</v>
      </c>
      <c r="I649" s="19">
        <f t="shared" si="216"/>
        <v>-2.9801021102486631</v>
      </c>
      <c r="J649" s="28">
        <f t="shared" si="217"/>
        <v>5.2792991858261265E-3</v>
      </c>
      <c r="K649" s="24">
        <f t="shared" si="218"/>
        <v>1048.8512509360537</v>
      </c>
      <c r="L649" s="32">
        <f t="shared" si="219"/>
        <v>0.55755792694903406</v>
      </c>
      <c r="M649" s="35">
        <f t="shared" si="220"/>
        <v>13.243550017414787</v>
      </c>
      <c r="O649" s="29">
        <f t="shared" si="221"/>
        <v>1046.5838434061557</v>
      </c>
      <c r="T649" s="48">
        <v>0.74697927083333326</v>
      </c>
      <c r="U649" s="29">
        <v>-1325.5608000213911</v>
      </c>
      <c r="V649" s="29">
        <v>4560.4255444312275</v>
      </c>
      <c r="W649" s="29">
        <v>4261.3557567181588</v>
      </c>
      <c r="X649" s="4">
        <v>-0.3268487456924673</v>
      </c>
      <c r="Y649" s="4">
        <v>-0.11631597697849043</v>
      </c>
      <c r="Z649" s="4">
        <v>-1.8487315426867337E-2</v>
      </c>
      <c r="AA649" s="3">
        <f t="shared" si="226"/>
        <v>0.34742091170925848</v>
      </c>
      <c r="AB649" s="3">
        <f t="shared" si="229"/>
        <v>5.875476377576184E-3</v>
      </c>
      <c r="AC649" s="3">
        <f t="shared" si="227"/>
        <v>2.7598930009839203E-2</v>
      </c>
      <c r="AD649" s="48"/>
      <c r="AE649" s="46">
        <f t="shared" si="222"/>
        <v>42.09214848626474</v>
      </c>
      <c r="AF649" s="46">
        <f t="shared" si="223"/>
        <v>-248.5398430707298</v>
      </c>
      <c r="AG649" s="47">
        <f t="shared" si="224"/>
        <v>12161.916771812685</v>
      </c>
      <c r="AH649" s="45" t="str">
        <f t="shared" si="228"/>
        <v>-248.53984,42.09215,12162</v>
      </c>
      <c r="AI649" s="44">
        <f t="shared" si="230"/>
        <v>1021.3338423848083</v>
      </c>
    </row>
    <row r="650" spans="1:35" ht="18" customHeight="1" x14ac:dyDescent="0.25">
      <c r="A650" s="36">
        <f t="shared" si="225"/>
        <v>0.74699082175925924</v>
      </c>
      <c r="B650" s="42">
        <f t="shared" si="210"/>
        <v>42.092148481494341</v>
      </c>
      <c r="C650" s="43">
        <f t="shared" si="211"/>
        <v>111.46015919748618</v>
      </c>
      <c r="D650" s="18">
        <f t="shared" si="212"/>
        <v>12.134407318073499</v>
      </c>
      <c r="E650" s="21" t="str">
        <f t="shared" si="213"/>
        <v>Umbra</v>
      </c>
      <c r="F650" s="23">
        <f>IF($E650&lt;&gt;"Umbra",fracil2($S$2,$S$3,$S$4,$A650,$Q$2,$O$3,$Q$4,$U650,$V650,$W650),0)</f>
        <v>0</v>
      </c>
      <c r="G650" s="19">
        <f t="shared" si="214"/>
        <v>69.300160386427564</v>
      </c>
      <c r="H650" s="19">
        <f t="shared" si="215"/>
        <v>-4.1896173322329453</v>
      </c>
      <c r="I650" s="19">
        <f t="shared" si="216"/>
        <v>-2.9815993828380503</v>
      </c>
      <c r="J650" s="28">
        <f t="shared" si="217"/>
        <v>5.2766492425156842E-3</v>
      </c>
      <c r="K650" s="24">
        <f t="shared" si="218"/>
        <v>1048.8488972173302</v>
      </c>
      <c r="L650" s="32">
        <f t="shared" si="219"/>
        <v>0.55757268127454407</v>
      </c>
      <c r="M650" s="35">
        <f t="shared" si="220"/>
        <v>13.242541747317777</v>
      </c>
      <c r="O650" s="29">
        <f t="shared" si="221"/>
        <v>1046.5840256588717</v>
      </c>
      <c r="T650" s="48">
        <v>0.74699082175925924</v>
      </c>
      <c r="U650" s="29">
        <v>-1325.8871643218547</v>
      </c>
      <c r="V650" s="29">
        <v>4560.3094099303671</v>
      </c>
      <c r="W650" s="29">
        <v>4261.3373160503152</v>
      </c>
      <c r="X650" s="4">
        <v>-0.32685067770684917</v>
      </c>
      <c r="Y650" s="4">
        <v>-0.11629852922428828</v>
      </c>
      <c r="Z650" s="4">
        <v>-1.844891224326722E-2</v>
      </c>
      <c r="AA650" s="3">
        <f t="shared" si="226"/>
        <v>0.34741484680439177</v>
      </c>
      <c r="AB650" s="3">
        <f t="shared" si="229"/>
        <v>5.8498342112711663E-3</v>
      </c>
      <c r="AC650" s="3">
        <f t="shared" si="227"/>
        <v>2.7541681262511792E-2</v>
      </c>
      <c r="AD650" s="48"/>
      <c r="AE650" s="46">
        <f t="shared" si="222"/>
        <v>42.092148481494341</v>
      </c>
      <c r="AF650" s="46">
        <f t="shared" si="223"/>
        <v>-248.53984080251382</v>
      </c>
      <c r="AG650" s="47">
        <f t="shared" si="224"/>
        <v>12134.407318073499</v>
      </c>
      <c r="AH650" s="45" t="str">
        <f t="shared" si="228"/>
        <v>-248.53984,42.09215,12134</v>
      </c>
      <c r="AI650" s="44">
        <f t="shared" si="230"/>
        <v>1021.3340322554043</v>
      </c>
    </row>
    <row r="651" spans="1:35" ht="18" customHeight="1" x14ac:dyDescent="0.25">
      <c r="A651" s="36">
        <f t="shared" si="225"/>
        <v>0.74700240740740742</v>
      </c>
      <c r="B651" s="42">
        <f t="shared" si="210"/>
        <v>42.092148476728546</v>
      </c>
      <c r="C651" s="43">
        <f t="shared" si="211"/>
        <v>111.46015707430156</v>
      </c>
      <c r="D651" s="18">
        <f t="shared" si="212"/>
        <v>12.106901399944945</v>
      </c>
      <c r="E651" s="21" t="str">
        <f t="shared" si="213"/>
        <v>Umbra</v>
      </c>
      <c r="F651" s="23">
        <f>IF($E651&lt;&gt;"Umbra",fracil2($S$2,$S$3,$S$4,$A651,$Q$2,$O$3,$Q$4,$U651,$V651,$W651),0)</f>
        <v>0</v>
      </c>
      <c r="G651" s="19">
        <f t="shared" si="214"/>
        <v>69.300163148479001</v>
      </c>
      <c r="H651" s="19">
        <f t="shared" si="215"/>
        <v>-4.1911126479578904</v>
      </c>
      <c r="I651" s="19">
        <f t="shared" si="216"/>
        <v>-2.9830946985629954</v>
      </c>
      <c r="J651" s="28">
        <f t="shared" si="217"/>
        <v>5.2740080453921616E-3</v>
      </c>
      <c r="K651" s="24">
        <f t="shared" si="218"/>
        <v>1048.8461912947976</v>
      </c>
      <c r="L651" s="32">
        <f t="shared" si="219"/>
        <v>0.55758747474517423</v>
      </c>
      <c r="M651" s="35">
        <f t="shared" si="220"/>
        <v>13.241538087431662</v>
      </c>
      <c r="O651" s="29">
        <f t="shared" si="221"/>
        <v>1046.5838548286347</v>
      </c>
      <c r="T651" s="48">
        <v>0.74700240740740742</v>
      </c>
      <c r="U651" s="29">
        <v>-1326.2141675609084</v>
      </c>
      <c r="V651" s="29">
        <v>4560.1930661193119</v>
      </c>
      <c r="W651" s="29">
        <v>4261.3188777528658</v>
      </c>
      <c r="X651" s="4">
        <v>-0.32685256257883588</v>
      </c>
      <c r="Y651" s="4">
        <v>-0.11628125015277507</v>
      </c>
      <c r="Z651" s="4">
        <v>-1.8410623110306234E-2</v>
      </c>
      <c r="AA651" s="3">
        <f t="shared" si="226"/>
        <v>0.34740880507660399</v>
      </c>
      <c r="AB651" s="3">
        <f t="shared" si="229"/>
        <v>5.8149642734504287E-3</v>
      </c>
      <c r="AC651" s="3">
        <f t="shared" si="227"/>
        <v>2.7484602701306503E-2</v>
      </c>
      <c r="AD651" s="48"/>
      <c r="AE651" s="46">
        <f t="shared" si="222"/>
        <v>42.092148476728546</v>
      </c>
      <c r="AF651" s="46">
        <f t="shared" si="223"/>
        <v>-248.53984292569845</v>
      </c>
      <c r="AG651" s="47">
        <f t="shared" si="224"/>
        <v>12106.901399944945</v>
      </c>
      <c r="AH651" s="45" t="str">
        <f t="shared" si="228"/>
        <v>-248.53984,42.09215,12107</v>
      </c>
      <c r="AI651" s="44">
        <f t="shared" si="230"/>
        <v>1021.3341966881636</v>
      </c>
    </row>
    <row r="652" spans="1:35" ht="18" customHeight="1" x14ac:dyDescent="0.25">
      <c r="A652" s="36">
        <f t="shared" si="225"/>
        <v>0.74701394675925925</v>
      </c>
      <c r="B652" s="42">
        <f t="shared" si="210"/>
        <v>42.092148471992786</v>
      </c>
      <c r="C652" s="43">
        <f t="shared" si="211"/>
        <v>111.4601574519164</v>
      </c>
      <c r="D652" s="18">
        <f t="shared" si="212"/>
        <v>12.079545706536919</v>
      </c>
      <c r="E652" s="21" t="str">
        <f t="shared" si="213"/>
        <v>Umbra</v>
      </c>
      <c r="F652" s="23">
        <f>IF($E652&lt;&gt;"Umbra",fracil2($S$2,$S$3,$S$4,$A652,$Q$2,$O$3,$Q$4,$U652,$V652,$W652),0)</f>
        <v>0</v>
      </c>
      <c r="G652" s="19">
        <f t="shared" si="214"/>
        <v>69.300168428980612</v>
      </c>
      <c r="H652" s="19">
        <f t="shared" si="215"/>
        <v>-4.1926008083398392</v>
      </c>
      <c r="I652" s="19">
        <f t="shared" si="216"/>
        <v>-2.9845828589449441</v>
      </c>
      <c r="J652" s="28">
        <f t="shared" si="217"/>
        <v>5.2713890784931881E-3</v>
      </c>
      <c r="K652" s="24">
        <f t="shared" si="218"/>
        <v>1048.8437010921411</v>
      </c>
      <c r="L652" s="32">
        <f t="shared" si="219"/>
        <v>0.55760220176011266</v>
      </c>
      <c r="M652" s="35">
        <f t="shared" si="220"/>
        <v>13.240537342556653</v>
      </c>
      <c r="O652" s="29">
        <f t="shared" si="221"/>
        <v>1046.5838850716486</v>
      </c>
      <c r="T652" s="48">
        <v>0.74701394675925925</v>
      </c>
      <c r="U652" s="29">
        <v>-1326.540060948792</v>
      </c>
      <c r="V652" s="29">
        <v>4560.0771349366705</v>
      </c>
      <c r="W652" s="29">
        <v>4261.3005401572818</v>
      </c>
      <c r="X652" s="4">
        <v>-0.32685439051810267</v>
      </c>
      <c r="Y652" s="4">
        <v>-0.11626423088848656</v>
      </c>
      <c r="Z652" s="4">
        <v>-1.8372651604040117E-2</v>
      </c>
      <c r="AA652" s="3">
        <f t="shared" si="226"/>
        <v>0.34740281851478277</v>
      </c>
      <c r="AB652" s="3">
        <f t="shared" si="229"/>
        <v>5.7898456716985909E-3</v>
      </c>
      <c r="AC652" s="3">
        <f t="shared" si="227"/>
        <v>2.7427997800329902E-2</v>
      </c>
      <c r="AD652" s="48"/>
      <c r="AE652" s="46">
        <f t="shared" si="222"/>
        <v>42.092148471992786</v>
      </c>
      <c r="AF652" s="46">
        <f t="shared" si="223"/>
        <v>-248.53984254808358</v>
      </c>
      <c r="AG652" s="47">
        <f t="shared" si="224"/>
        <v>12079.545706536919</v>
      </c>
      <c r="AH652" s="45" t="str">
        <f t="shared" si="228"/>
        <v>-248.53984,42.09215,12080</v>
      </c>
      <c r="AI652" s="44">
        <f t="shared" si="230"/>
        <v>1021.3341966881636</v>
      </c>
    </row>
    <row r="653" spans="1:35" ht="18" customHeight="1" x14ac:dyDescent="0.25">
      <c r="A653" s="36">
        <f t="shared" si="225"/>
        <v>0.74702545138888887</v>
      </c>
      <c r="B653" s="42">
        <f t="shared" si="210"/>
        <v>42.092148467284595</v>
      </c>
      <c r="C653" s="43">
        <f t="shared" si="211"/>
        <v>111.46015822670812</v>
      </c>
      <c r="D653" s="18">
        <f t="shared" si="212"/>
        <v>12.052325802422274</v>
      </c>
      <c r="E653" s="21" t="str">
        <f t="shared" si="213"/>
        <v>Umbra</v>
      </c>
      <c r="F653" s="23">
        <f>IF($E653&lt;&gt;"Umbra",fracil2($S$2,$S$3,$S$4,$A653,$Q$2,$O$3,$Q$4,$U653,$V653,$W653),0)</f>
        <v>0</v>
      </c>
      <c r="G653" s="19">
        <f t="shared" si="214"/>
        <v>69.300174089442791</v>
      </c>
      <c r="H653" s="19">
        <f t="shared" si="215"/>
        <v>-4.19408174960836</v>
      </c>
      <c r="I653" s="19">
        <f t="shared" si="216"/>
        <v>-2.986063800213465</v>
      </c>
      <c r="J653" s="28">
        <f t="shared" si="217"/>
        <v>5.2687910409419513E-3</v>
      </c>
      <c r="K653" s="24">
        <f t="shared" si="218"/>
        <v>1048.8412560521981</v>
      </c>
      <c r="L653" s="32">
        <f t="shared" si="219"/>
        <v>0.55761687785961811</v>
      </c>
      <c r="M653" s="35">
        <f t="shared" si="220"/>
        <v>13.239541139845388</v>
      </c>
      <c r="O653" s="29">
        <f t="shared" si="221"/>
        <v>1046.5839472496928</v>
      </c>
      <c r="T653" s="48">
        <v>0.74702545138888887</v>
      </c>
      <c r="U653" s="29">
        <v>-1326.8650066988248</v>
      </c>
      <c r="V653" s="29">
        <v>4559.9615582931337</v>
      </c>
      <c r="W653" s="29">
        <v>4261.2822935869317</v>
      </c>
      <c r="X653" s="4">
        <v>-0.32685616299703729</v>
      </c>
      <c r="Y653" s="4">
        <v>-0.11624746054360312</v>
      </c>
      <c r="Z653" s="4">
        <v>-1.8334976577376604E-2</v>
      </c>
      <c r="AA653" s="3">
        <f t="shared" si="226"/>
        <v>0.34739688360443782</v>
      </c>
      <c r="AB653" s="3">
        <f t="shared" si="229"/>
        <v>5.7619599039331173E-3</v>
      </c>
      <c r="AC653" s="3">
        <f t="shared" si="227"/>
        <v>2.737183503218488E-2</v>
      </c>
      <c r="AD653" s="48"/>
      <c r="AE653" s="46">
        <f t="shared" si="222"/>
        <v>42.092148467284595</v>
      </c>
      <c r="AF653" s="46">
        <f t="shared" si="223"/>
        <v>-248.53984177329187</v>
      </c>
      <c r="AG653" s="47">
        <f t="shared" si="224"/>
        <v>12052.325802422274</v>
      </c>
      <c r="AH653" s="45" t="str">
        <f t="shared" si="228"/>
        <v>-248.53984,42.09215,12052</v>
      </c>
      <c r="AI653" s="44">
        <f t="shared" si="230"/>
        <v>1021.3341966881636</v>
      </c>
    </row>
    <row r="654" spans="1:35" ht="18" customHeight="1" x14ac:dyDescent="0.25">
      <c r="A654" s="36">
        <f t="shared" si="225"/>
        <v>0.74703714120370368</v>
      </c>
      <c r="B654" s="42">
        <f t="shared" si="210"/>
        <v>42.092148462517166</v>
      </c>
      <c r="C654" s="43">
        <f t="shared" si="211"/>
        <v>111.46015655265435</v>
      </c>
      <c r="D654" s="18">
        <f t="shared" si="212"/>
        <v>12.024740916634073</v>
      </c>
      <c r="E654" s="21" t="str">
        <f t="shared" si="213"/>
        <v>Umbra</v>
      </c>
      <c r="F654" s="23">
        <f>IF($E654&lt;&gt;"Umbra",fracil2($S$2,$S$3,$S$4,$A654,$Q$2,$O$3,$Q$4,$U654,$V654,$W654),0)</f>
        <v>0</v>
      </c>
      <c r="G654" s="19">
        <f t="shared" si="214"/>
        <v>69.300177322811237</v>
      </c>
      <c r="H654" s="19">
        <f t="shared" si="215"/>
        <v>-4.1955815642379086</v>
      </c>
      <c r="I654" s="19">
        <f t="shared" si="216"/>
        <v>-2.9875636148430136</v>
      </c>
      <c r="J654" s="28">
        <f t="shared" si="217"/>
        <v>5.2661663815724577E-3</v>
      </c>
      <c r="K654" s="24">
        <f t="shared" si="218"/>
        <v>1048.8385811222452</v>
      </c>
      <c r="L654" s="32">
        <f t="shared" si="219"/>
        <v>0.55763178440779215</v>
      </c>
      <c r="M654" s="35">
        <f t="shared" si="220"/>
        <v>13.238534080581157</v>
      </c>
      <c r="O654" s="29">
        <f t="shared" si="221"/>
        <v>1046.5838125310095</v>
      </c>
      <c r="T654" s="48">
        <v>0.74703714120370368</v>
      </c>
      <c r="U654" s="29">
        <v>-1327.1949922311137</v>
      </c>
      <c r="V654" s="29">
        <v>4559.8442066941134</v>
      </c>
      <c r="W654" s="29">
        <v>4261.2638023553636</v>
      </c>
      <c r="X654" s="4">
        <v>-0.32685791234647205</v>
      </c>
      <c r="Y654" s="4">
        <v>-0.11623063152260962</v>
      </c>
      <c r="Z654" s="4">
        <v>-1.8296905145953703E-2</v>
      </c>
      <c r="AA654" s="3">
        <f t="shared" si="226"/>
        <v>0.34739089122422118</v>
      </c>
      <c r="AB654" s="3">
        <f t="shared" si="229"/>
        <v>5.7303295295128938E-3</v>
      </c>
      <c r="AC654" s="3">
        <f t="shared" si="227"/>
        <v>2.7315081504704845E-2</v>
      </c>
      <c r="AD654" s="48"/>
      <c r="AE654" s="46">
        <f t="shared" si="222"/>
        <v>42.092148462517166</v>
      </c>
      <c r="AF654" s="46">
        <f t="shared" si="223"/>
        <v>-248.53984344734565</v>
      </c>
      <c r="AG654" s="47">
        <f t="shared" si="224"/>
        <v>12024.740916634073</v>
      </c>
      <c r="AH654" s="45" t="str">
        <f t="shared" si="228"/>
        <v>-248.53984,42.09215,12025</v>
      </c>
      <c r="AI654" s="44">
        <f t="shared" si="230"/>
        <v>1021.3343309469486</v>
      </c>
    </row>
    <row r="655" spans="1:35" ht="18" customHeight="1" x14ac:dyDescent="0.25">
      <c r="A655" s="36">
        <f t="shared" si="225"/>
        <v>0.74704865740740745</v>
      </c>
      <c r="B655" s="42">
        <f t="shared" si="210"/>
        <v>42.092148457830433</v>
      </c>
      <c r="C655" s="43">
        <f t="shared" si="211"/>
        <v>111.46015825381957</v>
      </c>
      <c r="D655" s="18">
        <f t="shared" si="212"/>
        <v>11.997599789967353</v>
      </c>
      <c r="E655" s="21" t="str">
        <f t="shared" si="213"/>
        <v>Umbra</v>
      </c>
      <c r="F655" s="23">
        <f>IF($E655&lt;&gt;"Umbra",fracil2($S$2,$S$3,$S$4,$A655,$Q$2,$O$3,$Q$4,$U655,$V655,$W655),0)</f>
        <v>0</v>
      </c>
      <c r="G655" s="19">
        <f t="shared" si="214"/>
        <v>69.300183912073848</v>
      </c>
      <c r="H655" s="19">
        <f t="shared" si="215"/>
        <v>-4.1970586077487742</v>
      </c>
      <c r="I655" s="19">
        <f t="shared" si="216"/>
        <v>-2.9890406583538791</v>
      </c>
      <c r="J655" s="28">
        <f t="shared" si="217"/>
        <v>5.2635916920516163E-3</v>
      </c>
      <c r="K655" s="24">
        <f t="shared" si="218"/>
        <v>1048.836219261121</v>
      </c>
      <c r="L655" s="32">
        <f t="shared" si="219"/>
        <v>0.55764646202067492</v>
      </c>
      <c r="M655" s="35">
        <f t="shared" si="220"/>
        <v>13.237539776623002</v>
      </c>
      <c r="O655" s="29">
        <f t="shared" si="221"/>
        <v>1046.5839491930667</v>
      </c>
      <c r="T655" s="48">
        <v>0.74704865740740745</v>
      </c>
      <c r="U655" s="29">
        <v>-1327.520340823223</v>
      </c>
      <c r="V655" s="29">
        <v>4559.7285212535926</v>
      </c>
      <c r="W655" s="29">
        <v>4261.2456085932845</v>
      </c>
      <c r="X655" s="4">
        <v>-0.32685958683081895</v>
      </c>
      <c r="Y655" s="4">
        <v>-0.11621423866111029</v>
      </c>
      <c r="Z655" s="4">
        <v>-1.8259555002293187E-2</v>
      </c>
      <c r="AA655" s="3">
        <f t="shared" si="226"/>
        <v>0.34738501712030839</v>
      </c>
      <c r="AB655" s="3">
        <f t="shared" si="229"/>
        <v>5.7064980851164434E-3</v>
      </c>
      <c r="AC655" s="3">
        <f t="shared" si="227"/>
        <v>2.7259403374083009E-2</v>
      </c>
      <c r="AD655" s="48"/>
      <c r="AE655" s="46">
        <f t="shared" si="222"/>
        <v>42.092148457830433</v>
      </c>
      <c r="AF655" s="46">
        <f t="shared" si="223"/>
        <v>-248.53984174618043</v>
      </c>
      <c r="AG655" s="47">
        <f t="shared" si="224"/>
        <v>11997.599789967353</v>
      </c>
      <c r="AH655" s="45" t="str">
        <f t="shared" si="228"/>
        <v>-248.53984,42.09215,11998</v>
      </c>
      <c r="AI655" s="44">
        <f t="shared" si="230"/>
        <v>1021.3344652057336</v>
      </c>
    </row>
    <row r="656" spans="1:35" ht="18" customHeight="1" x14ac:dyDescent="0.25">
      <c r="A656" s="36">
        <f t="shared" si="225"/>
        <v>0.74706020833333342</v>
      </c>
      <c r="B656" s="42">
        <f t="shared" si="210"/>
        <v>42.092148453144915</v>
      </c>
      <c r="C656" s="43">
        <f t="shared" si="211"/>
        <v>111.46015838738781</v>
      </c>
      <c r="D656" s="18">
        <f t="shared" si="212"/>
        <v>11.970442635797554</v>
      </c>
      <c r="E656" s="21" t="str">
        <f t="shared" si="213"/>
        <v>Umbra</v>
      </c>
      <c r="F656" s="23">
        <f>IF($E656&lt;&gt;"Umbra",fracil2($S$2,$S$3,$S$4,$A656,$Q$2,$O$3,$Q$4,$U656,$V656,$W656),0)</f>
        <v>0</v>
      </c>
      <c r="G656" s="19">
        <f t="shared" si="214"/>
        <v>69.300188908720571</v>
      </c>
      <c r="H656" s="19">
        <f t="shared" si="215"/>
        <v>-4.1985358983504701</v>
      </c>
      <c r="I656" s="19">
        <f t="shared" si="216"/>
        <v>-2.9905179489555751</v>
      </c>
      <c r="J656" s="28">
        <f t="shared" si="217"/>
        <v>5.2610233308392216E-3</v>
      </c>
      <c r="K656" s="24">
        <f t="shared" si="218"/>
        <v>1048.8337305246534</v>
      </c>
      <c r="L656" s="32">
        <f t="shared" si="219"/>
        <v>0.55766117799164483</v>
      </c>
      <c r="M656" s="35">
        <f t="shared" si="220"/>
        <v>13.236546474997038</v>
      </c>
      <c r="O656" s="29">
        <f t="shared" si="221"/>
        <v>1046.5839598151931</v>
      </c>
      <c r="T656" s="48">
        <v>0.74706020833333342</v>
      </c>
      <c r="U656" s="29">
        <v>-1327.8465490150663</v>
      </c>
      <c r="V656" s="29">
        <v>4559.612547032335</v>
      </c>
      <c r="W656" s="29">
        <v>4261.2274040876746</v>
      </c>
      <c r="X656" s="4">
        <v>-0.32686121688765191</v>
      </c>
      <c r="Y656" s="4">
        <v>-0.11619799693675899</v>
      </c>
      <c r="Z656" s="4">
        <v>-1.8222287582136031E-2</v>
      </c>
      <c r="AA656" s="3">
        <f t="shared" si="226"/>
        <v>0.34737916080576531</v>
      </c>
      <c r="AB656" s="3">
        <f t="shared" si="229"/>
        <v>5.6767267391344845E-3</v>
      </c>
      <c r="AC656" s="3">
        <f t="shared" si="227"/>
        <v>2.7203848723643634E-2</v>
      </c>
      <c r="AD656" s="48"/>
      <c r="AE656" s="46">
        <f t="shared" si="222"/>
        <v>42.092148453144915</v>
      </c>
      <c r="AF656" s="46">
        <f t="shared" si="223"/>
        <v>-248.53984161261218</v>
      </c>
      <c r="AG656" s="47">
        <f t="shared" si="224"/>
        <v>11970.442635797554</v>
      </c>
      <c r="AH656" s="45" t="str">
        <f t="shared" si="228"/>
        <v>-248.53984,42.09215,11970</v>
      </c>
      <c r="AI656" s="44">
        <f t="shared" si="230"/>
        <v>1021.3344652057336</v>
      </c>
    </row>
    <row r="657" spans="1:35" ht="18" customHeight="1" x14ac:dyDescent="0.25">
      <c r="A657" s="36">
        <f t="shared" si="225"/>
        <v>0.74707179398148149</v>
      </c>
      <c r="B657" s="42">
        <f t="shared" si="210"/>
        <v>42.092148448457735</v>
      </c>
      <c r="C657" s="43">
        <f t="shared" si="211"/>
        <v>111.46015944773599</v>
      </c>
      <c r="D657" s="18">
        <f t="shared" si="212"/>
        <v>11.943253426324191</v>
      </c>
      <c r="E657" s="21" t="str">
        <f t="shared" si="213"/>
        <v>Umbra</v>
      </c>
      <c r="F657" s="23">
        <f>IF($E657&lt;&gt;"Umbra",fracil2($S$2,$S$3,$S$4,$A657,$Q$2,$O$3,$Q$4,$U657,$V657,$W657),0)</f>
        <v>0</v>
      </c>
      <c r="G657" s="19">
        <f t="shared" si="214"/>
        <v>69.300194854399436</v>
      </c>
      <c r="H657" s="19">
        <f t="shared" si="215"/>
        <v>-4.2000153128273467</v>
      </c>
      <c r="I657" s="19">
        <f t="shared" si="216"/>
        <v>-2.9919973634324517</v>
      </c>
      <c r="J657" s="28">
        <f t="shared" si="217"/>
        <v>5.2584597551989217E-3</v>
      </c>
      <c r="K657" s="24">
        <f t="shared" si="218"/>
        <v>1048.8313140857858</v>
      </c>
      <c r="L657" s="32">
        <f t="shared" si="219"/>
        <v>0.557675931476317</v>
      </c>
      <c r="M657" s="35">
        <f t="shared" si="220"/>
        <v>13.235551035595151</v>
      </c>
      <c r="O657" s="29">
        <f t="shared" si="221"/>
        <v>1046.584044953438</v>
      </c>
      <c r="T657" s="48">
        <v>0.74707179398148149</v>
      </c>
      <c r="U657" s="29">
        <v>-1328.1738119076717</v>
      </c>
      <c r="V657" s="29">
        <v>4559.4962146035205</v>
      </c>
      <c r="W657" s="29">
        <v>4261.2091780944602</v>
      </c>
      <c r="X657" s="4">
        <v>-0.32686280263797235</v>
      </c>
      <c r="Y657" s="4">
        <v>-0.11618189958670004</v>
      </c>
      <c r="Z657" s="4">
        <v>-1.8185083370615439E-2</v>
      </c>
      <c r="AA657" s="3">
        <f t="shared" si="226"/>
        <v>0.34737331906339664</v>
      </c>
      <c r="AB657" s="3">
        <f t="shared" si="229"/>
        <v>5.6500975139257394E-3</v>
      </c>
      <c r="AC657" s="3">
        <f t="shared" si="227"/>
        <v>2.7148388462566224E-2</v>
      </c>
      <c r="AD657" s="48"/>
      <c r="AE657" s="46">
        <f t="shared" si="222"/>
        <v>42.092148448457735</v>
      </c>
      <c r="AF657" s="46">
        <f t="shared" si="223"/>
        <v>-248.53984055226402</v>
      </c>
      <c r="AG657" s="47">
        <f t="shared" si="224"/>
        <v>11943.253426324191</v>
      </c>
      <c r="AH657" s="45" t="str">
        <f t="shared" si="228"/>
        <v>-248.53984,42.09215,11943</v>
      </c>
      <c r="AI657" s="44">
        <f t="shared" si="230"/>
        <v>1021.3344652057336</v>
      </c>
    </row>
    <row r="658" spans="1:35" ht="18" customHeight="1" x14ac:dyDescent="0.25">
      <c r="A658" s="36">
        <f t="shared" si="225"/>
        <v>0.74708343750000006</v>
      </c>
      <c r="B658" s="42">
        <f t="shared" si="210"/>
        <v>42.092148443764628</v>
      </c>
      <c r="C658" s="43">
        <f t="shared" si="211"/>
        <v>111.46015703058104</v>
      </c>
      <c r="D658" s="18">
        <f t="shared" si="212"/>
        <v>11.91600681671116</v>
      </c>
      <c r="E658" s="21" t="str">
        <f t="shared" si="213"/>
        <v>Umbra</v>
      </c>
      <c r="F658" s="23">
        <f>IF($E658&lt;&gt;"Umbra",fracil2($S$2,$S$3,$S$4,$A658,$Q$2,$O$3,$Q$4,$U658,$V658,$W658),0)</f>
        <v>0</v>
      </c>
      <c r="G658" s="19">
        <f t="shared" si="214"/>
        <v>69.300197270968454</v>
      </c>
      <c r="H658" s="19">
        <f t="shared" si="215"/>
        <v>-4.2014964566314985</v>
      </c>
      <c r="I658" s="19">
        <f t="shared" si="216"/>
        <v>-2.9934785072366035</v>
      </c>
      <c r="J658" s="28">
        <f t="shared" si="217"/>
        <v>5.255899065012142E-3</v>
      </c>
      <c r="K658" s="24">
        <f t="shared" si="218"/>
        <v>1048.828613339449</v>
      </c>
      <c r="L658" s="32">
        <f t="shared" si="219"/>
        <v>0.55769075336948393</v>
      </c>
      <c r="M658" s="35">
        <f t="shared" si="220"/>
        <v>13.234557040010515</v>
      </c>
      <c r="O658" s="29">
        <f t="shared" si="221"/>
        <v>1046.5838504888384</v>
      </c>
      <c r="T658" s="48">
        <v>0.74708343750000006</v>
      </c>
      <c r="U658" s="29">
        <v>-1328.5024386257289</v>
      </c>
      <c r="V658" s="29">
        <v>4559.3794140514592</v>
      </c>
      <c r="W658" s="29">
        <v>4261.190913624012</v>
      </c>
      <c r="X658" s="4">
        <v>-0.3268643448119532</v>
      </c>
      <c r="Y658" s="4">
        <v>-0.11616593411777715</v>
      </c>
      <c r="Z658" s="4">
        <v>-1.814790977154156E-2</v>
      </c>
      <c r="AA658" s="3">
        <f t="shared" si="226"/>
        <v>0.34736748665912759</v>
      </c>
      <c r="AB658" s="3">
        <f t="shared" si="229"/>
        <v>5.6173728995935106E-3</v>
      </c>
      <c r="AC658" s="3">
        <f t="shared" si="227"/>
        <v>2.7092974000160659E-2</v>
      </c>
      <c r="AD658" s="48"/>
      <c r="AE658" s="46">
        <f t="shared" si="222"/>
        <v>42.092148443764628</v>
      </c>
      <c r="AF658" s="46">
        <f t="shared" si="223"/>
        <v>-248.53984296941894</v>
      </c>
      <c r="AG658" s="47">
        <f t="shared" si="224"/>
        <v>11916.00681671116</v>
      </c>
      <c r="AH658" s="45" t="str">
        <f t="shared" si="228"/>
        <v>-248.53984,42.09215,11916</v>
      </c>
      <c r="AI658" s="44">
        <f t="shared" si="230"/>
        <v>1021.3346550763296</v>
      </c>
    </row>
    <row r="659" spans="1:35" ht="18" customHeight="1" x14ac:dyDescent="0.25">
      <c r="A659" s="36">
        <f t="shared" si="225"/>
        <v>0.74709498842592603</v>
      </c>
      <c r="B659" s="42">
        <f t="shared" si="210"/>
        <v>42.092148439118979</v>
      </c>
      <c r="C659" s="43">
        <f t="shared" si="211"/>
        <v>111.46015746301694</v>
      </c>
      <c r="D659" s="18">
        <f t="shared" si="212"/>
        <v>11.889013532198078</v>
      </c>
      <c r="E659" s="21" t="str">
        <f t="shared" si="213"/>
        <v>Umbra</v>
      </c>
      <c r="F659" s="23">
        <f>IF($E659&lt;&gt;"Umbra",fracil2($S$2,$S$3,$S$4,$A659,$Q$2,$O$3,$Q$4,$U659,$V659,$W659),0)</f>
        <v>0</v>
      </c>
      <c r="G659" s="19">
        <f t="shared" si="214"/>
        <v>69.300202542527146</v>
      </c>
      <c r="H659" s="19">
        <f t="shared" si="215"/>
        <v>-4.2029649747670685</v>
      </c>
      <c r="I659" s="19">
        <f t="shared" si="216"/>
        <v>-2.9949470253721735</v>
      </c>
      <c r="J659" s="28">
        <f t="shared" si="217"/>
        <v>5.2533695283599018E-3</v>
      </c>
      <c r="K659" s="24">
        <f t="shared" si="218"/>
        <v>1048.8261658061977</v>
      </c>
      <c r="L659" s="32">
        <f t="shared" si="219"/>
        <v>0.55770545010644657</v>
      </c>
      <c r="M659" s="35">
        <f t="shared" si="220"/>
        <v>13.233569375391784</v>
      </c>
      <c r="O659" s="29">
        <f t="shared" si="221"/>
        <v>1046.583885141906</v>
      </c>
      <c r="T659" s="48">
        <v>0.74709498842592603</v>
      </c>
      <c r="U659" s="29">
        <v>-1328.8286749759552</v>
      </c>
      <c r="V659" s="29">
        <v>4559.2634794019305</v>
      </c>
      <c r="W659" s="29">
        <v>4261.1728189676287</v>
      </c>
      <c r="X659" s="4">
        <v>-0.32686582784836937</v>
      </c>
      <c r="Y659" s="4">
        <v>-0.11615027550622259</v>
      </c>
      <c r="Z659" s="4">
        <v>-1.8111184497763114E-2</v>
      </c>
      <c r="AA659" s="3">
        <f t="shared" si="226"/>
        <v>0.34736172920902392</v>
      </c>
      <c r="AB659" s="3">
        <f t="shared" si="229"/>
        <v>5.5940949668476627E-3</v>
      </c>
      <c r="AC659" s="3">
        <f t="shared" si="227"/>
        <v>2.7038228016306013E-2</v>
      </c>
      <c r="AD659" s="48"/>
      <c r="AE659" s="46">
        <f t="shared" si="222"/>
        <v>42.092148439118979</v>
      </c>
      <c r="AF659" s="46">
        <f t="shared" si="223"/>
        <v>-248.53984253698306</v>
      </c>
      <c r="AG659" s="47">
        <f t="shared" si="224"/>
        <v>11889.013532198078</v>
      </c>
      <c r="AH659" s="45" t="str">
        <f t="shared" si="228"/>
        <v>-248.53984,42.09215,11889</v>
      </c>
      <c r="AI659" s="44">
        <f t="shared" si="230"/>
        <v>1021.3346550763296</v>
      </c>
    </row>
    <row r="660" spans="1:35" ht="18" customHeight="1" x14ac:dyDescent="0.25">
      <c r="A660" s="36">
        <f t="shared" si="225"/>
        <v>0.74710665509259266</v>
      </c>
      <c r="B660" s="42">
        <f t="shared" si="210"/>
        <v>42.09214843444088</v>
      </c>
      <c r="C660" s="43">
        <f t="shared" si="211"/>
        <v>111.46015721689238</v>
      </c>
      <c r="D660" s="18">
        <f t="shared" si="212"/>
        <v>11.861809546458062</v>
      </c>
      <c r="E660" s="21" t="str">
        <f t="shared" si="213"/>
        <v>Umbra</v>
      </c>
      <c r="F660" s="23">
        <f>IF($E660&lt;&gt;"Umbra",fracil2($S$2,$S$3,$S$4,$A660,$Q$2,$O$3,$Q$4,$U660,$V660,$W660),0)</f>
        <v>0</v>
      </c>
      <c r="G660" s="19">
        <f t="shared" si="214"/>
        <v>69.300207161178548</v>
      </c>
      <c r="H660" s="19">
        <f t="shared" si="215"/>
        <v>-4.2044446882783539</v>
      </c>
      <c r="I660" s="19">
        <f t="shared" si="216"/>
        <v>-2.9964267388834589</v>
      </c>
      <c r="J660" s="28">
        <f t="shared" si="217"/>
        <v>5.2508281387181159E-3</v>
      </c>
      <c r="K660" s="24">
        <f t="shared" si="218"/>
        <v>1048.8236450111276</v>
      </c>
      <c r="L660" s="32">
        <f t="shared" si="219"/>
        <v>0.55772028794552508</v>
      </c>
      <c r="M660" s="35">
        <f t="shared" si="220"/>
        <v>13.232574682640426</v>
      </c>
      <c r="O660" s="29">
        <f t="shared" si="221"/>
        <v>1046.5838652356626</v>
      </c>
      <c r="T660" s="48">
        <v>0.74710665509259266</v>
      </c>
      <c r="U660" s="29">
        <v>-1329.1581283154139</v>
      </c>
      <c r="V660" s="29">
        <v>4559.1464178179613</v>
      </c>
      <c r="W660" s="29">
        <v>4261.1545830702762</v>
      </c>
      <c r="X660" s="4">
        <v>-0.32686727632309531</v>
      </c>
      <c r="Y660" s="4">
        <v>-0.11613465763659542</v>
      </c>
      <c r="Z660" s="4">
        <v>-1.8074279166213361E-2</v>
      </c>
      <c r="AA660" s="3">
        <f t="shared" si="226"/>
        <v>0.34735594798797703</v>
      </c>
      <c r="AB660" s="3">
        <f t="shared" si="229"/>
        <v>5.5657362143596793E-3</v>
      </c>
      <c r="AC660" s="3">
        <f t="shared" si="227"/>
        <v>2.6983213786113621E-2</v>
      </c>
      <c r="AD660" s="48"/>
      <c r="AE660" s="46">
        <f t="shared" si="222"/>
        <v>42.09214843444088</v>
      </c>
      <c r="AF660" s="46">
        <f t="shared" si="223"/>
        <v>-248.53984278310762</v>
      </c>
      <c r="AG660" s="47">
        <f t="shared" si="224"/>
        <v>11861.809546458062</v>
      </c>
      <c r="AH660" s="45" t="str">
        <f t="shared" si="228"/>
        <v>-248.53984,42.09215,11862</v>
      </c>
      <c r="AI660" s="44">
        <f t="shared" si="230"/>
        <v>1021.3346550763296</v>
      </c>
    </row>
    <row r="661" spans="1:35" ht="18" customHeight="1" x14ac:dyDescent="0.25">
      <c r="A661" s="36">
        <f t="shared" si="225"/>
        <v>0.74711806712962969</v>
      </c>
      <c r="B661" s="42">
        <f t="shared" si="210"/>
        <v>42.092148429876481</v>
      </c>
      <c r="C661" s="43">
        <f t="shared" si="211"/>
        <v>111.46015820429167</v>
      </c>
      <c r="D661" s="18">
        <f t="shared" si="212"/>
        <v>11.835244943692487</v>
      </c>
      <c r="E661" s="21" t="str">
        <f t="shared" si="213"/>
        <v>Umbra</v>
      </c>
      <c r="F661" s="23">
        <f>IF($E661&lt;&gt;"Umbra",fracil2($S$2,$S$3,$S$4,$A661,$Q$2,$O$3,$Q$4,$U661,$V661,$W661),0)</f>
        <v>0</v>
      </c>
      <c r="G661" s="19">
        <f t="shared" si="214"/>
        <v>69.300212920885613</v>
      </c>
      <c r="H661" s="19">
        <f t="shared" si="215"/>
        <v>-4.2058901243329947</v>
      </c>
      <c r="I661" s="19">
        <f t="shared" si="216"/>
        <v>-2.9978721749380997</v>
      </c>
      <c r="J661" s="28">
        <f t="shared" si="217"/>
        <v>5.2483538516466741E-3</v>
      </c>
      <c r="K661" s="24">
        <f t="shared" si="218"/>
        <v>1048.8212828958933</v>
      </c>
      <c r="L661" s="32">
        <f t="shared" si="219"/>
        <v>0.55773479534715487</v>
      </c>
      <c r="M661" s="35">
        <f t="shared" si="220"/>
        <v>13.231602095706638</v>
      </c>
      <c r="O661" s="29">
        <f t="shared" si="221"/>
        <v>1046.583944511656</v>
      </c>
      <c r="T661" s="48">
        <v>0.74711806712962969</v>
      </c>
      <c r="U661" s="29">
        <v>-1329.4804887079952</v>
      </c>
      <c r="V661" s="29">
        <v>4559.0318921425251</v>
      </c>
      <c r="W661" s="29">
        <v>4261.1367757766893</v>
      </c>
      <c r="X661" s="4">
        <v>-0.32686864656936476</v>
      </c>
      <c r="Y661" s="4">
        <v>-0.11611956287646663</v>
      </c>
      <c r="Z661" s="4">
        <v>-1.8038342730873708E-2</v>
      </c>
      <c r="AA661" s="3">
        <f t="shared" si="226"/>
        <v>0.34735032287474044</v>
      </c>
      <c r="AB661" s="3">
        <f t="shared" si="229"/>
        <v>5.5405239048600674E-3</v>
      </c>
      <c r="AC661" s="3">
        <f t="shared" si="227"/>
        <v>2.6929644033986358E-2</v>
      </c>
      <c r="AD661" s="48"/>
      <c r="AE661" s="46">
        <f t="shared" si="222"/>
        <v>42.092148429876481</v>
      </c>
      <c r="AF661" s="46">
        <f t="shared" si="223"/>
        <v>-248.53984179570833</v>
      </c>
      <c r="AG661" s="47">
        <f t="shared" si="224"/>
        <v>11835.244943692487</v>
      </c>
      <c r="AH661" s="45" t="str">
        <f t="shared" si="228"/>
        <v>-248.53984,42.09215,11835</v>
      </c>
      <c r="AI661" s="44">
        <f t="shared" si="230"/>
        <v>1021.3347500116275</v>
      </c>
    </row>
    <row r="662" spans="1:35" ht="18" customHeight="1" x14ac:dyDescent="0.25">
      <c r="A662" s="36">
        <f t="shared" si="225"/>
        <v>0.74712961805555567</v>
      </c>
      <c r="B662" s="42">
        <f t="shared" si="210"/>
        <v>42.092148425269976</v>
      </c>
      <c r="C662" s="43">
        <f t="shared" si="211"/>
        <v>111.46015894628698</v>
      </c>
      <c r="D662" s="18">
        <f t="shared" si="212"/>
        <v>11.808412397746906</v>
      </c>
      <c r="E662" s="21" t="str">
        <f t="shared" si="213"/>
        <v>Umbra</v>
      </c>
      <c r="F662" s="23">
        <f>IF($E662&lt;&gt;"Umbra",fracil2($S$2,$S$3,$S$4,$A662,$Q$2,$O$3,$Q$4,$U662,$V662,$W662),0)</f>
        <v>0</v>
      </c>
      <c r="G662" s="19">
        <f t="shared" si="214"/>
        <v>69.30021847879533</v>
      </c>
      <c r="H662" s="19">
        <f t="shared" si="215"/>
        <v>-4.2073500436669624</v>
      </c>
      <c r="I662" s="19">
        <f t="shared" si="216"/>
        <v>-2.9993320942720674</v>
      </c>
      <c r="J662" s="28">
        <f t="shared" si="217"/>
        <v>5.2458623110830252E-3</v>
      </c>
      <c r="K662" s="24">
        <f t="shared" si="218"/>
        <v>1048.8188770913059</v>
      </c>
      <c r="L662" s="32">
        <f t="shared" si="219"/>
        <v>0.55774947319892898</v>
      </c>
      <c r="M662" s="35">
        <f t="shared" si="220"/>
        <v>13.230619943986937</v>
      </c>
      <c r="O662" s="29">
        <f t="shared" si="221"/>
        <v>1046.5840040553023</v>
      </c>
      <c r="T662" s="48">
        <v>0.74712961805555567</v>
      </c>
      <c r="U662" s="29">
        <v>-1329.8067535972132</v>
      </c>
      <c r="V662" s="29">
        <v>4558.9159948514398</v>
      </c>
      <c r="W662" s="29">
        <v>4261.1187888706254</v>
      </c>
      <c r="X662" s="4">
        <v>-0.32686998540402257</v>
      </c>
      <c r="Y662" s="4">
        <v>-0.11610447543624107</v>
      </c>
      <c r="Z662" s="4">
        <v>-1.8002148462323807E-2</v>
      </c>
      <c r="AA662" s="3">
        <f t="shared" si="226"/>
        <v>0.34734466157350136</v>
      </c>
      <c r="AB662" s="3">
        <f t="shared" si="229"/>
        <v>5.5131617217923793E-3</v>
      </c>
      <c r="AC662" s="3">
        <f t="shared" si="227"/>
        <v>2.6875690094269926E-2</v>
      </c>
      <c r="AD662" s="48"/>
      <c r="AE662" s="46">
        <f t="shared" si="222"/>
        <v>42.092148425269976</v>
      </c>
      <c r="AF662" s="46">
        <f t="shared" si="223"/>
        <v>-248.53984105371302</v>
      </c>
      <c r="AG662" s="47">
        <f t="shared" si="224"/>
        <v>11808.412397746906</v>
      </c>
      <c r="AH662" s="45" t="str">
        <f t="shared" si="228"/>
        <v>-248.53984,42.09215,11808</v>
      </c>
      <c r="AI662" s="44">
        <f t="shared" si="230"/>
        <v>1021.3348842704125</v>
      </c>
    </row>
    <row r="663" spans="1:35" ht="18" customHeight="1" x14ac:dyDescent="0.25">
      <c r="A663" s="36">
        <f t="shared" si="225"/>
        <v>0.74714121527777777</v>
      </c>
      <c r="B663" s="42">
        <f t="shared" si="210"/>
        <v>42.092148420659584</v>
      </c>
      <c r="C663" s="43">
        <f t="shared" si="211"/>
        <v>111.46015839115327</v>
      </c>
      <c r="D663" s="18">
        <f t="shared" si="212"/>
        <v>11.781534731080683</v>
      </c>
      <c r="E663" s="21" t="str">
        <f t="shared" si="213"/>
        <v>Umbra</v>
      </c>
      <c r="F663" s="23">
        <f>IF($E663&lt;&gt;"Umbra",fracil2($S$2,$S$3,$S$4,$A663,$Q$2,$O$3,$Q$4,$U663,$V663,$W663),0)</f>
        <v>0</v>
      </c>
      <c r="G663" s="19">
        <f t="shared" si="214"/>
        <v>69.300222724583136</v>
      </c>
      <c r="H663" s="19">
        <f t="shared" si="215"/>
        <v>-4.2088119027424558</v>
      </c>
      <c r="I663" s="19">
        <f t="shared" si="216"/>
        <v>-3.0007939533475607</v>
      </c>
      <c r="J663" s="28">
        <f t="shared" si="217"/>
        <v>5.2433741826449854E-3</v>
      </c>
      <c r="K663" s="24">
        <f t="shared" si="218"/>
        <v>1048.816363484327</v>
      </c>
      <c r="L663" s="32">
        <f t="shared" si="219"/>
        <v>0.5577642040821299</v>
      </c>
      <c r="M663" s="35">
        <f t="shared" si="220"/>
        <v>13.229637452957249</v>
      </c>
      <c r="O663" s="29">
        <f t="shared" si="221"/>
        <v>1046.5839593054036</v>
      </c>
      <c r="T663" s="48">
        <v>0.74714121527777777</v>
      </c>
      <c r="U663" s="29">
        <v>-1330.1342258045947</v>
      </c>
      <c r="V663" s="29">
        <v>4558.7996842097282</v>
      </c>
      <c r="W663" s="29">
        <v>4261.1007717186976</v>
      </c>
      <c r="X663" s="4">
        <v>-0.32687128193521853</v>
      </c>
      <c r="Y663" s="4">
        <v>-0.11608951982120985</v>
      </c>
      <c r="Z663" s="4">
        <v>-1.7965995342018409E-2</v>
      </c>
      <c r="AA663" s="3">
        <f t="shared" si="226"/>
        <v>0.3473390109891511</v>
      </c>
      <c r="AB663" s="3">
        <f t="shared" si="229"/>
        <v>5.4848940026365305E-3</v>
      </c>
      <c r="AC663" s="3">
        <f t="shared" si="227"/>
        <v>2.6821797653939442E-2</v>
      </c>
      <c r="AD663" s="48"/>
      <c r="AE663" s="46">
        <f t="shared" si="222"/>
        <v>42.092148420659584</v>
      </c>
      <c r="AF663" s="46">
        <f t="shared" si="223"/>
        <v>-248.53984160884673</v>
      </c>
      <c r="AG663" s="47">
        <f t="shared" si="224"/>
        <v>11781.534731080683</v>
      </c>
      <c r="AH663" s="45" t="str">
        <f t="shared" si="228"/>
        <v>-248.53984,42.09215,11782</v>
      </c>
      <c r="AI663" s="44">
        <f t="shared" si="230"/>
        <v>1021.3348842704125</v>
      </c>
    </row>
    <row r="664" spans="1:35" ht="18" customHeight="1" x14ac:dyDescent="0.25">
      <c r="A664" s="36">
        <f t="shared" si="225"/>
        <v>0.74715278935185181</v>
      </c>
      <c r="B664" s="42">
        <f t="shared" si="210"/>
        <v>42.092148416070906</v>
      </c>
      <c r="C664" s="43">
        <f t="shared" si="211"/>
        <v>111.46015816926048</v>
      </c>
      <c r="D664" s="18">
        <f t="shared" si="212"/>
        <v>11.754762320879308</v>
      </c>
      <c r="E664" s="21" t="str">
        <f t="shared" si="213"/>
        <v>Umbra</v>
      </c>
      <c r="F664" s="23">
        <f>IF($E664&lt;&gt;"Umbra",fracil2($S$2,$S$3,$S$4,$A664,$Q$2,$O$3,$Q$4,$U664,$V664,$W664),0)</f>
        <v>0</v>
      </c>
      <c r="G664" s="19">
        <f t="shared" si="214"/>
        <v>69.300227290721935</v>
      </c>
      <c r="H664" s="19">
        <f t="shared" si="215"/>
        <v>-4.2102681769987313</v>
      </c>
      <c r="I664" s="19">
        <f t="shared" si="216"/>
        <v>-3.0022502276038363</v>
      </c>
      <c r="J664" s="28">
        <f t="shared" si="217"/>
        <v>5.2409034356770681E-3</v>
      </c>
      <c r="K664" s="24">
        <f t="shared" si="218"/>
        <v>1048.8138870305838</v>
      </c>
      <c r="L664" s="32">
        <f t="shared" si="219"/>
        <v>0.55777889924744539</v>
      </c>
      <c r="M664" s="35">
        <f t="shared" si="220"/>
        <v>13.228658454321781</v>
      </c>
      <c r="O664" s="29">
        <f t="shared" si="221"/>
        <v>1046.5839413497154</v>
      </c>
      <c r="T664" s="48">
        <v>0.74715278935185181</v>
      </c>
      <c r="U664" s="29">
        <v>-1330.4610716624195</v>
      </c>
      <c r="V664" s="29">
        <v>4558.683611329513</v>
      </c>
      <c r="W664" s="29">
        <v>4261.0828251246039</v>
      </c>
      <c r="X664" s="4">
        <v>-0.32687252811417905</v>
      </c>
      <c r="Y664" s="4">
        <v>-0.11607478234144503</v>
      </c>
      <c r="Z664" s="4">
        <v>-1.7930088229926238E-2</v>
      </c>
      <c r="AA664" s="3">
        <f t="shared" si="226"/>
        <v>0.34733340293628762</v>
      </c>
      <c r="AB664" s="3">
        <f t="shared" si="229"/>
        <v>5.4584502228394857E-3</v>
      </c>
      <c r="AC664" s="3">
        <f t="shared" si="227"/>
        <v>2.6768272091054441E-2</v>
      </c>
      <c r="AD664" s="48"/>
      <c r="AE664" s="46">
        <f t="shared" si="222"/>
        <v>42.092148416070906</v>
      </c>
      <c r="AF664" s="46">
        <f t="shared" si="223"/>
        <v>-248.53984183073953</v>
      </c>
      <c r="AG664" s="47">
        <f t="shared" si="224"/>
        <v>11754.762320879308</v>
      </c>
      <c r="AH664" s="45" t="str">
        <f t="shared" si="228"/>
        <v>-248.53984,42.09215,11755</v>
      </c>
      <c r="AI664" s="44">
        <f t="shared" si="230"/>
        <v>1021.3348842704125</v>
      </c>
    </row>
    <row r="665" spans="1:35" ht="18" customHeight="1" x14ac:dyDescent="0.25">
      <c r="A665" s="36">
        <f t="shared" si="225"/>
        <v>0.74716436342592596</v>
      </c>
      <c r="B665" s="42">
        <f t="shared" si="210"/>
        <v>42.092148411492175</v>
      </c>
      <c r="C665" s="43">
        <f t="shared" si="211"/>
        <v>111.46016073071185</v>
      </c>
      <c r="D665" s="18">
        <f t="shared" si="212"/>
        <v>11.728025556946704</v>
      </c>
      <c r="E665" s="21" t="str">
        <f t="shared" si="213"/>
        <v>Umbra</v>
      </c>
      <c r="F665" s="23">
        <f>IF($E665&lt;&gt;"Umbra",fracil2($S$2,$S$3,$S$4,$A665,$Q$2,$O$3,$Q$4,$U665,$V665,$W665),0)</f>
        <v>0</v>
      </c>
      <c r="G665" s="19">
        <f t="shared" si="214"/>
        <v>69.300234683376857</v>
      </c>
      <c r="H665" s="19">
        <f t="shared" si="215"/>
        <v>-4.2117236372605804</v>
      </c>
      <c r="I665" s="19">
        <f t="shared" si="216"/>
        <v>-3.0037056878656854</v>
      </c>
      <c r="J665" s="28">
        <f t="shared" si="217"/>
        <v>5.2384432928121987E-3</v>
      </c>
      <c r="K665" s="24">
        <f t="shared" si="218"/>
        <v>1048.8116384133111</v>
      </c>
      <c r="L665" s="32">
        <f t="shared" si="219"/>
        <v>0.55779358728631767</v>
      </c>
      <c r="M665" s="35">
        <f t="shared" si="220"/>
        <v>13.227677895571436</v>
      </c>
      <c r="O665" s="29">
        <f t="shared" si="221"/>
        <v>1046.5841471843182</v>
      </c>
      <c r="T665" s="48">
        <v>0.74716436342592596</v>
      </c>
      <c r="U665" s="29">
        <v>-1330.7881365259263</v>
      </c>
      <c r="V665" s="29">
        <v>4558.5674757664619</v>
      </c>
      <c r="W665" s="29">
        <v>4261.0649024259201</v>
      </c>
      <c r="X665" s="4">
        <v>-0.32687372795313585</v>
      </c>
      <c r="Y665" s="4">
        <v>-0.11606022191441784</v>
      </c>
      <c r="Z665" s="4">
        <v>-1.7894331479322973E-2</v>
      </c>
      <c r="AA665" s="3">
        <f t="shared" si="226"/>
        <v>0.3473278224327796</v>
      </c>
      <c r="AB665" s="3">
        <f t="shared" si="229"/>
        <v>5.4355766443933192E-3</v>
      </c>
      <c r="AC665" s="3">
        <f t="shared" si="227"/>
        <v>2.6714970826479171E-2</v>
      </c>
      <c r="AD665" s="48"/>
      <c r="AE665" s="46">
        <f t="shared" si="222"/>
        <v>42.092148411492175</v>
      </c>
      <c r="AF665" s="46">
        <f t="shared" si="223"/>
        <v>-248.53983926928817</v>
      </c>
      <c r="AG665" s="47">
        <f t="shared" si="224"/>
        <v>11728.025556946704</v>
      </c>
      <c r="AH665" s="45" t="str">
        <f t="shared" si="228"/>
        <v>-248.53984,42.09215,11728</v>
      </c>
      <c r="AI665" s="44">
        <f t="shared" si="230"/>
        <v>1021.3350965521926</v>
      </c>
    </row>
    <row r="666" spans="1:35" ht="18" customHeight="1" x14ac:dyDescent="0.25">
      <c r="A666" s="36">
        <f t="shared" si="225"/>
        <v>0.74717601851851845</v>
      </c>
      <c r="B666" s="42">
        <f t="shared" si="210"/>
        <v>42.092148406896357</v>
      </c>
      <c r="C666" s="43">
        <f t="shared" si="211"/>
        <v>111.46016145360002</v>
      </c>
      <c r="D666" s="18">
        <f t="shared" si="212"/>
        <v>11.701167272335624</v>
      </c>
      <c r="E666" s="21" t="str">
        <f t="shared" si="213"/>
        <v>Umbra</v>
      </c>
      <c r="F666" s="23">
        <f>IF($E666&lt;&gt;"Umbra",fracil2($S$2,$S$3,$S$4,$A666,$Q$2,$O$3,$Q$4,$U666,$V666,$W666),0)</f>
        <v>0</v>
      </c>
      <c r="G666" s="19">
        <f t="shared" si="214"/>
        <v>69.300240226515783</v>
      </c>
      <c r="H666" s="19">
        <f t="shared" si="215"/>
        <v>-4.2131849758557527</v>
      </c>
      <c r="I666" s="19">
        <f t="shared" si="216"/>
        <v>-3.0051670264608576</v>
      </c>
      <c r="J666" s="28">
        <f t="shared" si="217"/>
        <v>5.2359796995263509E-3</v>
      </c>
      <c r="K666" s="24">
        <f t="shared" si="218"/>
        <v>1048.8092314292458</v>
      </c>
      <c r="L666" s="32">
        <f t="shared" si="219"/>
        <v>0.55780837257562632</v>
      </c>
      <c r="M666" s="35">
        <f t="shared" si="220"/>
        <v>13.226694756868476</v>
      </c>
      <c r="O666" s="29">
        <f t="shared" si="221"/>
        <v>1046.5842051919508</v>
      </c>
      <c r="T666" s="48">
        <v>0.74717601851851845</v>
      </c>
      <c r="U666" s="29">
        <v>-1331.1173468252182</v>
      </c>
      <c r="V666" s="29">
        <v>4558.4505934329545</v>
      </c>
      <c r="W666" s="29">
        <v>4261.046898267482</v>
      </c>
      <c r="X666" s="4">
        <v>-0.3268748881805314</v>
      </c>
      <c r="Y666" s="4">
        <v>-0.11604575400278232</v>
      </c>
      <c r="Z666" s="4">
        <v>-1.7858515628119645E-2</v>
      </c>
      <c r="AA666" s="3">
        <f t="shared" si="226"/>
        <v>0.34732223672772372</v>
      </c>
      <c r="AB666" s="3">
        <f t="shared" si="229"/>
        <v>5.4066976091860395E-3</v>
      </c>
      <c r="AC666" s="3">
        <f t="shared" si="227"/>
        <v>2.666158162318668E-2</v>
      </c>
      <c r="AD666" s="48"/>
      <c r="AE666" s="46">
        <f t="shared" si="222"/>
        <v>42.092148406896357</v>
      </c>
      <c r="AF666" s="46">
        <f t="shared" si="223"/>
        <v>-248.53983854639998</v>
      </c>
      <c r="AG666" s="47">
        <f t="shared" si="224"/>
        <v>11701.167272335624</v>
      </c>
      <c r="AH666" s="45" t="str">
        <f t="shared" si="228"/>
        <v>-248.53984,42.09215,11701</v>
      </c>
      <c r="AI666" s="44">
        <f t="shared" si="230"/>
        <v>1021.3350965521926</v>
      </c>
    </row>
    <row r="667" spans="1:35" ht="18" customHeight="1" x14ac:dyDescent="0.25">
      <c r="A667" s="36">
        <f t="shared" si="225"/>
        <v>0.7471875</v>
      </c>
      <c r="B667" s="42">
        <f t="shared" si="210"/>
        <v>42.092148402383927</v>
      </c>
      <c r="C667" s="43">
        <f t="shared" si="211"/>
        <v>111.46016017906942</v>
      </c>
      <c r="D667" s="18">
        <f t="shared" si="212"/>
        <v>11.674774188338233</v>
      </c>
      <c r="E667" s="21" t="str">
        <f t="shared" si="213"/>
        <v>Umbra</v>
      </c>
      <c r="F667" s="23">
        <f>IF($E667&lt;&gt;"Umbra",fracil2($S$2,$S$3,$S$4,$A667,$Q$2,$O$3,$Q$4,$U667,$V667,$W667),0)</f>
        <v>0</v>
      </c>
      <c r="G667" s="19">
        <f t="shared" si="214"/>
        <v>69.300243653439694</v>
      </c>
      <c r="H667" s="19">
        <f t="shared" si="215"/>
        <v>-4.2146202127748582</v>
      </c>
      <c r="I667" s="19">
        <f t="shared" si="216"/>
        <v>-3.0066022633799632</v>
      </c>
      <c r="J667" s="28">
        <f t="shared" si="217"/>
        <v>5.2335662903758122E-3</v>
      </c>
      <c r="K667" s="24">
        <f t="shared" si="218"/>
        <v>1048.806707139235</v>
      </c>
      <c r="L667" s="32">
        <f t="shared" si="219"/>
        <v>0.55782293226257229</v>
      </c>
      <c r="M667" s="35">
        <f t="shared" si="220"/>
        <v>13.225730661165782</v>
      </c>
      <c r="O667" s="29">
        <f t="shared" si="221"/>
        <v>1046.5841026026267</v>
      </c>
      <c r="T667" s="48">
        <v>0.7471875</v>
      </c>
      <c r="U667" s="29">
        <v>-1331.4414990245054</v>
      </c>
      <c r="V667" s="29">
        <v>4558.3355214625244</v>
      </c>
      <c r="W667" s="29">
        <v>4261.0292059515214</v>
      </c>
      <c r="X667" s="4">
        <v>-0.32687598446996874</v>
      </c>
      <c r="Y667" s="4">
        <v>-0.11603169099180802</v>
      </c>
      <c r="Z667" s="4">
        <v>-1.7823420424812643E-2</v>
      </c>
      <c r="AA667" s="3">
        <f t="shared" si="226"/>
        <v>0.34731676730798544</v>
      </c>
      <c r="AB667" s="3">
        <f t="shared" si="229"/>
        <v>5.378000334920946E-3</v>
      </c>
      <c r="AC667" s="3">
        <f t="shared" si="227"/>
        <v>2.6609266845272376E-2</v>
      </c>
      <c r="AD667" s="48"/>
      <c r="AE667" s="46">
        <f t="shared" si="222"/>
        <v>42.092148402383927</v>
      </c>
      <c r="AF667" s="46">
        <f t="shared" si="223"/>
        <v>-248.53983982093058</v>
      </c>
      <c r="AG667" s="47">
        <f t="shared" si="224"/>
        <v>11674.774188338233</v>
      </c>
      <c r="AH667" s="45" t="str">
        <f t="shared" si="228"/>
        <v>-248.53984,42.09215,11675</v>
      </c>
      <c r="AI667" s="44">
        <f t="shared" si="230"/>
        <v>1021.3352308109776</v>
      </c>
    </row>
    <row r="668" spans="1:35" ht="18" customHeight="1" x14ac:dyDescent="0.25">
      <c r="A668" s="36">
        <f t="shared" si="225"/>
        <v>0.74719910879629625</v>
      </c>
      <c r="B668" s="42">
        <f t="shared" si="210"/>
        <v>42.09214839783283</v>
      </c>
      <c r="C668" s="43">
        <f t="shared" si="211"/>
        <v>111.4601603545962</v>
      </c>
      <c r="D668" s="18">
        <f t="shared" si="212"/>
        <v>11.648131795297559</v>
      </c>
      <c r="E668" s="21" t="str">
        <f t="shared" si="213"/>
        <v>Umbra</v>
      </c>
      <c r="F668" s="23">
        <f>IF($E668&lt;&gt;"Umbra",fracil2($S$2,$S$3,$S$4,$A668,$Q$2,$O$3,$Q$4,$U668,$V668,$W668),0)</f>
        <v>0</v>
      </c>
      <c r="G668" s="19">
        <f t="shared" si="214"/>
        <v>69.300248600866624</v>
      </c>
      <c r="H668" s="19">
        <f t="shared" si="215"/>
        <v>-4.2160696008663843</v>
      </c>
      <c r="I668" s="19">
        <f t="shared" si="216"/>
        <v>-3.0080516514714892</v>
      </c>
      <c r="J668" s="28">
        <f t="shared" si="217"/>
        <v>5.2311373394932211E-3</v>
      </c>
      <c r="K668" s="24">
        <f t="shared" si="218"/>
        <v>1048.8042772806166</v>
      </c>
      <c r="L668" s="32">
        <f t="shared" si="219"/>
        <v>0.55783764680888648</v>
      </c>
      <c r="M668" s="35">
        <f t="shared" si="220"/>
        <v>13.224755946798995</v>
      </c>
      <c r="O668" s="29">
        <f t="shared" si="221"/>
        <v>1046.5841166017128</v>
      </c>
      <c r="T668" s="48">
        <v>0.74719910879629625</v>
      </c>
      <c r="U668" s="29">
        <v>-1331.7693613174588</v>
      </c>
      <c r="V668" s="29">
        <v>4558.219146911978</v>
      </c>
      <c r="W668" s="29">
        <v>4261.0113465142967</v>
      </c>
      <c r="X668" s="4">
        <v>-0.32687704714090704</v>
      </c>
      <c r="Y668" s="4">
        <v>-0.11601764985862068</v>
      </c>
      <c r="Z668" s="4">
        <v>-1.7788094143445992E-2</v>
      </c>
      <c r="AA668" s="3">
        <f t="shared" si="226"/>
        <v>0.34731126575383697</v>
      </c>
      <c r="AB668" s="3">
        <f t="shared" si="229"/>
        <v>5.3540254007135406E-3</v>
      </c>
      <c r="AC668" s="3">
        <f t="shared" si="227"/>
        <v>2.6556607767473962E-2</v>
      </c>
      <c r="AD668" s="48"/>
      <c r="AE668" s="46">
        <f t="shared" si="222"/>
        <v>42.09214839783283</v>
      </c>
      <c r="AF668" s="46">
        <f t="shared" si="223"/>
        <v>-248.53983964540379</v>
      </c>
      <c r="AG668" s="47">
        <f t="shared" si="224"/>
        <v>11648.131795297559</v>
      </c>
      <c r="AH668" s="45" t="str">
        <f t="shared" si="228"/>
        <v>-248.53984,42.09215,11648</v>
      </c>
      <c r="AI668" s="44">
        <f t="shared" si="230"/>
        <v>1021.3352308109776</v>
      </c>
    </row>
    <row r="669" spans="1:35" ht="18" customHeight="1" x14ac:dyDescent="0.25">
      <c r="A669" s="36">
        <f t="shared" si="225"/>
        <v>0.74721076388888896</v>
      </c>
      <c r="B669" s="42">
        <f t="shared" si="210"/>
        <v>42.092148393275565</v>
      </c>
      <c r="C669" s="43">
        <f t="shared" si="211"/>
        <v>111.46016152990082</v>
      </c>
      <c r="D669" s="18">
        <f t="shared" si="212"/>
        <v>11.621429861424076</v>
      </c>
      <c r="E669" s="21" t="str">
        <f t="shared" si="213"/>
        <v>Umbra</v>
      </c>
      <c r="F669" s="23">
        <f>IF($E669&lt;&gt;"Umbra",fracil2($S$2,$S$3,$S$4,$A669,$Q$2,$O$3,$Q$4,$U669,$V669,$W669),0)</f>
        <v>0</v>
      </c>
      <c r="G669" s="19">
        <f t="shared" si="214"/>
        <v>69.300254576536133</v>
      </c>
      <c r="H669" s="19">
        <f t="shared" si="215"/>
        <v>-4.2175226358716644</v>
      </c>
      <c r="I669" s="19">
        <f t="shared" si="216"/>
        <v>-3.0095046864767694</v>
      </c>
      <c r="J669" s="28">
        <f t="shared" si="217"/>
        <v>5.2287103362407949E-3</v>
      </c>
      <c r="K669" s="24">
        <f t="shared" si="218"/>
        <v>1048.801923053039</v>
      </c>
      <c r="L669" s="32">
        <f t="shared" si="219"/>
        <v>0.55785241356439985</v>
      </c>
      <c r="M669" s="35">
        <f t="shared" si="220"/>
        <v>13.223778015756677</v>
      </c>
      <c r="O669" s="29">
        <f t="shared" si="221"/>
        <v>1046.5842109860926</v>
      </c>
      <c r="T669" s="48">
        <v>0.74721076388888896</v>
      </c>
      <c r="U669" s="29">
        <v>-1332.0986103803798</v>
      </c>
      <c r="V669" s="29">
        <v>4558.1022945807417</v>
      </c>
      <c r="W669" s="29">
        <v>4260.9934471648585</v>
      </c>
      <c r="X669" s="4">
        <v>-0.32687806769768807</v>
      </c>
      <c r="Y669" s="4">
        <v>-0.11600373378557537</v>
      </c>
      <c r="Z669" s="4">
        <v>-1.7752790568931486E-2</v>
      </c>
      <c r="AA669" s="3">
        <f t="shared" si="226"/>
        <v>0.34730577157161285</v>
      </c>
      <c r="AB669" s="3">
        <f t="shared" si="229"/>
        <v>5.3293152179053954E-3</v>
      </c>
      <c r="AC669" s="3">
        <f t="shared" si="227"/>
        <v>2.6503982687591462E-2</v>
      </c>
      <c r="AD669" s="48"/>
      <c r="AE669" s="46">
        <f t="shared" si="222"/>
        <v>42.092148393275565</v>
      </c>
      <c r="AF669" s="46">
        <f t="shared" si="223"/>
        <v>-248.5398384700992</v>
      </c>
      <c r="AG669" s="47">
        <f t="shared" si="224"/>
        <v>11621.429861424076</v>
      </c>
      <c r="AH669" s="45" t="str">
        <f t="shared" si="228"/>
        <v>-248.53984,42.09215,11621</v>
      </c>
      <c r="AI669" s="44">
        <f t="shared" si="230"/>
        <v>1021.3352308109776</v>
      </c>
    </row>
    <row r="670" spans="1:35" ht="18" customHeight="1" x14ac:dyDescent="0.25">
      <c r="A670" s="36">
        <f t="shared" si="225"/>
        <v>0.74722230324074079</v>
      </c>
      <c r="B670" s="42">
        <f t="shared" si="210"/>
        <v>42.092148388776813</v>
      </c>
      <c r="C670" s="43">
        <f t="shared" si="211"/>
        <v>111.46016220941696</v>
      </c>
      <c r="D670" s="18">
        <f t="shared" si="212"/>
        <v>11.595048283644246</v>
      </c>
      <c r="E670" s="21" t="str">
        <f t="shared" si="213"/>
        <v>Umbra</v>
      </c>
      <c r="F670" s="23">
        <f>IF($E670&lt;&gt;"Umbra",fracil2($S$2,$S$3,$S$4,$A670,$Q$2,$O$3,$Q$4,$U670,$V670,$W670),0)</f>
        <v>0</v>
      </c>
      <c r="G670" s="19">
        <f t="shared" si="214"/>
        <v>69.300259990268884</v>
      </c>
      <c r="H670" s="19">
        <f t="shared" si="215"/>
        <v>-4.2189580512595519</v>
      </c>
      <c r="I670" s="19">
        <f t="shared" si="216"/>
        <v>-3.0109401018646569</v>
      </c>
      <c r="J670" s="28">
        <f t="shared" si="217"/>
        <v>5.226319755285991E-3</v>
      </c>
      <c r="K670" s="24">
        <f t="shared" si="218"/>
        <v>1048.7995589864361</v>
      </c>
      <c r="L670" s="32">
        <f t="shared" si="219"/>
        <v>0.55786702783354547</v>
      </c>
      <c r="M670" s="35">
        <f t="shared" si="220"/>
        <v>13.222812294231812</v>
      </c>
      <c r="O670" s="29">
        <f t="shared" si="221"/>
        <v>1046.584265508902</v>
      </c>
      <c r="T670" s="48">
        <v>0.74722230324074079</v>
      </c>
      <c r="U670" s="29">
        <v>-1332.4245529863008</v>
      </c>
      <c r="V670" s="29">
        <v>4557.9866297964754</v>
      </c>
      <c r="W670" s="29">
        <v>4260.9757625629427</v>
      </c>
      <c r="X670" s="4">
        <v>-0.32687903248558497</v>
      </c>
      <c r="Y670" s="4">
        <v>-0.11599013765865634</v>
      </c>
      <c r="Z670" s="4">
        <v>-1.7718009677052022E-2</v>
      </c>
      <c r="AA670" s="3">
        <f t="shared" si="226"/>
        <v>0.34730036248138624</v>
      </c>
      <c r="AB670" s="3">
        <f t="shared" si="229"/>
        <v>5.3030594678292239E-3</v>
      </c>
      <c r="AC670" s="3">
        <f t="shared" si="227"/>
        <v>2.645213689185345E-2</v>
      </c>
      <c r="AD670" s="48"/>
      <c r="AE670" s="46">
        <f t="shared" si="222"/>
        <v>42.092148388776813</v>
      </c>
      <c r="AF670" s="46">
        <f t="shared" si="223"/>
        <v>-248.53983779058302</v>
      </c>
      <c r="AG670" s="47">
        <f t="shared" si="224"/>
        <v>11595.048283644246</v>
      </c>
      <c r="AH670" s="45" t="str">
        <f t="shared" si="228"/>
        <v>-248.53984,42.09215,11595</v>
      </c>
      <c r="AI670" s="44">
        <f t="shared" si="230"/>
        <v>1021.3352308109776</v>
      </c>
    </row>
    <row r="671" spans="1:35" ht="18" customHeight="1" x14ac:dyDescent="0.25">
      <c r="A671" s="36">
        <f t="shared" si="225"/>
        <v>0.7472339004629629</v>
      </c>
      <c r="B671" s="42">
        <f t="shared" si="210"/>
        <v>42.092148384270025</v>
      </c>
      <c r="C671" s="43">
        <f t="shared" si="211"/>
        <v>111.46016116194423</v>
      </c>
      <c r="D671" s="18">
        <f t="shared" si="212"/>
        <v>11.568597324050643</v>
      </c>
      <c r="E671" s="21" t="str">
        <f t="shared" si="213"/>
        <v>Umbra</v>
      </c>
      <c r="F671" s="23">
        <f>IF($E671&lt;&gt;"Umbra",fracil2($S$2,$S$3,$S$4,$A671,$Q$2,$O$3,$Q$4,$U671,$V671,$W671),0)</f>
        <v>0</v>
      </c>
      <c r="G671" s="19">
        <f t="shared" si="214"/>
        <v>69.300263658716801</v>
      </c>
      <c r="H671" s="19">
        <f t="shared" si="215"/>
        <v>-4.2203965548010034</v>
      </c>
      <c r="I671" s="19">
        <f t="shared" si="216"/>
        <v>-3.0123786054061084</v>
      </c>
      <c r="J671" s="28">
        <f t="shared" si="217"/>
        <v>5.2239304146219382E-3</v>
      </c>
      <c r="K671" s="24">
        <f t="shared" si="218"/>
        <v>1048.797050305333</v>
      </c>
      <c r="L671" s="32">
        <f t="shared" si="219"/>
        <v>0.55788171000776055</v>
      </c>
      <c r="M671" s="35">
        <f t="shared" si="220"/>
        <v>13.221845784923511</v>
      </c>
      <c r="O671" s="29">
        <f t="shared" si="221"/>
        <v>1046.5841811759192</v>
      </c>
      <c r="T671" s="48">
        <v>0.7472339004629629</v>
      </c>
      <c r="U671" s="29">
        <v>-1332.7519958094156</v>
      </c>
      <c r="V671" s="29">
        <v>4557.8704465376177</v>
      </c>
      <c r="W671" s="29">
        <v>4260.9580314520072</v>
      </c>
      <c r="X671" s="4">
        <v>-0.32687995568256129</v>
      </c>
      <c r="Y671" s="4">
        <v>-0.11597666074271118</v>
      </c>
      <c r="Z671" s="4">
        <v>-1.768323835493817E-2</v>
      </c>
      <c r="AA671" s="3">
        <f t="shared" si="226"/>
        <v>0.34729495847590519</v>
      </c>
      <c r="AB671" s="3">
        <f t="shared" si="229"/>
        <v>5.2751298318059626E-3</v>
      </c>
      <c r="AC671" s="3">
        <f t="shared" si="227"/>
        <v>2.6400305512877028E-2</v>
      </c>
      <c r="AD671" s="48"/>
      <c r="AE671" s="46">
        <f t="shared" si="222"/>
        <v>42.092148384270025</v>
      </c>
      <c r="AF671" s="46">
        <f t="shared" si="223"/>
        <v>-248.53983883805577</v>
      </c>
      <c r="AG671" s="47">
        <f t="shared" si="224"/>
        <v>11568.597324050643</v>
      </c>
      <c r="AH671" s="45" t="str">
        <f t="shared" si="228"/>
        <v>-248.53984,42.09215,11569</v>
      </c>
      <c r="AI671" s="44">
        <f t="shared" si="230"/>
        <v>1021.3353257462755</v>
      </c>
    </row>
    <row r="672" spans="1:35" ht="18" customHeight="1" x14ac:dyDescent="0.25">
      <c r="A672" s="36">
        <f t="shared" si="225"/>
        <v>0.74724539351851849</v>
      </c>
      <c r="B672" s="42">
        <f t="shared" si="210"/>
        <v>42.09214837981559</v>
      </c>
      <c r="C672" s="43">
        <f t="shared" si="211"/>
        <v>111.46016055610616</v>
      </c>
      <c r="D672" s="18">
        <f t="shared" si="212"/>
        <v>11.542432361048668</v>
      </c>
      <c r="E672" s="21" t="str">
        <f t="shared" si="213"/>
        <v>Umbra</v>
      </c>
      <c r="F672" s="23">
        <f>IF($E672&lt;&gt;"Umbra",fracil2($S$2,$S$3,$S$4,$A672,$Q$2,$O$3,$Q$4,$U672,$V672,$W672),0)</f>
        <v>0</v>
      </c>
      <c r="G672" s="19">
        <f t="shared" si="214"/>
        <v>69.300267725483835</v>
      </c>
      <c r="H672" s="19">
        <f t="shared" si="215"/>
        <v>-4.2218196840802351</v>
      </c>
      <c r="I672" s="19">
        <f t="shared" si="216"/>
        <v>-3.0138017346853401</v>
      </c>
      <c r="J672" s="28">
        <f t="shared" si="217"/>
        <v>5.2215740285700045E-3</v>
      </c>
      <c r="K672" s="24">
        <f t="shared" si="218"/>
        <v>1048.7946040128675</v>
      </c>
      <c r="L672" s="32">
        <f t="shared" si="219"/>
        <v>0.55789625425110023</v>
      </c>
      <c r="M672" s="35">
        <f t="shared" si="220"/>
        <v>13.220889269928005</v>
      </c>
      <c r="O672" s="29">
        <f t="shared" si="221"/>
        <v>1046.5841323531217</v>
      </c>
      <c r="T672" s="48">
        <v>0.74724539351851849</v>
      </c>
      <c r="U672" s="29">
        <v>-1333.0765322652551</v>
      </c>
      <c r="V672" s="29">
        <v>4557.7553080642883</v>
      </c>
      <c r="W672" s="29">
        <v>4260.9404920560546</v>
      </c>
      <c r="X672" s="4">
        <v>-0.32688082597375029</v>
      </c>
      <c r="Y672" s="4">
        <v>-0.11596348025188719</v>
      </c>
      <c r="Z672" s="4">
        <v>-1.7648940650406491E-2</v>
      </c>
      <c r="AA672" s="3">
        <f t="shared" si="226"/>
        <v>0.34728963164409704</v>
      </c>
      <c r="AB672" s="3">
        <f t="shared" si="229"/>
        <v>5.2504218196769668E-3</v>
      </c>
      <c r="AC672" s="3">
        <f t="shared" si="227"/>
        <v>2.6349180275967672E-2</v>
      </c>
      <c r="AD672" s="48"/>
      <c r="AE672" s="46">
        <f t="shared" si="222"/>
        <v>42.09214837981559</v>
      </c>
      <c r="AF672" s="46">
        <f t="shared" si="223"/>
        <v>-248.53983944389384</v>
      </c>
      <c r="AG672" s="47">
        <f t="shared" si="224"/>
        <v>11542.432361048668</v>
      </c>
      <c r="AH672" s="45" t="str">
        <f t="shared" si="228"/>
        <v>-248.53984,42.09215,11542</v>
      </c>
      <c r="AI672" s="44">
        <f t="shared" si="230"/>
        <v>1021.3354206815735</v>
      </c>
    </row>
    <row r="673" spans="1:35" ht="18" customHeight="1" x14ac:dyDescent="0.25">
      <c r="A673" s="36">
        <f t="shared" si="225"/>
        <v>0.74725694444444446</v>
      </c>
      <c r="B673" s="42">
        <f t="shared" si="210"/>
        <v>42.092148375349524</v>
      </c>
      <c r="C673" s="43">
        <f t="shared" si="211"/>
        <v>111.46016137065691</v>
      </c>
      <c r="D673" s="18">
        <f t="shared" si="212"/>
        <v>11.516177753960619</v>
      </c>
      <c r="E673" s="21" t="str">
        <f t="shared" si="213"/>
        <v>Umbra</v>
      </c>
      <c r="F673" s="23">
        <f>IF($E673&lt;&gt;"Umbra",fracil2($S$2,$S$3,$S$4,$A673,$Q$2,$O$3,$Q$4,$U673,$V673,$W673),0)</f>
        <v>0</v>
      </c>
      <c r="G673" s="19">
        <f t="shared" si="214"/>
        <v>69.300273253977267</v>
      </c>
      <c r="H673" s="19">
        <f t="shared" si="215"/>
        <v>-4.2232482660516579</v>
      </c>
      <c r="I673" s="19">
        <f t="shared" si="216"/>
        <v>-3.0152303166567629</v>
      </c>
      <c r="J673" s="28">
        <f t="shared" si="217"/>
        <v>5.2192167252250871E-3</v>
      </c>
      <c r="K673" s="24">
        <f t="shared" si="218"/>
        <v>1048.7922644084622</v>
      </c>
      <c r="L673" s="32">
        <f t="shared" si="219"/>
        <v>0.55791086532628242</v>
      </c>
      <c r="M673" s="35">
        <f t="shared" si="220"/>
        <v>13.219928007557101</v>
      </c>
      <c r="O673" s="29">
        <f t="shared" si="221"/>
        <v>1046.5841977339778</v>
      </c>
      <c r="T673" s="48">
        <v>0.74725694444444446</v>
      </c>
      <c r="U673" s="29">
        <v>-1333.4028150842948</v>
      </c>
      <c r="V673" s="29">
        <v>4557.639563422852</v>
      </c>
      <c r="W673" s="29">
        <v>4260.9228925684747</v>
      </c>
      <c r="X673" s="4">
        <v>-0.32688165578467915</v>
      </c>
      <c r="Y673" s="4">
        <v>-0.1159504070756569</v>
      </c>
      <c r="Z673" s="4">
        <v>-1.7614624730595149E-2</v>
      </c>
      <c r="AA673" s="3">
        <f t="shared" si="226"/>
        <v>0.34728430542416355</v>
      </c>
      <c r="AB673" s="3">
        <f t="shared" si="229"/>
        <v>5.2268761063134729E-3</v>
      </c>
      <c r="AC673" s="3">
        <f t="shared" si="227"/>
        <v>2.6298028038363147E-2</v>
      </c>
      <c r="AD673" s="48"/>
      <c r="AE673" s="46">
        <f t="shared" si="222"/>
        <v>42.092148375349524</v>
      </c>
      <c r="AF673" s="46">
        <f t="shared" si="223"/>
        <v>-248.53983862934308</v>
      </c>
      <c r="AG673" s="47">
        <f t="shared" si="224"/>
        <v>11516.177753960619</v>
      </c>
      <c r="AH673" s="45" t="str">
        <f t="shared" si="228"/>
        <v>-248.53984,42.09215,11516</v>
      </c>
      <c r="AI673" s="44">
        <f t="shared" si="230"/>
        <v>1021.3354206815735</v>
      </c>
    </row>
    <row r="674" spans="1:35" ht="18" customHeight="1" x14ac:dyDescent="0.25">
      <c r="A674" s="36">
        <f t="shared" si="225"/>
        <v>0.74726855324074071</v>
      </c>
      <c r="B674" s="42">
        <f t="shared" si="210"/>
        <v>42.092148370875123</v>
      </c>
      <c r="C674" s="43">
        <f t="shared" si="211"/>
        <v>111.46016065255259</v>
      </c>
      <c r="D674" s="18">
        <f t="shared" si="212"/>
        <v>11.489852614020492</v>
      </c>
      <c r="E674" s="21" t="str">
        <f t="shared" si="213"/>
        <v>Umbra</v>
      </c>
      <c r="F674" s="23">
        <f>IF($E674&lt;&gt;"Umbra",fracil2($S$2,$S$3,$S$4,$A674,$Q$2,$O$3,$Q$4,$U674,$V674,$W674),0)</f>
        <v>0</v>
      </c>
      <c r="G674" s="19">
        <f t="shared" si="214"/>
        <v>69.300277235185646</v>
      </c>
      <c r="H674" s="19">
        <f t="shared" si="215"/>
        <v>-4.2246800771997819</v>
      </c>
      <c r="I674" s="19">
        <f t="shared" si="216"/>
        <v>-3.0166621278048869</v>
      </c>
      <c r="J674" s="28">
        <f t="shared" si="217"/>
        <v>5.2168603134254707E-3</v>
      </c>
      <c r="K674" s="24">
        <f t="shared" si="218"/>
        <v>1048.7897957152986</v>
      </c>
      <c r="L674" s="32">
        <f t="shared" si="219"/>
        <v>0.55792554422977647</v>
      </c>
      <c r="M674" s="35">
        <f t="shared" si="220"/>
        <v>13.218965716233555</v>
      </c>
      <c r="O674" s="29">
        <f t="shared" si="221"/>
        <v>1046.5841398841037</v>
      </c>
      <c r="T674" s="48">
        <v>0.74726855324074071</v>
      </c>
      <c r="U674" s="29">
        <v>-1333.7306132025226</v>
      </c>
      <c r="V674" s="29">
        <v>4557.5232945887119</v>
      </c>
      <c r="W674" s="29">
        <v>4260.9052458002789</v>
      </c>
      <c r="X674" s="4">
        <v>-0.32688244494535829</v>
      </c>
      <c r="Y674" s="4">
        <v>-0.11593744919877269</v>
      </c>
      <c r="Z674" s="4">
        <v>-1.7580313687478224E-2</v>
      </c>
      <c r="AA674" s="3">
        <f t="shared" si="226"/>
        <v>0.34727898348377395</v>
      </c>
      <c r="AB674" s="3">
        <f t="shared" si="229"/>
        <v>5.2000652328292058E-3</v>
      </c>
      <c r="AC674" s="3">
        <f t="shared" si="227"/>
        <v>2.624688322317122E-2</v>
      </c>
      <c r="AD674" s="48"/>
      <c r="AE674" s="46">
        <f t="shared" si="222"/>
        <v>42.092148370875123</v>
      </c>
      <c r="AF674" s="46">
        <f t="shared" si="223"/>
        <v>-248.53983934744741</v>
      </c>
      <c r="AG674" s="47">
        <f t="shared" si="224"/>
        <v>11489.852614020492</v>
      </c>
      <c r="AH674" s="45" t="str">
        <f t="shared" si="228"/>
        <v>-248.53984,42.09215,11490</v>
      </c>
      <c r="AI674" s="44">
        <f t="shared" si="230"/>
        <v>1021.3354206815735</v>
      </c>
    </row>
    <row r="675" spans="1:35" ht="18" customHeight="1" x14ac:dyDescent="0.25">
      <c r="A675" s="36">
        <f t="shared" si="225"/>
        <v>0.7472800810185185</v>
      </c>
      <c r="B675" s="42">
        <f t="shared" si="210"/>
        <v>42.092148366443695</v>
      </c>
      <c r="C675" s="43">
        <f t="shared" si="211"/>
        <v>111.46016044288335</v>
      </c>
      <c r="D675" s="18">
        <f t="shared" si="212"/>
        <v>11.463758712759045</v>
      </c>
      <c r="E675" s="21" t="str">
        <f t="shared" si="213"/>
        <v>Umbra</v>
      </c>
      <c r="F675" s="23">
        <f>IF($E675&lt;&gt;"Umbra",fracil2($S$2,$S$3,$S$4,$A675,$Q$2,$O$3,$Q$4,$U675,$V675,$W675),0)</f>
        <v>0</v>
      </c>
      <c r="G675" s="19">
        <f t="shared" si="214"/>
        <v>69.300281692502082</v>
      </c>
      <c r="H675" s="19">
        <f t="shared" si="215"/>
        <v>-4.2260995192214841</v>
      </c>
      <c r="I675" s="19">
        <f t="shared" si="216"/>
        <v>-3.018081569826589</v>
      </c>
      <c r="J675" s="28">
        <f t="shared" si="217"/>
        <v>5.2145316347459291E-3</v>
      </c>
      <c r="K675" s="24">
        <f t="shared" si="218"/>
        <v>1048.7873897432903</v>
      </c>
      <c r="L675" s="32">
        <f t="shared" si="219"/>
        <v>0.55794011465931004</v>
      </c>
      <c r="M675" s="35">
        <f t="shared" si="220"/>
        <v>13.218011348524959</v>
      </c>
      <c r="O675" s="29">
        <f t="shared" si="221"/>
        <v>1046.5841229151679</v>
      </c>
      <c r="T675" s="48">
        <v>0.7472800810185185</v>
      </c>
      <c r="U675" s="29">
        <v>-1334.056163774035</v>
      </c>
      <c r="V675" s="29">
        <v>4557.4078359949872</v>
      </c>
      <c r="W675" s="29">
        <v>4260.8877540406957</v>
      </c>
      <c r="X675" s="4">
        <v>-0.32688318454003368</v>
      </c>
      <c r="Y675" s="4">
        <v>-0.11592475460354709</v>
      </c>
      <c r="Z675" s="4">
        <v>-1.7546400679043436E-2</v>
      </c>
      <c r="AA675" s="3">
        <f t="shared" si="226"/>
        <v>0.34727372667928086</v>
      </c>
      <c r="AB675" s="3">
        <f t="shared" si="229"/>
        <v>5.1758475870545178E-3</v>
      </c>
      <c r="AC675" s="3">
        <f t="shared" si="227"/>
        <v>2.619633187917823E-2</v>
      </c>
      <c r="AD675" s="48"/>
      <c r="AE675" s="46">
        <f t="shared" si="222"/>
        <v>42.092148366443695</v>
      </c>
      <c r="AF675" s="46">
        <f t="shared" si="223"/>
        <v>-248.53983955711664</v>
      </c>
      <c r="AG675" s="47">
        <f t="shared" si="224"/>
        <v>11463.758712759045</v>
      </c>
      <c r="AH675" s="45" t="str">
        <f t="shared" si="228"/>
        <v>-248.53984,42.09215,11464</v>
      </c>
      <c r="AI675" s="44">
        <f t="shared" si="230"/>
        <v>1021.3354206815735</v>
      </c>
    </row>
    <row r="676" spans="1:35" ht="18" customHeight="1" x14ac:dyDescent="0.25">
      <c r="A676" s="36">
        <f t="shared" si="225"/>
        <v>0.74729167824074072</v>
      </c>
      <c r="B676" s="42">
        <f t="shared" si="210"/>
        <v>42.092148361995889</v>
      </c>
      <c r="C676" s="43">
        <f t="shared" si="211"/>
        <v>111.46016206037092</v>
      </c>
      <c r="D676" s="18">
        <f t="shared" si="212"/>
        <v>11.437546902532631</v>
      </c>
      <c r="E676" s="21" t="str">
        <f t="shared" si="213"/>
        <v>Umbra</v>
      </c>
      <c r="F676" s="23">
        <f>IF($E676&lt;&gt;"Umbra",fracil2($S$2,$S$3,$S$4,$A676,$Q$2,$O$3,$Q$4,$U676,$V676,$W676),0)</f>
        <v>0</v>
      </c>
      <c r="G676" s="19">
        <f t="shared" si="214"/>
        <v>69.300288030607959</v>
      </c>
      <c r="H676" s="19">
        <f t="shared" si="215"/>
        <v>-4.2275261139699385</v>
      </c>
      <c r="I676" s="19">
        <f t="shared" si="216"/>
        <v>-3.0195081645750435</v>
      </c>
      <c r="J676" s="28">
        <f t="shared" si="217"/>
        <v>5.212199502280487E-3</v>
      </c>
      <c r="K676" s="24">
        <f t="shared" si="218"/>
        <v>1048.7851205938732</v>
      </c>
      <c r="L676" s="32">
        <f t="shared" si="219"/>
        <v>0.55795476634526864</v>
      </c>
      <c r="M676" s="35">
        <f t="shared" si="220"/>
        <v>13.217050783891509</v>
      </c>
      <c r="O676" s="29">
        <f t="shared" si="221"/>
        <v>1046.5842528552469</v>
      </c>
      <c r="T676" s="48">
        <v>0.74729167824074072</v>
      </c>
      <c r="U676" s="29">
        <v>-1334.383819292955</v>
      </c>
      <c r="V676" s="29">
        <v>4557.2916438018201</v>
      </c>
      <c r="W676" s="29">
        <v>4260.8701832424395</v>
      </c>
      <c r="X676" s="4">
        <v>-0.32688388417283332</v>
      </c>
      <c r="Y676" s="4">
        <v>-0.115912154329355</v>
      </c>
      <c r="Z676" s="4">
        <v>-1.7512433028098743E-2</v>
      </c>
      <c r="AA676" s="3">
        <f t="shared" si="226"/>
        <v>0.34726846468367117</v>
      </c>
      <c r="AB676" s="3">
        <f t="shared" si="229"/>
        <v>5.1531286521561822E-3</v>
      </c>
      <c r="AC676" s="3">
        <f t="shared" si="227"/>
        <v>2.6145699236456092E-2</v>
      </c>
      <c r="AD676" s="48"/>
      <c r="AE676" s="46">
        <f t="shared" si="222"/>
        <v>42.092148361995889</v>
      </c>
      <c r="AF676" s="46">
        <f t="shared" si="223"/>
        <v>-248.53983793962908</v>
      </c>
      <c r="AG676" s="47">
        <f t="shared" si="224"/>
        <v>11437.546902532631</v>
      </c>
      <c r="AH676" s="45" t="str">
        <f t="shared" si="228"/>
        <v>-248.53984,42.09215,11438</v>
      </c>
      <c r="AI676" s="44">
        <f t="shared" si="230"/>
        <v>1021.3355549403585</v>
      </c>
    </row>
    <row r="677" spans="1:35" ht="18" customHeight="1" x14ac:dyDescent="0.25">
      <c r="A677" s="36">
        <f t="shared" si="225"/>
        <v>0.74730340277777785</v>
      </c>
      <c r="B677" s="42">
        <f t="shared" si="210"/>
        <v>42.092148357515725</v>
      </c>
      <c r="C677" s="43">
        <f t="shared" si="211"/>
        <v>111.46015975232778</v>
      </c>
      <c r="D677" s="18">
        <f t="shared" si="212"/>
        <v>11.411123449311162</v>
      </c>
      <c r="E677" s="21" t="str">
        <f t="shared" si="213"/>
        <v>Umbra</v>
      </c>
      <c r="F677" s="23">
        <f>IF($E677&lt;&gt;"Umbra",fracil2($S$2,$S$3,$S$4,$A677,$Q$2,$O$3,$Q$4,$U677,$V677,$W677),0)</f>
        <v>0</v>
      </c>
      <c r="G677" s="19">
        <f t="shared" si="214"/>
        <v>69.300290411237825</v>
      </c>
      <c r="H677" s="19">
        <f t="shared" si="215"/>
        <v>-4.2289626566586325</v>
      </c>
      <c r="I677" s="19">
        <f t="shared" si="216"/>
        <v>-3.0209447072637374</v>
      </c>
      <c r="J677" s="28">
        <f t="shared" si="217"/>
        <v>5.2098560323781077E-3</v>
      </c>
      <c r="K677" s="24">
        <f t="shared" si="218"/>
        <v>1048.7825169744372</v>
      </c>
      <c r="L677" s="32">
        <f t="shared" si="219"/>
        <v>0.55796957437376171</v>
      </c>
      <c r="M677" s="35">
        <f t="shared" si="220"/>
        <v>13.216086473462218</v>
      </c>
      <c r="O677" s="29">
        <f t="shared" si="221"/>
        <v>1046.5840671689093</v>
      </c>
      <c r="T677" s="48">
        <v>0.74730340277777785</v>
      </c>
      <c r="U677" s="29">
        <v>-1334.7147640419705</v>
      </c>
      <c r="V677" s="29">
        <v>4557.1742981674879</v>
      </c>
      <c r="W677" s="29">
        <v>4260.8524705719301</v>
      </c>
      <c r="X677" s="4">
        <v>-0.32688454597643019</v>
      </c>
      <c r="Y677" s="4">
        <v>-0.11589960456902719</v>
      </c>
      <c r="Z677" s="4">
        <v>-1.7478289570560038E-2</v>
      </c>
      <c r="AA677" s="3">
        <f t="shared" si="226"/>
        <v>0.34726317879064883</v>
      </c>
      <c r="AB677" s="3">
        <f t="shared" si="229"/>
        <v>5.1235375583090206E-3</v>
      </c>
      <c r="AC677" s="3">
        <f t="shared" si="227"/>
        <v>2.6094804688838062E-2</v>
      </c>
      <c r="AD677" s="48"/>
      <c r="AE677" s="46">
        <f t="shared" si="222"/>
        <v>42.092148357515725</v>
      </c>
      <c r="AF677" s="46">
        <f t="shared" si="223"/>
        <v>-248.5398402476722</v>
      </c>
      <c r="AG677" s="47">
        <f t="shared" si="224"/>
        <v>11411.123449311162</v>
      </c>
      <c r="AH677" s="45" t="str">
        <f t="shared" si="228"/>
        <v>-248.53984,42.09215,11411</v>
      </c>
      <c r="AI677" s="44">
        <f t="shared" si="230"/>
        <v>1021.3357448109545</v>
      </c>
    </row>
    <row r="678" spans="1:35" ht="18" customHeight="1" x14ac:dyDescent="0.25">
      <c r="A678" s="36">
        <f t="shared" si="225"/>
        <v>0.74731495370370371</v>
      </c>
      <c r="B678" s="42">
        <f t="shared" si="210"/>
        <v>42.092148353111391</v>
      </c>
      <c r="C678" s="43">
        <f t="shared" si="211"/>
        <v>111.46015999265325</v>
      </c>
      <c r="D678" s="18">
        <f t="shared" si="212"/>
        <v>11.385125906247595</v>
      </c>
      <c r="E678" s="21" t="str">
        <f t="shared" si="213"/>
        <v>Umbra</v>
      </c>
      <c r="F678" s="23">
        <f>IF($E678&lt;&gt;"Umbra",fracil2($S$2,$S$3,$S$4,$A678,$Q$2,$O$3,$Q$4,$U678,$V678,$W678),0)</f>
        <v>0</v>
      </c>
      <c r="G678" s="19">
        <f t="shared" si="214"/>
        <v>69.300295309359029</v>
      </c>
      <c r="H678" s="19">
        <f t="shared" si="215"/>
        <v>-4.2303770564586589</v>
      </c>
      <c r="I678" s="19">
        <f t="shared" si="216"/>
        <v>-3.0223591070637639</v>
      </c>
      <c r="J678" s="28">
        <f t="shared" si="217"/>
        <v>5.207557177624206E-3</v>
      </c>
      <c r="K678" s="24">
        <f t="shared" si="218"/>
        <v>1048.7801579551117</v>
      </c>
      <c r="L678" s="32">
        <f t="shared" si="219"/>
        <v>0.55798415640603205</v>
      </c>
      <c r="M678" s="35">
        <f t="shared" si="220"/>
        <v>13.215135123829285</v>
      </c>
      <c r="O678" s="29">
        <f t="shared" si="221"/>
        <v>1046.5840863816993</v>
      </c>
      <c r="T678" s="48">
        <v>0.74731495370370371</v>
      </c>
      <c r="U678" s="29">
        <v>-1335.0410056900512</v>
      </c>
      <c r="V678" s="29">
        <v>4557.05863272224</v>
      </c>
      <c r="W678" s="29">
        <v>4260.8350434059003</v>
      </c>
      <c r="X678" s="4">
        <v>-0.32688515457186068</v>
      </c>
      <c r="Y678" s="4">
        <v>-0.11588740599106201</v>
      </c>
      <c r="Z678" s="4">
        <v>-1.7444792624465095E-2</v>
      </c>
      <c r="AA678" s="3">
        <f t="shared" si="226"/>
        <v>0.34725799621681436</v>
      </c>
      <c r="AB678" s="3">
        <f t="shared" si="229"/>
        <v>5.1020560338712068E-3</v>
      </c>
      <c r="AC678" s="3">
        <f t="shared" si="227"/>
        <v>2.604487398889313E-2</v>
      </c>
      <c r="AD678" s="48"/>
      <c r="AE678" s="46">
        <f t="shared" si="222"/>
        <v>42.092148353111391</v>
      </c>
      <c r="AF678" s="46">
        <f t="shared" si="223"/>
        <v>-248.53984000734675</v>
      </c>
      <c r="AG678" s="47">
        <f t="shared" si="224"/>
        <v>11385.125906247595</v>
      </c>
      <c r="AH678" s="45" t="str">
        <f t="shared" si="228"/>
        <v>-248.53984,42.09215,11385</v>
      </c>
      <c r="AI678" s="44">
        <f t="shared" si="230"/>
        <v>1021.3357448109545</v>
      </c>
    </row>
    <row r="679" spans="1:35" ht="18" customHeight="1" x14ac:dyDescent="0.25">
      <c r="A679" s="36">
        <f t="shared" si="225"/>
        <v>0.74732645833333333</v>
      </c>
      <c r="B679" s="42">
        <f t="shared" si="210"/>
        <v>42.092148348737545</v>
      </c>
      <c r="C679" s="43">
        <f t="shared" si="211"/>
        <v>111.46015942418873</v>
      </c>
      <c r="D679" s="18">
        <f t="shared" si="212"/>
        <v>11.359287033233159</v>
      </c>
      <c r="E679" s="21" t="str">
        <f t="shared" si="213"/>
        <v>Umbra</v>
      </c>
      <c r="F679" s="23">
        <f>IF($E679&lt;&gt;"Umbra",fracil2($S$2,$S$3,$S$4,$A679,$Q$2,$O$3,$Q$4,$U679,$V679,$W679),0)</f>
        <v>0</v>
      </c>
      <c r="G679" s="19">
        <f t="shared" si="214"/>
        <v>69.300299355914149</v>
      </c>
      <c r="H679" s="19">
        <f t="shared" si="215"/>
        <v>-4.2317825070005126</v>
      </c>
      <c r="I679" s="19">
        <f t="shared" si="216"/>
        <v>-3.0237645576056176</v>
      </c>
      <c r="J679" s="28">
        <f t="shared" si="217"/>
        <v>5.2052795026078886E-3</v>
      </c>
      <c r="K679" s="24">
        <f t="shared" si="218"/>
        <v>1048.7777490289704</v>
      </c>
      <c r="L679" s="32">
        <f t="shared" si="219"/>
        <v>0.55799867458426167</v>
      </c>
      <c r="M679" s="35">
        <f t="shared" si="220"/>
        <v>13.214190390283726</v>
      </c>
      <c r="O679" s="29">
        <f t="shared" si="221"/>
        <v>1046.5840405658739</v>
      </c>
      <c r="T679" s="48">
        <v>0.74732645833333333</v>
      </c>
      <c r="U679" s="29">
        <v>-1335.3658771661655</v>
      </c>
      <c r="V679" s="29">
        <v>4556.9434652745331</v>
      </c>
      <c r="W679" s="29">
        <v>4260.8177226028893</v>
      </c>
      <c r="X679" s="4">
        <v>-0.32688571678633327</v>
      </c>
      <c r="Y679" s="4">
        <v>-0.1158754310575492</v>
      </c>
      <c r="Z679" s="4">
        <v>-1.7411597284516682E-2</v>
      </c>
      <c r="AA679" s="3">
        <f t="shared" si="226"/>
        <v>0.34725286331675642</v>
      </c>
      <c r="AB679" s="3">
        <f t="shared" si="229"/>
        <v>5.0764484020765239E-3</v>
      </c>
      <c r="AC679" s="3">
        <f t="shared" si="227"/>
        <v>2.5995393013780586E-2</v>
      </c>
      <c r="AD679" s="48"/>
      <c r="AE679" s="46">
        <f t="shared" si="222"/>
        <v>42.092148348737545</v>
      </c>
      <c r="AF679" s="46">
        <f t="shared" si="223"/>
        <v>-248.53984057581127</v>
      </c>
      <c r="AG679" s="47">
        <f t="shared" si="224"/>
        <v>11359.287033233159</v>
      </c>
      <c r="AH679" s="45" t="str">
        <f t="shared" si="228"/>
        <v>-248.53984,42.09215,11359</v>
      </c>
      <c r="AI679" s="44">
        <f t="shared" si="230"/>
        <v>1021.3357448109545</v>
      </c>
    </row>
    <row r="680" spans="1:35" ht="18" customHeight="1" x14ac:dyDescent="0.25">
      <c r="A680" s="36">
        <f t="shared" si="225"/>
        <v>0.74733805555555566</v>
      </c>
      <c r="B680" s="42">
        <f t="shared" si="210"/>
        <v>42.092148344338533</v>
      </c>
      <c r="C680" s="43">
        <f t="shared" si="211"/>
        <v>111.46016061813766</v>
      </c>
      <c r="D680" s="18">
        <f t="shared" si="212"/>
        <v>11.333278927035281</v>
      </c>
      <c r="E680" s="21" t="str">
        <f t="shared" si="213"/>
        <v>Umbra</v>
      </c>
      <c r="F680" s="23">
        <f>IF($E680&lt;&gt;"Umbra",fracil2($S$2,$S$3,$S$4,$A680,$Q$2,$O$3,$Q$4,$U680,$V680,$W680),0)</f>
        <v>0</v>
      </c>
      <c r="G680" s="19">
        <f t="shared" si="214"/>
        <v>69.300305226549611</v>
      </c>
      <c r="H680" s="19">
        <f t="shared" si="215"/>
        <v>-4.2331978757703776</v>
      </c>
      <c r="I680" s="19">
        <f t="shared" si="216"/>
        <v>-3.0251799263754826</v>
      </c>
      <c r="J680" s="28">
        <f t="shared" si="217"/>
        <v>5.202993761355152E-3</v>
      </c>
      <c r="K680" s="24">
        <f t="shared" si="218"/>
        <v>1048.7754670237216</v>
      </c>
      <c r="L680" s="32">
        <f t="shared" si="219"/>
        <v>0.5580133032212713</v>
      </c>
      <c r="M680" s="35">
        <f t="shared" si="220"/>
        <v>13.213237648727272</v>
      </c>
      <c r="O680" s="29">
        <f t="shared" si="221"/>
        <v>1046.5841364532846</v>
      </c>
      <c r="T680" s="48">
        <v>0.74733805555555566</v>
      </c>
      <c r="U680" s="29">
        <v>-1335.6935021183058</v>
      </c>
      <c r="V680" s="29">
        <v>4556.8273338756062</v>
      </c>
      <c r="W680" s="29">
        <v>4260.8002883565732</v>
      </c>
      <c r="X680" s="4">
        <v>-0.32688624037757469</v>
      </c>
      <c r="Y680" s="4">
        <v>-0.1158635255982948</v>
      </c>
      <c r="Z680" s="4">
        <v>-1.7378280155296282E-2</v>
      </c>
      <c r="AA680" s="3">
        <f t="shared" si="226"/>
        <v>0.34724771465541454</v>
      </c>
      <c r="AB680" s="3">
        <f t="shared" si="229"/>
        <v>5.0543786775242988E-3</v>
      </c>
      <c r="AC680" s="3">
        <f t="shared" si="227"/>
        <v>2.5945730649993715E-2</v>
      </c>
      <c r="AD680" s="48"/>
      <c r="AE680" s="46">
        <f t="shared" si="222"/>
        <v>42.092148344338533</v>
      </c>
      <c r="AF680" s="46">
        <f t="shared" si="223"/>
        <v>-248.53983938186235</v>
      </c>
      <c r="AG680" s="47">
        <f t="shared" si="224"/>
        <v>11333.278927035281</v>
      </c>
      <c r="AH680" s="45" t="str">
        <f t="shared" si="228"/>
        <v>-248.53984,42.09215,11333</v>
      </c>
      <c r="AI680" s="44">
        <f t="shared" si="230"/>
        <v>1021.3358397462524</v>
      </c>
    </row>
    <row r="681" spans="1:35" ht="18" customHeight="1" x14ac:dyDescent="0.25">
      <c r="A681" s="36">
        <f t="shared" si="225"/>
        <v>0.74734952546296307</v>
      </c>
      <c r="B681" s="42">
        <f t="shared" si="210"/>
        <v>42.092148339998616</v>
      </c>
      <c r="C681" s="43">
        <f t="shared" si="211"/>
        <v>111.4601625445455</v>
      </c>
      <c r="D681" s="18">
        <f t="shared" si="212"/>
        <v>11.307600600612204</v>
      </c>
      <c r="E681" s="21" t="str">
        <f t="shared" si="213"/>
        <v>Umbra</v>
      </c>
      <c r="F681" s="23">
        <f>IF($E681&lt;&gt;"Umbra",fracil2($S$2,$S$3,$S$4,$A681,$Q$2,$O$3,$Q$4,$U681,$V681,$W681),0)</f>
        <v>0</v>
      </c>
      <c r="G681" s="19">
        <f t="shared" si="214"/>
        <v>69.300311783661243</v>
      </c>
      <c r="H681" s="19">
        <f t="shared" si="215"/>
        <v>-4.2345956028984855</v>
      </c>
      <c r="I681" s="19">
        <f t="shared" si="216"/>
        <v>-3.0265776535035904</v>
      </c>
      <c r="J681" s="28">
        <f t="shared" si="217"/>
        <v>5.2007437017562675E-3</v>
      </c>
      <c r="K681" s="24">
        <f t="shared" si="218"/>
        <v>1048.7732747147541</v>
      </c>
      <c r="L681" s="32">
        <f t="shared" si="219"/>
        <v>0.5580277653461917</v>
      </c>
      <c r="M681" s="35">
        <f t="shared" si="220"/>
        <v>13.21229620882186</v>
      </c>
      <c r="O681" s="29">
        <f t="shared" si="221"/>
        <v>1046.5842912342678</v>
      </c>
      <c r="T681" s="48">
        <v>0.74734952546296307</v>
      </c>
      <c r="U681" s="29">
        <v>-1336.0175892441127</v>
      </c>
      <c r="V681" s="29">
        <v>4556.712468342841</v>
      </c>
      <c r="W681" s="29">
        <v>4260.783075174757</v>
      </c>
      <c r="X681" s="4">
        <v>-0.32688671618088544</v>
      </c>
      <c r="Y681" s="4">
        <v>-0.11585191492372997</v>
      </c>
      <c r="Z681" s="4">
        <v>-1.7345477919330752E-2</v>
      </c>
      <c r="AA681" s="3">
        <f t="shared" si="226"/>
        <v>0.34724264860651538</v>
      </c>
      <c r="AB681" s="3">
        <f t="shared" si="229"/>
        <v>5.0314875588991642E-3</v>
      </c>
      <c r="AC681" s="3">
        <f t="shared" si="227"/>
        <v>2.5896835931894149E-2</v>
      </c>
      <c r="AD681" s="48"/>
      <c r="AE681" s="46">
        <f t="shared" si="222"/>
        <v>42.092148339998616</v>
      </c>
      <c r="AF681" s="46">
        <f t="shared" si="223"/>
        <v>-248.53983745545452</v>
      </c>
      <c r="AG681" s="47">
        <f t="shared" si="224"/>
        <v>11307.600600612204</v>
      </c>
      <c r="AH681" s="45" t="str">
        <f t="shared" si="228"/>
        <v>-248.53984,42.09215,11308</v>
      </c>
      <c r="AI681" s="44">
        <f t="shared" si="230"/>
        <v>1021.3360296168484</v>
      </c>
    </row>
    <row r="682" spans="1:35" ht="18" customHeight="1" x14ac:dyDescent="0.25">
      <c r="A682" s="36">
        <f t="shared" si="225"/>
        <v>0.74736112268518518</v>
      </c>
      <c r="B682" s="42">
        <f t="shared" si="210"/>
        <v>42.092148335626682</v>
      </c>
      <c r="C682" s="43">
        <f t="shared" si="211"/>
        <v>111.46016036093053</v>
      </c>
      <c r="D682" s="18">
        <f t="shared" si="212"/>
        <v>11.281711990339318</v>
      </c>
      <c r="E682" s="21" t="str">
        <f t="shared" si="213"/>
        <v>Umbra</v>
      </c>
      <c r="F682" s="23">
        <f>IF($E682&lt;&gt;"Umbra",fracil2($S$2,$S$3,$S$4,$A682,$Q$2,$O$3,$Q$4,$U682,$V682,$W682),0)</f>
        <v>0</v>
      </c>
      <c r="G682" s="19">
        <f t="shared" si="214"/>
        <v>69.300314195284813</v>
      </c>
      <c r="H682" s="19">
        <f t="shared" si="215"/>
        <v>-4.2360031323132743</v>
      </c>
      <c r="I682" s="19">
        <f t="shared" si="216"/>
        <v>-3.0279851829183793</v>
      </c>
      <c r="J682" s="28">
        <f t="shared" si="217"/>
        <v>5.198482412927901E-3</v>
      </c>
      <c r="K682" s="24">
        <f t="shared" si="218"/>
        <v>1048.7707332227219</v>
      </c>
      <c r="L682" s="32">
        <f t="shared" si="219"/>
        <v>0.55804238386176686</v>
      </c>
      <c r="M682" s="35">
        <f t="shared" si="220"/>
        <v>13.211351259869893</v>
      </c>
      <c r="O682" s="29">
        <f t="shared" si="221"/>
        <v>1046.5841155550659</v>
      </c>
      <c r="T682" s="48">
        <v>0.74736112268518518</v>
      </c>
      <c r="U682" s="29">
        <v>-1336.3449509638924</v>
      </c>
      <c r="V682" s="29">
        <v>4556.5964539669621</v>
      </c>
      <c r="W682" s="29">
        <v>4260.7657210317866</v>
      </c>
      <c r="X682" s="4">
        <v>-0.32688715399920654</v>
      </c>
      <c r="Y682" s="4">
        <v>-0.11584035543886863</v>
      </c>
      <c r="Z682" s="4">
        <v>-1.7312501511999909E-2</v>
      </c>
      <c r="AA682" s="3">
        <f t="shared" si="226"/>
        <v>0.34723755860578703</v>
      </c>
      <c r="AB682" s="3">
        <f t="shared" si="229"/>
        <v>5.0026591087406966E-3</v>
      </c>
      <c r="AC682" s="3">
        <f t="shared" si="227"/>
        <v>2.5847681744523898E-2</v>
      </c>
      <c r="AD682" s="48"/>
      <c r="AE682" s="46">
        <f t="shared" si="222"/>
        <v>42.092148335626682</v>
      </c>
      <c r="AF682" s="46">
        <f t="shared" si="223"/>
        <v>-248.53983963906947</v>
      </c>
      <c r="AG682" s="47">
        <f t="shared" si="224"/>
        <v>11281.711990339318</v>
      </c>
      <c r="AH682" s="45" t="str">
        <f t="shared" si="228"/>
        <v>-248.53984,42.09215,11282</v>
      </c>
      <c r="AI682" s="44">
        <f t="shared" si="230"/>
        <v>1021.3362194874443</v>
      </c>
    </row>
    <row r="683" spans="1:35" ht="18" customHeight="1" x14ac:dyDescent="0.25">
      <c r="A683" s="36">
        <f t="shared" si="225"/>
        <v>0.74737273148148153</v>
      </c>
      <c r="B683" s="42">
        <f t="shared" si="210"/>
        <v>42.092148331256517</v>
      </c>
      <c r="C683" s="43">
        <f t="shared" si="211"/>
        <v>111.46016356100853</v>
      </c>
      <c r="D683" s="18">
        <f t="shared" si="212"/>
        <v>11.255813533983201</v>
      </c>
      <c r="E683" s="21" t="str">
        <f t="shared" si="213"/>
        <v>Umbra</v>
      </c>
      <c r="F683" s="23">
        <f>IF($E683&lt;&gt;"Umbra",fracil2($S$2,$S$3,$S$4,$A683,$Q$2,$O$3,$Q$4,$U683,$V683,$W683),0)</f>
        <v>0</v>
      </c>
      <c r="G683" s="19">
        <f t="shared" si="214"/>
        <v>69.300322088161494</v>
      </c>
      <c r="H683" s="19">
        <f t="shared" si="215"/>
        <v>-4.2374133564633123</v>
      </c>
      <c r="I683" s="19">
        <f t="shared" si="216"/>
        <v>-3.0293954070684173</v>
      </c>
      <c r="J683" s="28">
        <f t="shared" si="217"/>
        <v>5.196226660777549E-3</v>
      </c>
      <c r="K683" s="24">
        <f t="shared" si="218"/>
        <v>1048.7686245048315</v>
      </c>
      <c r="L683" s="32">
        <f t="shared" si="219"/>
        <v>0.55805700926927115</v>
      </c>
      <c r="M683" s="35">
        <f t="shared" si="220"/>
        <v>13.210400434446548</v>
      </c>
      <c r="O683" s="29">
        <f t="shared" si="221"/>
        <v>1046.5843727425786</v>
      </c>
      <c r="T683" s="48">
        <v>0.74737273148148153</v>
      </c>
      <c r="U683" s="29">
        <v>-1336.6730612124388</v>
      </c>
      <c r="V683" s="29">
        <v>4556.4801859985755</v>
      </c>
      <c r="W683" s="29">
        <v>4260.7483602888897</v>
      </c>
      <c r="X683" s="4">
        <v>-0.32688755045372453</v>
      </c>
      <c r="Y683" s="4">
        <v>-0.11582893656953333</v>
      </c>
      <c r="Z683" s="4">
        <v>-1.7279605593011605E-2</v>
      </c>
      <c r="AA683" s="3">
        <f t="shared" si="226"/>
        <v>0.34723248401887075</v>
      </c>
      <c r="AB683" s="3">
        <f t="shared" si="229"/>
        <v>4.9854579441930428E-3</v>
      </c>
      <c r="AC683" s="3">
        <f t="shared" si="227"/>
        <v>2.5798647681721076E-2</v>
      </c>
      <c r="AD683" s="48"/>
      <c r="AE683" s="46">
        <f t="shared" si="222"/>
        <v>42.092148331256517</v>
      </c>
      <c r="AF683" s="46">
        <f t="shared" si="223"/>
        <v>-248.53983643899147</v>
      </c>
      <c r="AG683" s="47">
        <f t="shared" si="224"/>
        <v>11255.813533983201</v>
      </c>
      <c r="AH683" s="45" t="str">
        <f t="shared" si="228"/>
        <v>-248.53984,42.09215,11256</v>
      </c>
      <c r="AI683" s="44">
        <f t="shared" si="230"/>
        <v>1021.3364880050158</v>
      </c>
    </row>
    <row r="684" spans="1:35" ht="18" customHeight="1" x14ac:dyDescent="0.25">
      <c r="A684" s="36">
        <f t="shared" si="225"/>
        <v>0.7473842824074074</v>
      </c>
      <c r="B684" s="42">
        <f t="shared" si="210"/>
        <v>42.092148326926605</v>
      </c>
      <c r="C684" s="43">
        <f t="shared" si="211"/>
        <v>111.46016036454971</v>
      </c>
      <c r="D684" s="18">
        <f t="shared" si="212"/>
        <v>11.230132244877495</v>
      </c>
      <c r="E684" s="21" t="str">
        <f t="shared" si="213"/>
        <v>Umbra</v>
      </c>
      <c r="F684" s="23">
        <f>IF($E684&lt;&gt;"Umbra",fracil2($S$2,$S$3,$S$4,$A684,$Q$2,$O$3,$Q$4,$U684,$V684,$W684),0)</f>
        <v>0</v>
      </c>
      <c r="G684" s="19">
        <f t="shared" si="214"/>
        <v>69.300323431845868</v>
      </c>
      <c r="H684" s="19">
        <f t="shared" si="215"/>
        <v>-4.2388092152557002</v>
      </c>
      <c r="I684" s="19">
        <f t="shared" si="216"/>
        <v>-3.0307912658608052</v>
      </c>
      <c r="J684" s="28">
        <f t="shared" si="217"/>
        <v>5.1939971611778841E-3</v>
      </c>
      <c r="K684" s="24">
        <f t="shared" si="218"/>
        <v>1048.7660217463956</v>
      </c>
      <c r="L684" s="32">
        <f t="shared" si="219"/>
        <v>0.55807155854011614</v>
      </c>
      <c r="M684" s="35">
        <f t="shared" si="220"/>
        <v>13.209464074639083</v>
      </c>
      <c r="O684" s="29">
        <f t="shared" si="221"/>
        <v>1046.5841156284457</v>
      </c>
      <c r="T684" s="48">
        <v>0.7473842824074074</v>
      </c>
      <c r="U684" s="29">
        <v>-1336.9990370218472</v>
      </c>
      <c r="V684" s="29">
        <v>4556.3646857817994</v>
      </c>
      <c r="W684" s="29">
        <v>4260.7311451219502</v>
      </c>
      <c r="X684" s="4">
        <v>-0.3268879018003143</v>
      </c>
      <c r="Y684" s="4">
        <v>-0.1158177592127792</v>
      </c>
      <c r="Z684" s="4">
        <v>-1.7247079754474114E-2</v>
      </c>
      <c r="AA684" s="3">
        <f t="shared" si="226"/>
        <v>0.34722746932312026</v>
      </c>
      <c r="AB684" s="3">
        <f t="shared" si="229"/>
        <v>4.9540524743912785E-3</v>
      </c>
      <c r="AC684" s="3">
        <f t="shared" si="227"/>
        <v>2.5750165402034588E-2</v>
      </c>
      <c r="AD684" s="48"/>
      <c r="AE684" s="46">
        <f t="shared" si="222"/>
        <v>42.092148326926605</v>
      </c>
      <c r="AF684" s="46">
        <f t="shared" si="223"/>
        <v>-248.53983963545028</v>
      </c>
      <c r="AG684" s="47">
        <f t="shared" si="224"/>
        <v>11230.132244877495</v>
      </c>
      <c r="AH684" s="45" t="str">
        <f t="shared" si="228"/>
        <v>-248.53984,42.09215,11230</v>
      </c>
      <c r="AI684" s="44">
        <f t="shared" si="230"/>
        <v>1021.3367565225873</v>
      </c>
    </row>
    <row r="685" spans="1:35" ht="18" customHeight="1" x14ac:dyDescent="0.25">
      <c r="A685" s="36">
        <f t="shared" si="225"/>
        <v>0.74739590277777779</v>
      </c>
      <c r="B685" s="42">
        <f t="shared" si="210"/>
        <v>42.09214832257566</v>
      </c>
      <c r="C685" s="43">
        <f t="shared" si="211"/>
        <v>111.46016355186396</v>
      </c>
      <c r="D685" s="18">
        <f t="shared" si="212"/>
        <v>11.204305908758215</v>
      </c>
      <c r="E685" s="21" t="str">
        <f t="shared" si="213"/>
        <v>Umbra</v>
      </c>
      <c r="F685" s="23">
        <f>IF($E685&lt;&gt;"Umbra",fracil2($S$2,$S$3,$S$4,$A685,$Q$2,$O$3,$Q$4,$U685,$V685,$W685),0)</f>
        <v>0</v>
      </c>
      <c r="G685" s="19">
        <f t="shared" si="214"/>
        <v>69.300331298852711</v>
      </c>
      <c r="H685" s="19">
        <f t="shared" si="215"/>
        <v>-4.2402155226957925</v>
      </c>
      <c r="I685" s="19">
        <f t="shared" si="216"/>
        <v>-3.0321975733008975</v>
      </c>
      <c r="J685" s="28">
        <f t="shared" si="217"/>
        <v>5.1917615073012605E-3</v>
      </c>
      <c r="K685" s="24">
        <f t="shared" si="218"/>
        <v>1048.7639198488098</v>
      </c>
      <c r="L685" s="32">
        <f t="shared" si="219"/>
        <v>0.55808618724267534</v>
      </c>
      <c r="M685" s="35">
        <f t="shared" si="220"/>
        <v>13.208515870776239</v>
      </c>
      <c r="O685" s="29">
        <f t="shared" si="221"/>
        <v>1046.5843717901912</v>
      </c>
      <c r="T685" s="48">
        <v>0.74739590277777779</v>
      </c>
      <c r="U685" s="29">
        <v>-1337.3274739174783</v>
      </c>
      <c r="V685" s="29">
        <v>4556.2483248561211</v>
      </c>
      <c r="W685" s="29">
        <v>4260.713832724643</v>
      </c>
      <c r="X685" s="4">
        <v>-0.32688821308870636</v>
      </c>
      <c r="Y685" s="4">
        <v>-0.1158066653113467</v>
      </c>
      <c r="Z685" s="4">
        <v>-1.721446500960061E-2</v>
      </c>
      <c r="AA685" s="3">
        <f t="shared" si="226"/>
        <v>0.34722244367613758</v>
      </c>
      <c r="AB685" s="3">
        <f t="shared" si="229"/>
        <v>4.9378920108694522E-3</v>
      </c>
      <c r="AC685" s="3">
        <f t="shared" si="227"/>
        <v>2.5701550749099682E-2</v>
      </c>
      <c r="AD685" s="48"/>
      <c r="AE685" s="46">
        <f t="shared" si="222"/>
        <v>42.09214832257566</v>
      </c>
      <c r="AF685" s="46">
        <f t="shared" si="223"/>
        <v>-248.53983644813604</v>
      </c>
      <c r="AG685" s="47">
        <f t="shared" si="224"/>
        <v>11204.305908758215</v>
      </c>
      <c r="AH685" s="45" t="str">
        <f t="shared" si="228"/>
        <v>-248.53984,42.09215,11204</v>
      </c>
      <c r="AI685" s="44">
        <f t="shared" si="230"/>
        <v>1021.3370250401588</v>
      </c>
    </row>
    <row r="686" spans="1:35" ht="18" customHeight="1" x14ac:dyDescent="0.25">
      <c r="A686" s="36">
        <f t="shared" si="225"/>
        <v>0.74740746527777768</v>
      </c>
      <c r="B686" s="42">
        <f t="shared" si="210"/>
        <v>42.092148318263291</v>
      </c>
      <c r="C686" s="43">
        <f t="shared" si="211"/>
        <v>111.46016147531589</v>
      </c>
      <c r="D686" s="18">
        <f t="shared" si="212"/>
        <v>11.178688786892963</v>
      </c>
      <c r="E686" s="21" t="str">
        <f t="shared" si="213"/>
        <v>Umbra</v>
      </c>
      <c r="F686" s="23">
        <f>IF($E686&lt;&gt;"Umbra",fracil2($S$2,$S$3,$S$4,$A686,$Q$2,$O$3,$Q$4,$U686,$V686,$W686),0)</f>
        <v>0</v>
      </c>
      <c r="G686" s="19">
        <f t="shared" si="214"/>
        <v>69.300333770920673</v>
      </c>
      <c r="H686" s="19">
        <f t="shared" si="215"/>
        <v>-4.2416083511364748</v>
      </c>
      <c r="I686" s="19">
        <f t="shared" si="216"/>
        <v>-3.0335904017415798</v>
      </c>
      <c r="J686" s="28">
        <f t="shared" si="217"/>
        <v>5.1895510352107706E-3</v>
      </c>
      <c r="K686" s="24">
        <f t="shared" si="218"/>
        <v>1048.7614142790703</v>
      </c>
      <c r="L686" s="32">
        <f t="shared" si="219"/>
        <v>0.55810073949763594</v>
      </c>
      <c r="M686" s="35">
        <f t="shared" si="220"/>
        <v>13.207580683902632</v>
      </c>
      <c r="O686" s="29">
        <f t="shared" si="221"/>
        <v>1046.5842047210149</v>
      </c>
      <c r="T686" s="48">
        <v>0.74740746527777768</v>
      </c>
      <c r="U686" s="29">
        <v>-1337.6538649014778</v>
      </c>
      <c r="V686" s="29">
        <v>4556.1326998324657</v>
      </c>
      <c r="W686" s="29">
        <v>4260.6966605720618</v>
      </c>
      <c r="X686" s="4">
        <v>-0.32688848085790512</v>
      </c>
      <c r="Y686" s="4">
        <v>-0.11579580419447905</v>
      </c>
      <c r="Z686" s="4">
        <v>-1.7182206186611072E-2</v>
      </c>
      <c r="AA686" s="3">
        <f t="shared" si="226"/>
        <v>0.34721747564901501</v>
      </c>
      <c r="AB686" s="3">
        <f t="shared" si="229"/>
        <v>4.9084346742513845E-3</v>
      </c>
      <c r="AC686" s="3">
        <f t="shared" si="227"/>
        <v>2.5653466770794824E-2</v>
      </c>
      <c r="AD686" s="48"/>
      <c r="AE686" s="46">
        <f t="shared" si="222"/>
        <v>42.092148318263291</v>
      </c>
      <c r="AF686" s="46">
        <f t="shared" si="223"/>
        <v>-248.53983852468411</v>
      </c>
      <c r="AG686" s="47">
        <f t="shared" si="224"/>
        <v>11178.688786892963</v>
      </c>
      <c r="AH686" s="45" t="str">
        <f t="shared" si="228"/>
        <v>-248.53984,42.09215,11179</v>
      </c>
      <c r="AI686" s="44">
        <f t="shared" si="230"/>
        <v>1021.3371894729181</v>
      </c>
    </row>
    <row r="687" spans="1:35" ht="18" customHeight="1" x14ac:dyDescent="0.25">
      <c r="A687" s="36">
        <f t="shared" si="225"/>
        <v>0.74741905092592598</v>
      </c>
      <c r="B687" s="42">
        <f t="shared" si="210"/>
        <v>42.092148313951519</v>
      </c>
      <c r="C687" s="43">
        <f t="shared" si="211"/>
        <v>111.46016171425427</v>
      </c>
      <c r="D687" s="18">
        <f t="shared" si="212"/>
        <v>11.153054252799848</v>
      </c>
      <c r="E687" s="21" t="str">
        <f t="shared" si="213"/>
        <v>Umbra</v>
      </c>
      <c r="F687" s="23">
        <f>IF($E687&lt;&gt;"Umbra",fracil2($S$2,$S$3,$S$4,$A687,$Q$2,$O$3,$Q$4,$U687,$V687,$W687),0)</f>
        <v>0</v>
      </c>
      <c r="G687" s="19">
        <f t="shared" si="214"/>
        <v>69.300338602799698</v>
      </c>
      <c r="H687" s="19">
        <f t="shared" si="215"/>
        <v>-4.2430030581976057</v>
      </c>
      <c r="I687" s="19">
        <f t="shared" si="216"/>
        <v>-3.0349851088027107</v>
      </c>
      <c r="J687" s="28">
        <f t="shared" si="217"/>
        <v>5.1873456706535998E-3</v>
      </c>
      <c r="K687" s="24">
        <f t="shared" si="218"/>
        <v>1048.759093987223</v>
      </c>
      <c r="L687" s="32">
        <f t="shared" si="219"/>
        <v>0.55811531445520102</v>
      </c>
      <c r="M687" s="35">
        <f t="shared" si="220"/>
        <v>13.206642479459953</v>
      </c>
      <c r="O687" s="29">
        <f t="shared" si="221"/>
        <v>1046.5842238246023</v>
      </c>
      <c r="T687" s="48">
        <v>0.74741905092592598</v>
      </c>
      <c r="U687" s="29">
        <v>-1337.9810910786391</v>
      </c>
      <c r="V687" s="29">
        <v>4556.0167898305117</v>
      </c>
      <c r="W687" s="29">
        <v>4260.6794767476831</v>
      </c>
      <c r="X687" s="4">
        <v>-0.32688870738970699</v>
      </c>
      <c r="Y687" s="4">
        <v>-0.11578507996548425</v>
      </c>
      <c r="Z687" s="4">
        <v>-1.7150018526275464E-2</v>
      </c>
      <c r="AA687" s="3">
        <f t="shared" si="226"/>
        <v>0.347212521227243</v>
      </c>
      <c r="AB687" s="3">
        <f t="shared" si="229"/>
        <v>4.887806342825104E-3</v>
      </c>
      <c r="AC687" s="3">
        <f t="shared" si="227"/>
        <v>2.5605489011967481E-2</v>
      </c>
      <c r="AD687" s="48"/>
      <c r="AE687" s="46">
        <f t="shared" si="222"/>
        <v>42.092148313951519</v>
      </c>
      <c r="AF687" s="46">
        <f t="shared" si="223"/>
        <v>-248.53983828574573</v>
      </c>
      <c r="AG687" s="47">
        <f t="shared" si="224"/>
        <v>11153.054252799848</v>
      </c>
      <c r="AH687" s="45" t="str">
        <f t="shared" si="228"/>
        <v>-248.53984,42.09215,11153</v>
      </c>
      <c r="AI687" s="44">
        <f t="shared" si="230"/>
        <v>1021.3371894729181</v>
      </c>
    </row>
    <row r="688" spans="1:35" ht="18" customHeight="1" x14ac:dyDescent="0.25">
      <c r="A688" s="36">
        <f t="shared" si="225"/>
        <v>0.7474306249999999</v>
      </c>
      <c r="B688" s="42">
        <f t="shared" si="210"/>
        <v>42.092148309653631</v>
      </c>
      <c r="C688" s="43">
        <f t="shared" si="211"/>
        <v>111.46016366336728</v>
      </c>
      <c r="D688" s="18">
        <f t="shared" si="212"/>
        <v>11.127482751131538</v>
      </c>
      <c r="E688" s="21" t="str">
        <f t="shared" si="213"/>
        <v>Umbra</v>
      </c>
      <c r="F688" s="23">
        <f>IF($E688&lt;&gt;"Umbra",fracil2($S$2,$S$3,$S$4,$A688,$Q$2,$O$3,$Q$4,$U688,$V688,$W688),0)</f>
        <v>0</v>
      </c>
      <c r="G688" s="19">
        <f t="shared" si="214"/>
        <v>69.300345164009173</v>
      </c>
      <c r="H688" s="19">
        <f t="shared" si="215"/>
        <v>-4.2443950249724365</v>
      </c>
      <c r="I688" s="19">
        <f t="shared" si="216"/>
        <v>-3.0363770755775414</v>
      </c>
      <c r="J688" s="28">
        <f t="shared" si="217"/>
        <v>5.1851523944659262E-3</v>
      </c>
      <c r="K688" s="24">
        <f t="shared" si="218"/>
        <v>1048.7569176243037</v>
      </c>
      <c r="L688" s="32">
        <f t="shared" si="219"/>
        <v>0.55812986867280501</v>
      </c>
      <c r="M688" s="35">
        <f t="shared" si="220"/>
        <v>13.205704819663731</v>
      </c>
      <c r="O688" s="29">
        <f t="shared" si="221"/>
        <v>1046.5843804322119</v>
      </c>
      <c r="T688" s="48">
        <v>0.7474306249999999</v>
      </c>
      <c r="U688" s="29">
        <v>-1338.3081244079174</v>
      </c>
      <c r="V688" s="29">
        <v>4555.9009588552799</v>
      </c>
      <c r="W688" s="29">
        <v>4260.6623351766639</v>
      </c>
      <c r="X688" s="4">
        <v>-0.32688889189186132</v>
      </c>
      <c r="Y688" s="4">
        <v>-0.11577452647404105</v>
      </c>
      <c r="Z688" s="4">
        <v>-1.711800330605516E-2</v>
      </c>
      <c r="AA688" s="3">
        <f t="shared" si="226"/>
        <v>0.34720759591311301</v>
      </c>
      <c r="AB688" s="3">
        <f t="shared" si="229"/>
        <v>4.8664674351874522E-3</v>
      </c>
      <c r="AC688" s="3">
        <f t="shared" si="227"/>
        <v>2.5557768432298636E-2</v>
      </c>
      <c r="AD688" s="48"/>
      <c r="AE688" s="46">
        <f t="shared" si="222"/>
        <v>42.092148309653631</v>
      </c>
      <c r="AF688" s="46">
        <f t="shared" si="223"/>
        <v>-248.53983633663273</v>
      </c>
      <c r="AG688" s="47">
        <f t="shared" si="224"/>
        <v>11127.482751131538</v>
      </c>
      <c r="AH688" s="45" t="str">
        <f t="shared" si="228"/>
        <v>-248.53984,42.09215,11127</v>
      </c>
      <c r="AI688" s="44">
        <f t="shared" si="230"/>
        <v>1021.3373539056774</v>
      </c>
    </row>
    <row r="689" spans="1:35" ht="18" customHeight="1" x14ac:dyDescent="0.25">
      <c r="A689" s="36">
        <f t="shared" si="225"/>
        <v>0.7474422453703703</v>
      </c>
      <c r="B689" s="42">
        <f t="shared" si="210"/>
        <v>42.092148305352261</v>
      </c>
      <c r="C689" s="43">
        <f t="shared" si="211"/>
        <v>111.46016355422998</v>
      </c>
      <c r="D689" s="18">
        <f t="shared" si="212"/>
        <v>11.101869517380692</v>
      </c>
      <c r="E689" s="21" t="str">
        <f t="shared" si="213"/>
        <v>Umbra</v>
      </c>
      <c r="F689" s="23">
        <f>IF($E689&lt;&gt;"Umbra",fracil2($S$2,$S$3,$S$4,$A689,$Q$2,$O$3,$Q$4,$U689,$V689,$W689),0)</f>
        <v>0</v>
      </c>
      <c r="G689" s="19">
        <f t="shared" si="214"/>
        <v>69.30034963784</v>
      </c>
      <c r="H689" s="19">
        <f t="shared" si="215"/>
        <v>-4.2457884464186595</v>
      </c>
      <c r="I689" s="19">
        <f t="shared" si="216"/>
        <v>-3.0377704970237644</v>
      </c>
      <c r="J689" s="28">
        <f t="shared" si="217"/>
        <v>5.1829625387548456E-3</v>
      </c>
      <c r="K689" s="24">
        <f t="shared" si="218"/>
        <v>1048.7545725188274</v>
      </c>
      <c r="L689" s="32">
        <f t="shared" si="219"/>
        <v>0.55814447636659958</v>
      </c>
      <c r="M689" s="35">
        <f t="shared" si="220"/>
        <v>13.204767720008736</v>
      </c>
      <c r="O689" s="29">
        <f t="shared" si="221"/>
        <v>1046.5843715496223</v>
      </c>
      <c r="T689" s="48">
        <v>0.7474422453703703</v>
      </c>
      <c r="U689" s="29">
        <v>-1338.636304421193</v>
      </c>
      <c r="V689" s="29">
        <v>4555.7847323287815</v>
      </c>
      <c r="W689" s="29">
        <v>4260.6451656313002</v>
      </c>
      <c r="X689" s="4">
        <v>-0.3268890348943515</v>
      </c>
      <c r="Y689" s="4">
        <v>-0.11576410117518524</v>
      </c>
      <c r="Z689" s="4">
        <v>-1.7086030037447641E-2</v>
      </c>
      <c r="AA689" s="3">
        <f t="shared" si="226"/>
        <v>0.34720267953675077</v>
      </c>
      <c r="AB689" s="3">
        <f t="shared" si="229"/>
        <v>4.8407128143637549E-3</v>
      </c>
      <c r="AC689" s="3">
        <f t="shared" si="227"/>
        <v>2.551011053032147E-2</v>
      </c>
      <c r="AD689" s="48"/>
      <c r="AE689" s="46">
        <f t="shared" si="222"/>
        <v>42.092148305352261</v>
      </c>
      <c r="AF689" s="46">
        <f t="shared" si="223"/>
        <v>-248.53983644577002</v>
      </c>
      <c r="AG689" s="47">
        <f t="shared" si="224"/>
        <v>11101.869517380692</v>
      </c>
      <c r="AH689" s="45" t="str">
        <f t="shared" si="228"/>
        <v>-248.53984,42.09215,11102</v>
      </c>
      <c r="AI689" s="44">
        <f t="shared" si="230"/>
        <v>1021.3373539056774</v>
      </c>
    </row>
    <row r="690" spans="1:35" ht="18" customHeight="1" x14ac:dyDescent="0.25">
      <c r="A690" s="36">
        <f t="shared" si="225"/>
        <v>0.74745372685185185</v>
      </c>
      <c r="B690" s="42">
        <f t="shared" si="210"/>
        <v>42.092148301115259</v>
      </c>
      <c r="C690" s="43">
        <f t="shared" si="211"/>
        <v>111.46016159783757</v>
      </c>
      <c r="D690" s="18">
        <f t="shared" si="212"/>
        <v>11.076620591354185</v>
      </c>
      <c r="E690" s="21" t="str">
        <f t="shared" si="213"/>
        <v>Umbra</v>
      </c>
      <c r="F690" s="23">
        <f>IF($E690&lt;&gt;"Umbra",fracil2($S$2,$S$3,$S$4,$A690,$Q$2,$O$3,$Q$4,$U690,$V690,$W690),0)</f>
        <v>0</v>
      </c>
      <c r="G690" s="19">
        <f t="shared" si="214"/>
        <v>69.300352166360469</v>
      </c>
      <c r="H690" s="19">
        <f t="shared" si="215"/>
        <v>-4.247161317037925</v>
      </c>
      <c r="I690" s="19">
        <f t="shared" si="216"/>
        <v>-3.0391433676430299</v>
      </c>
      <c r="J690" s="28">
        <f t="shared" si="217"/>
        <v>5.1808105072699596E-3</v>
      </c>
      <c r="K690" s="24">
        <f t="shared" si="218"/>
        <v>1048.7521126684508</v>
      </c>
      <c r="L690" s="32">
        <f t="shared" si="219"/>
        <v>0.55815890476520136</v>
      </c>
      <c r="M690" s="35">
        <f t="shared" si="220"/>
        <v>13.203845822207656</v>
      </c>
      <c r="O690" s="29">
        <f t="shared" si="221"/>
        <v>1046.5842141432399</v>
      </c>
      <c r="T690" s="48">
        <v>0.74745372685185185</v>
      </c>
      <c r="U690" s="29">
        <v>-1338.9604174860469</v>
      </c>
      <c r="V690" s="29">
        <v>4555.6699563676102</v>
      </c>
      <c r="W690" s="29">
        <v>4260.6282402958223</v>
      </c>
      <c r="X690" s="4">
        <v>-0.32688913562589766</v>
      </c>
      <c r="Y690" s="4">
        <v>-0.1157539641117861</v>
      </c>
      <c r="Z690" s="4">
        <v>-1.7054601438857332E-2</v>
      </c>
      <c r="AA690" s="3">
        <f t="shared" si="226"/>
        <v>0.34719784940013304</v>
      </c>
      <c r="AB690" s="3">
        <f t="shared" si="229"/>
        <v>4.8157952035245586E-3</v>
      </c>
      <c r="AC690" s="3">
        <f t="shared" si="227"/>
        <v>2.5463264632057527E-2</v>
      </c>
      <c r="AD690" s="48"/>
      <c r="AE690" s="46">
        <f t="shared" si="222"/>
        <v>42.092148301115259</v>
      </c>
      <c r="AF690" s="46">
        <f t="shared" si="223"/>
        <v>-248.53983840216245</v>
      </c>
      <c r="AG690" s="47">
        <f t="shared" si="224"/>
        <v>11076.620591354185</v>
      </c>
      <c r="AH690" s="45" t="str">
        <f t="shared" si="228"/>
        <v>-248.53984,42.09215,11077</v>
      </c>
      <c r="AI690" s="44">
        <f t="shared" si="230"/>
        <v>1021.3375183384368</v>
      </c>
    </row>
    <row r="691" spans="1:35" ht="18" customHeight="1" x14ac:dyDescent="0.25">
      <c r="A691" s="36">
        <f t="shared" si="225"/>
        <v>0.74746540509259252</v>
      </c>
      <c r="B691" s="42">
        <f t="shared" si="210"/>
        <v>42.092148296812312</v>
      </c>
      <c r="C691" s="43">
        <f t="shared" si="211"/>
        <v>111.46016446189988</v>
      </c>
      <c r="D691" s="18">
        <f t="shared" si="212"/>
        <v>11.050957044365532</v>
      </c>
      <c r="E691" s="21" t="str">
        <f t="shared" si="213"/>
        <v>Umbra</v>
      </c>
      <c r="F691" s="23">
        <f>IF($E691&lt;&gt;"Umbra",fracil2($S$2,$S$3,$S$4,$A691,$Q$2,$O$3,$Q$4,$U691,$V691,$W691),0)</f>
        <v>0</v>
      </c>
      <c r="G691" s="19">
        <f t="shared" si="214"/>
        <v>69.300359675316813</v>
      </c>
      <c r="H691" s="19">
        <f t="shared" si="215"/>
        <v>-4.2485586743782831</v>
      </c>
      <c r="I691" s="19">
        <f t="shared" si="216"/>
        <v>-3.040540724983388</v>
      </c>
      <c r="J691" s="28">
        <f t="shared" si="217"/>
        <v>5.1786293060217606E-3</v>
      </c>
      <c r="K691" s="24">
        <f t="shared" si="218"/>
        <v>1048.750003355909</v>
      </c>
      <c r="L691" s="32">
        <f t="shared" si="219"/>
        <v>0.55817357305597781</v>
      </c>
      <c r="M691" s="35">
        <f t="shared" si="220"/>
        <v>13.202903815311421</v>
      </c>
      <c r="O691" s="29">
        <f t="shared" si="221"/>
        <v>1046.5844443156702</v>
      </c>
      <c r="T691" s="48">
        <v>0.74746540509259252</v>
      </c>
      <c r="U691" s="29">
        <v>-1339.2904647799382</v>
      </c>
      <c r="V691" s="29">
        <v>4555.55308923552</v>
      </c>
      <c r="W691" s="29">
        <v>4260.6110370241158</v>
      </c>
      <c r="X691" s="4">
        <v>-0.32688919765356728</v>
      </c>
      <c r="Y691" s="4">
        <v>-0.11574380092364307</v>
      </c>
      <c r="Z691" s="4">
        <v>-1.7022746245590758E-2</v>
      </c>
      <c r="AA691" s="3">
        <f t="shared" si="226"/>
        <v>0.34719295627156188</v>
      </c>
      <c r="AB691" s="3">
        <f t="shared" si="229"/>
        <v>4.7989078467926159E-3</v>
      </c>
      <c r="AC691" s="3">
        <f t="shared" si="227"/>
        <v>2.5415783018899078E-2</v>
      </c>
      <c r="AD691" s="48"/>
      <c r="AE691" s="46">
        <f t="shared" si="222"/>
        <v>42.092148296812312</v>
      </c>
      <c r="AF691" s="46">
        <f t="shared" si="223"/>
        <v>-248.53983553810014</v>
      </c>
      <c r="AG691" s="47">
        <f t="shared" si="224"/>
        <v>11050.957044365532</v>
      </c>
      <c r="AH691" s="45" t="str">
        <f t="shared" si="228"/>
        <v>-248.53984,42.09215,11051</v>
      </c>
      <c r="AI691" s="44">
        <f t="shared" si="230"/>
        <v>1021.3377508814754</v>
      </c>
    </row>
    <row r="692" spans="1:35" ht="18" customHeight="1" x14ac:dyDescent="0.25">
      <c r="A692" s="36">
        <f t="shared" si="225"/>
        <v>0.74747688657407407</v>
      </c>
      <c r="B692" s="42">
        <f t="shared" si="210"/>
        <v>42.0921482925988</v>
      </c>
      <c r="C692" s="43">
        <f t="shared" si="211"/>
        <v>111.46016143839255</v>
      </c>
      <c r="D692" s="18">
        <f t="shared" si="212"/>
        <v>11.025807973634073</v>
      </c>
      <c r="E692" s="21" t="str">
        <f t="shared" si="213"/>
        <v>Umbra</v>
      </c>
      <c r="F692" s="23">
        <f>IF($E692&lt;&gt;"Umbra",fracil2($S$2,$S$3,$S$4,$A692,$Q$2,$O$3,$Q$4,$U692,$V692,$W692),0)</f>
        <v>0</v>
      </c>
      <c r="G692" s="19">
        <f t="shared" si="214"/>
        <v>69.300361099899106</v>
      </c>
      <c r="H692" s="19">
        <f t="shared" si="215"/>
        <v>-4.2499256992853347</v>
      </c>
      <c r="I692" s="19">
        <f t="shared" si="216"/>
        <v>-3.0419077498904397</v>
      </c>
      <c r="J692" s="28">
        <f t="shared" si="217"/>
        <v>5.1764988028249878E-3</v>
      </c>
      <c r="K692" s="24">
        <f t="shared" si="218"/>
        <v>1048.7474679892562</v>
      </c>
      <c r="L692" s="32">
        <f t="shared" si="219"/>
        <v>0.55818799109390504</v>
      </c>
      <c r="M692" s="35">
        <f t="shared" si="220"/>
        <v>13.201986631121418</v>
      </c>
      <c r="O692" s="29">
        <f t="shared" si="221"/>
        <v>1046.584201110315</v>
      </c>
      <c r="T692" s="48">
        <v>0.74747688657407407</v>
      </c>
      <c r="U692" s="29">
        <v>-1339.6144945324338</v>
      </c>
      <c r="V692" s="29">
        <v>4555.4383627854786</v>
      </c>
      <c r="W692" s="29">
        <v>4260.5941786260801</v>
      </c>
      <c r="X692" s="4">
        <v>-0.32688921813217892</v>
      </c>
      <c r="Y692" s="4">
        <v>-0.11573398150260186</v>
      </c>
      <c r="Z692" s="4">
        <v>-1.6991619767679333E-2</v>
      </c>
      <c r="AA692" s="3">
        <f t="shared" si="226"/>
        <v>0.34718817743097363</v>
      </c>
      <c r="AB692" s="3">
        <f t="shared" si="229"/>
        <v>4.7694720348950333E-3</v>
      </c>
      <c r="AC692" s="3">
        <f t="shared" si="227"/>
        <v>2.5369387731666786E-2</v>
      </c>
      <c r="AD692" s="48"/>
      <c r="AE692" s="46">
        <f t="shared" si="222"/>
        <v>42.0921482925988</v>
      </c>
      <c r="AF692" s="46">
        <f t="shared" si="223"/>
        <v>-248.53983856160744</v>
      </c>
      <c r="AG692" s="47">
        <f t="shared" si="224"/>
        <v>11025.807973634073</v>
      </c>
      <c r="AH692" s="45" t="str">
        <f t="shared" si="228"/>
        <v>-248.53984,42.09215,11026</v>
      </c>
      <c r="AI692" s="44">
        <f t="shared" si="230"/>
        <v>1021.3379834245139</v>
      </c>
    </row>
    <row r="693" spans="1:35" ht="18" customHeight="1" x14ac:dyDescent="0.25">
      <c r="A693" s="36">
        <f t="shared" si="225"/>
        <v>0.74748846064814811</v>
      </c>
      <c r="B693" s="42">
        <f t="shared" si="210"/>
        <v>42.092148288359631</v>
      </c>
      <c r="C693" s="43">
        <f t="shared" si="211"/>
        <v>111.46016111928031</v>
      </c>
      <c r="D693" s="18">
        <f t="shared" si="212"/>
        <v>11.000486037944938</v>
      </c>
      <c r="E693" s="21" t="str">
        <f t="shared" si="213"/>
        <v>Umbra</v>
      </c>
      <c r="F693" s="23">
        <f>IF($E693&lt;&gt;"Umbra",fracil2($S$2,$S$3,$S$4,$A693,$Q$2,$O$3,$Q$4,$U693,$V693,$W693),0)</f>
        <v>0</v>
      </c>
      <c r="G693" s="19">
        <f t="shared" si="214"/>
        <v>69.300365307941959</v>
      </c>
      <c r="H693" s="19">
        <f t="shared" si="215"/>
        <v>-4.251303213807355</v>
      </c>
      <c r="I693" s="19">
        <f t="shared" si="216"/>
        <v>-3.0432852644124599</v>
      </c>
      <c r="J693" s="28">
        <f t="shared" si="217"/>
        <v>5.1743599667792104E-3</v>
      </c>
      <c r="K693" s="24">
        <f t="shared" si="218"/>
        <v>1048.7451349973505</v>
      </c>
      <c r="L693" s="32">
        <f t="shared" si="219"/>
        <v>0.55820251897968587</v>
      </c>
      <c r="M693" s="35">
        <f t="shared" si="220"/>
        <v>13.201060345090001</v>
      </c>
      <c r="O693" s="29">
        <f t="shared" si="221"/>
        <v>1046.5841753466052</v>
      </c>
      <c r="T693" s="48">
        <v>0.74748846064814811</v>
      </c>
      <c r="U693" s="29">
        <v>-1339.9413509479114</v>
      </c>
      <c r="V693" s="29">
        <v>4555.3226453059597</v>
      </c>
      <c r="W693" s="29">
        <v>4260.577204350232</v>
      </c>
      <c r="X693" s="4">
        <v>-0.32688919860278581</v>
      </c>
      <c r="Y693" s="4">
        <v>-0.1157242340066672</v>
      </c>
      <c r="Z693" s="4">
        <v>-1.6960368851363049E-2</v>
      </c>
      <c r="AA693" s="3">
        <f t="shared" si="226"/>
        <v>0.34718338181885333</v>
      </c>
      <c r="AB693" s="3">
        <f t="shared" si="229"/>
        <v>4.7502167230494162E-3</v>
      </c>
      <c r="AC693" s="3">
        <f t="shared" si="227"/>
        <v>2.5322807106480705E-2</v>
      </c>
      <c r="AD693" s="48"/>
      <c r="AE693" s="46">
        <f t="shared" si="222"/>
        <v>42.092148288359631</v>
      </c>
      <c r="AF693" s="46">
        <f t="shared" si="223"/>
        <v>-248.53983888071969</v>
      </c>
      <c r="AG693" s="47">
        <f t="shared" si="224"/>
        <v>11000.486037944938</v>
      </c>
      <c r="AH693" s="45" t="str">
        <f t="shared" si="228"/>
        <v>-248.53984,42.09215,11000</v>
      </c>
      <c r="AI693" s="44">
        <f t="shared" si="230"/>
        <v>1021.3379834245139</v>
      </c>
    </row>
    <row r="694" spans="1:35" ht="18" customHeight="1" x14ac:dyDescent="0.25">
      <c r="A694" s="36">
        <f t="shared" si="225"/>
        <v>0.74750000000000005</v>
      </c>
      <c r="B694" s="42">
        <f t="shared" si="210"/>
        <v>42.09214828414229</v>
      </c>
      <c r="C694" s="43">
        <f t="shared" si="211"/>
        <v>111.46016266772791</v>
      </c>
      <c r="D694" s="18">
        <f t="shared" si="212"/>
        <v>10.97527507749237</v>
      </c>
      <c r="E694" s="21" t="str">
        <f t="shared" si="213"/>
        <v>Umbra</v>
      </c>
      <c r="F694" s="23">
        <f>IF($E694&lt;&gt;"Umbra",fracil2($S$2,$S$3,$S$4,$A694,$Q$2,$O$3,$Q$4,$U694,$V694,$W694),0)</f>
        <v>0</v>
      </c>
      <c r="G694" s="19">
        <f t="shared" si="214"/>
        <v>69.300371396914358</v>
      </c>
      <c r="H694" s="19">
        <f t="shared" si="215"/>
        <v>-4.2526754412011112</v>
      </c>
      <c r="I694" s="19">
        <f t="shared" si="216"/>
        <v>-3.0446574918062161</v>
      </c>
      <c r="J694" s="28">
        <f t="shared" si="217"/>
        <v>5.1722368832869603E-3</v>
      </c>
      <c r="K694" s="24">
        <f t="shared" si="218"/>
        <v>1048.7429629348558</v>
      </c>
      <c r="L694" s="32">
        <f t="shared" si="219"/>
        <v>0.55821699720860252</v>
      </c>
      <c r="M694" s="35">
        <f t="shared" si="220"/>
        <v>13.200136198688412</v>
      </c>
      <c r="O694" s="29">
        <f t="shared" si="221"/>
        <v>1046.5842997414129</v>
      </c>
      <c r="T694" s="48">
        <v>0.74750000000000005</v>
      </c>
      <c r="U694" s="29">
        <v>-1340.267372819063</v>
      </c>
      <c r="V694" s="29">
        <v>4555.2072328969616</v>
      </c>
      <c r="W694" s="29">
        <v>4260.56030446566</v>
      </c>
      <c r="X694" s="4">
        <v>-0.32688913898287014</v>
      </c>
      <c r="Y694" s="4">
        <v>-0.11571466866343606</v>
      </c>
      <c r="Z694" s="4">
        <v>-1.6929344526334881E-2</v>
      </c>
      <c r="AA694" s="3">
        <f t="shared" si="226"/>
        <v>0.34717862324017346</v>
      </c>
      <c r="AB694" s="3">
        <f t="shared" si="229"/>
        <v>4.7299496432612383E-3</v>
      </c>
      <c r="AC694" s="3">
        <f t="shared" si="227"/>
        <v>2.5276564365937133E-2</v>
      </c>
      <c r="AD694" s="48"/>
      <c r="AE694" s="46">
        <f t="shared" si="222"/>
        <v>42.09214828414229</v>
      </c>
      <c r="AF694" s="46">
        <f t="shared" si="223"/>
        <v>-248.5398373322721</v>
      </c>
      <c r="AG694" s="47">
        <f t="shared" si="224"/>
        <v>10975.27507749237</v>
      </c>
      <c r="AH694" s="45" t="str">
        <f t="shared" si="228"/>
        <v>-248.53984,42.09215,10975</v>
      </c>
      <c r="AI694" s="44">
        <f t="shared" si="230"/>
        <v>1021.3381176832989</v>
      </c>
    </row>
    <row r="695" spans="1:35" ht="18" customHeight="1" x14ac:dyDescent="0.25">
      <c r="A695" s="36">
        <f t="shared" si="225"/>
        <v>0.7475116087962963</v>
      </c>
      <c r="B695" s="42">
        <f t="shared" si="210"/>
        <v>42.092148279913914</v>
      </c>
      <c r="C695" s="43">
        <f t="shared" si="211"/>
        <v>111.46016098458256</v>
      </c>
      <c r="D695" s="18">
        <f t="shared" si="212"/>
        <v>10.949978413234021</v>
      </c>
      <c r="E695" s="21" t="str">
        <f t="shared" si="213"/>
        <v>Umbra</v>
      </c>
      <c r="F695" s="23">
        <f>IF($E695&lt;&gt;"Umbra",fracil2($S$2,$S$3,$S$4,$A695,$Q$2,$O$3,$Q$4,$U695,$V695,$W695),0)</f>
        <v>0</v>
      </c>
      <c r="G695" s="19">
        <f t="shared" si="214"/>
        <v>69.300374212171036</v>
      </c>
      <c r="H695" s="19">
        <f t="shared" si="215"/>
        <v>-4.2540510492953665</v>
      </c>
      <c r="I695" s="19">
        <f t="shared" si="216"/>
        <v>-3.0460330999004714</v>
      </c>
      <c r="J695" s="28">
        <f t="shared" si="217"/>
        <v>5.1701134130544861E-3</v>
      </c>
      <c r="K695" s="24">
        <f t="shared" si="218"/>
        <v>1048.7405237401003</v>
      </c>
      <c r="L695" s="32">
        <f t="shared" si="219"/>
        <v>0.55823155848026185</v>
      </c>
      <c r="M695" s="35">
        <f t="shared" si="220"/>
        <v>13.199212200285231</v>
      </c>
      <c r="O695" s="29">
        <f t="shared" si="221"/>
        <v>1046.5841643052152</v>
      </c>
      <c r="T695" s="48">
        <v>0.7475116087962963</v>
      </c>
      <c r="U695" s="29">
        <v>-1340.5951030938729</v>
      </c>
      <c r="V695" s="29">
        <v>4555.0912252171574</v>
      </c>
      <c r="W695" s="29">
        <v>4260.5433471307806</v>
      </c>
      <c r="X695" s="4">
        <v>-0.32688903851907569</v>
      </c>
      <c r="Y695" s="4">
        <v>-0.1157052117542277</v>
      </c>
      <c r="Z695" s="4">
        <v>-1.689830564747228E-2</v>
      </c>
      <c r="AA695" s="3">
        <f t="shared" si="226"/>
        <v>0.34717386460500138</v>
      </c>
      <c r="AB695" s="3">
        <f t="shared" si="229"/>
        <v>4.7038459402930239E-3</v>
      </c>
      <c r="AC695" s="3">
        <f t="shared" si="227"/>
        <v>2.5230300074906942E-2</v>
      </c>
      <c r="AD695" s="48"/>
      <c r="AE695" s="46">
        <f t="shared" si="222"/>
        <v>42.092148279913914</v>
      </c>
      <c r="AF695" s="46">
        <f t="shared" si="223"/>
        <v>-248.53983901541744</v>
      </c>
      <c r="AG695" s="47">
        <f t="shared" si="224"/>
        <v>10949.978413234021</v>
      </c>
      <c r="AH695" s="45" t="str">
        <f t="shared" si="228"/>
        <v>-248.53984,42.09215,10950</v>
      </c>
      <c r="AI695" s="44">
        <f t="shared" si="230"/>
        <v>1021.338251942084</v>
      </c>
    </row>
    <row r="696" spans="1:35" ht="18" customHeight="1" x14ac:dyDescent="0.25">
      <c r="A696" s="36">
        <f t="shared" si="225"/>
        <v>0.74752319444444437</v>
      </c>
      <c r="B696" s="42">
        <f t="shared" si="210"/>
        <v>42.092148275703281</v>
      </c>
      <c r="C696" s="43">
        <f t="shared" si="211"/>
        <v>111.46016099997593</v>
      </c>
      <c r="D696" s="18">
        <f t="shared" si="212"/>
        <v>10.924768155236052</v>
      </c>
      <c r="E696" s="21" t="str">
        <f t="shared" si="213"/>
        <v>Umbra</v>
      </c>
      <c r="F696" s="23">
        <f>IF($E696&lt;&gt;"Umbra",fracil2($S$2,$S$3,$S$4,$A696,$Q$2,$O$3,$Q$4,$U696,$V696,$W696),0)</f>
        <v>0</v>
      </c>
      <c r="G696" s="19">
        <f t="shared" si="214"/>
        <v>69.300378740727041</v>
      </c>
      <c r="H696" s="19">
        <f t="shared" si="215"/>
        <v>-4.2554226394489776</v>
      </c>
      <c r="I696" s="19">
        <f t="shared" si="216"/>
        <v>-3.0474046900540825</v>
      </c>
      <c r="J696" s="28">
        <f t="shared" si="217"/>
        <v>5.1680035283713831E-3</v>
      </c>
      <c r="K696" s="24">
        <f t="shared" si="218"/>
        <v>1048.7382296364974</v>
      </c>
      <c r="L696" s="32">
        <f t="shared" si="219"/>
        <v>0.55824608471967629</v>
      </c>
      <c r="M696" s="35">
        <f t="shared" si="220"/>
        <v>13.198289615146187</v>
      </c>
      <c r="O696" s="29">
        <f t="shared" si="221"/>
        <v>1046.5841654375695</v>
      </c>
      <c r="T696" s="48">
        <v>0.74752319444444437</v>
      </c>
      <c r="U696" s="29">
        <v>-1340.9223124016355</v>
      </c>
      <c r="V696" s="29">
        <v>4554.9754112841829</v>
      </c>
      <c r="W696" s="29">
        <v>4260.5264477176424</v>
      </c>
      <c r="X696" s="4">
        <v>-0.32688889841352714</v>
      </c>
      <c r="Y696" s="4">
        <v>-0.11569592578271462</v>
      </c>
      <c r="Z696" s="4">
        <v>-1.6867461637951591E-2</v>
      </c>
      <c r="AA696" s="3">
        <f t="shared" si="226"/>
        <v>0.34716913804489657</v>
      </c>
      <c r="AB696" s="3">
        <f t="shared" si="229"/>
        <v>4.6836389232389431E-3</v>
      </c>
      <c r="AC696" s="3">
        <f t="shared" si="227"/>
        <v>2.5184326383862685E-2</v>
      </c>
      <c r="AD696" s="48"/>
      <c r="AE696" s="46">
        <f t="shared" si="222"/>
        <v>42.092148275703281</v>
      </c>
      <c r="AF696" s="46">
        <f t="shared" si="223"/>
        <v>-248.53983900002407</v>
      </c>
      <c r="AG696" s="47">
        <f t="shared" si="224"/>
        <v>10924.768155236052</v>
      </c>
      <c r="AH696" s="45" t="str">
        <f t="shared" si="228"/>
        <v>-248.53984,42.09215,10925</v>
      </c>
      <c r="AI696" s="44">
        <f t="shared" si="230"/>
        <v>1021.338251942084</v>
      </c>
    </row>
    <row r="697" spans="1:35" ht="18" customHeight="1" x14ac:dyDescent="0.25">
      <c r="A697" s="36">
        <f t="shared" si="225"/>
        <v>0.7475347916666667</v>
      </c>
      <c r="B697" s="42">
        <f t="shared" si="210"/>
        <v>42.092148271496832</v>
      </c>
      <c r="C697" s="43">
        <f t="shared" si="211"/>
        <v>111.46016353752189</v>
      </c>
      <c r="D697" s="18">
        <f t="shared" si="212"/>
        <v>10.899563566676989</v>
      </c>
      <c r="E697" s="21" t="str">
        <f t="shared" si="213"/>
        <v>Umbra</v>
      </c>
      <c r="F697" s="23">
        <f>IF($E697&lt;&gt;"Umbra",fracil2($S$2,$S$3,$S$4,$A697,$Q$2,$O$3,$Q$4,$U697,$V697,$W697),0)</f>
        <v>0</v>
      </c>
      <c r="G697" s="19">
        <f t="shared" si="214"/>
        <v>69.300385835296296</v>
      </c>
      <c r="H697" s="19">
        <f t="shared" si="215"/>
        <v>-4.2567949316634266</v>
      </c>
      <c r="I697" s="19">
        <f t="shared" si="216"/>
        <v>-3.0487769822685316</v>
      </c>
      <c r="J697" s="28">
        <f t="shared" si="217"/>
        <v>5.1659003366968685E-3</v>
      </c>
      <c r="K697" s="24">
        <f t="shared" si="218"/>
        <v>1048.7361395151313</v>
      </c>
      <c r="L697" s="32">
        <f t="shared" si="219"/>
        <v>0.55826061916113801</v>
      </c>
      <c r="M697" s="35">
        <f t="shared" si="220"/>
        <v>13.197364648542457</v>
      </c>
      <c r="O697" s="29">
        <f t="shared" si="221"/>
        <v>1046.5843693594154</v>
      </c>
      <c r="T697" s="48">
        <v>0.7475347916666667</v>
      </c>
      <c r="U697" s="29">
        <v>-1341.2500457829544</v>
      </c>
      <c r="V697" s="29">
        <v>4554.8594210411493</v>
      </c>
      <c r="W697" s="29">
        <v>4260.509552105219</v>
      </c>
      <c r="X697" s="4">
        <v>-0.32688871858943758</v>
      </c>
      <c r="Y697" s="4">
        <v>-0.1156867796588142</v>
      </c>
      <c r="Z697" s="4">
        <v>-1.6836712648493374E-2</v>
      </c>
      <c r="AA697" s="3">
        <f t="shared" si="226"/>
        <v>0.34716442822051841</v>
      </c>
      <c r="AB697" s="3">
        <f t="shared" si="229"/>
        <v>4.6645358959817047E-3</v>
      </c>
      <c r="AC697" s="3">
        <f t="shared" si="227"/>
        <v>2.5138494463988286E-2</v>
      </c>
      <c r="AD697" s="48"/>
      <c r="AE697" s="46">
        <f t="shared" si="222"/>
        <v>42.092148271496832</v>
      </c>
      <c r="AF697" s="46">
        <f t="shared" si="223"/>
        <v>-248.53983646247809</v>
      </c>
      <c r="AG697" s="47">
        <f t="shared" si="224"/>
        <v>10899.563566676989</v>
      </c>
      <c r="AH697" s="45" t="str">
        <f t="shared" si="228"/>
        <v>-248.53984,42.09215,10900</v>
      </c>
      <c r="AI697" s="44">
        <f t="shared" si="230"/>
        <v>1021.3384418126799</v>
      </c>
    </row>
    <row r="698" spans="1:35" ht="18" customHeight="1" x14ac:dyDescent="0.25">
      <c r="A698" s="36">
        <f t="shared" si="225"/>
        <v>0.74754634259259267</v>
      </c>
      <c r="B698" s="42">
        <f t="shared" si="210"/>
        <v>42.092148267321676</v>
      </c>
      <c r="C698" s="43">
        <f t="shared" si="211"/>
        <v>111.46016262611532</v>
      </c>
      <c r="D698" s="18">
        <f t="shared" si="212"/>
        <v>10.874525834960878</v>
      </c>
      <c r="E698" s="21" t="str">
        <f t="shared" si="213"/>
        <v>Umbra</v>
      </c>
      <c r="F698" s="23">
        <f>IF($E698&lt;&gt;"Umbra",fracil2($S$2,$S$3,$S$4,$A698,$Q$2,$O$3,$Q$4,$U698,$V698,$W698),0)</f>
        <v>0</v>
      </c>
      <c r="G698" s="19">
        <f t="shared" si="214"/>
        <v>69.300389389714994</v>
      </c>
      <c r="H698" s="19">
        <f t="shared" si="215"/>
        <v>-4.2581567779934195</v>
      </c>
      <c r="I698" s="19">
        <f t="shared" si="216"/>
        <v>-3.0501388285985245</v>
      </c>
      <c r="J698" s="28">
        <f t="shared" si="217"/>
        <v>5.1638176754968358E-3</v>
      </c>
      <c r="K698" s="24">
        <f t="shared" si="218"/>
        <v>1048.7337877656005</v>
      </c>
      <c r="L698" s="32">
        <f t="shared" si="219"/>
        <v>0.55827509168472678</v>
      </c>
      <c r="M698" s="35">
        <f t="shared" si="220"/>
        <v>13.196449293856674</v>
      </c>
      <c r="O698" s="29">
        <f t="shared" si="221"/>
        <v>1046.5842959748941</v>
      </c>
      <c r="T698" s="48">
        <v>0.74754634259259267</v>
      </c>
      <c r="U698" s="29">
        <v>-1341.5762016310041</v>
      </c>
      <c r="V698" s="29">
        <v>4554.7439980698482</v>
      </c>
      <c r="W698" s="29">
        <v>4260.4927683436918</v>
      </c>
      <c r="X698" s="4">
        <v>-0.32688850042845458</v>
      </c>
      <c r="Y698" s="4">
        <v>-0.11567783098780912</v>
      </c>
      <c r="Z698" s="4">
        <v>-1.6806254889978854E-2</v>
      </c>
      <c r="AA698" s="3">
        <f t="shared" si="226"/>
        <v>0.3471597650907069</v>
      </c>
      <c r="AB698" s="3">
        <f t="shared" si="229"/>
        <v>4.6388611169182912E-3</v>
      </c>
      <c r="AC698" s="3">
        <f t="shared" si="227"/>
        <v>2.5093096769219822E-2</v>
      </c>
      <c r="AD698" s="48"/>
      <c r="AE698" s="46">
        <f t="shared" si="222"/>
        <v>42.092148267321676</v>
      </c>
      <c r="AF698" s="46">
        <f t="shared" si="223"/>
        <v>-248.53983737388467</v>
      </c>
      <c r="AG698" s="47">
        <f t="shared" si="224"/>
        <v>10874.525834960878</v>
      </c>
      <c r="AH698" s="45" t="str">
        <f t="shared" si="228"/>
        <v>-248.53984,42.09215,10875</v>
      </c>
      <c r="AI698" s="44">
        <f t="shared" si="230"/>
        <v>1021.3385367479779</v>
      </c>
    </row>
    <row r="699" spans="1:35" ht="18" customHeight="1" x14ac:dyDescent="0.25">
      <c r="A699" s="36">
        <f t="shared" si="225"/>
        <v>0.7475578819444445</v>
      </c>
      <c r="B699" s="42">
        <f t="shared" si="210"/>
        <v>42.092148263158876</v>
      </c>
      <c r="C699" s="43">
        <f t="shared" si="211"/>
        <v>111.46016429838181</v>
      </c>
      <c r="D699" s="18">
        <f t="shared" si="212"/>
        <v>10.849542877917884</v>
      </c>
      <c r="E699" s="21" t="str">
        <f t="shared" si="213"/>
        <v>Umbra</v>
      </c>
      <c r="F699" s="23">
        <f>IF($E699&lt;&gt;"Umbra",fracil2($S$2,$S$3,$S$4,$A699,$Q$2,$O$3,$Q$4,$U699,$V699,$W699),0)</f>
        <v>0</v>
      </c>
      <c r="G699" s="19">
        <f t="shared" si="214"/>
        <v>69.300395563969033</v>
      </c>
      <c r="H699" s="19">
        <f t="shared" si="215"/>
        <v>-4.2595166788013152</v>
      </c>
      <c r="I699" s="19">
        <f t="shared" si="216"/>
        <v>-3.0514987294064202</v>
      </c>
      <c r="J699" s="28">
        <f t="shared" si="217"/>
        <v>5.1617458394136485E-3</v>
      </c>
      <c r="K699" s="24">
        <f t="shared" si="218"/>
        <v>1048.7316494045297</v>
      </c>
      <c r="L699" s="32">
        <f t="shared" si="219"/>
        <v>0.55828954346504633</v>
      </c>
      <c r="M699" s="35">
        <f t="shared" si="220"/>
        <v>13.195533292459801</v>
      </c>
      <c r="O699" s="29">
        <f t="shared" si="221"/>
        <v>1046.5844303265112</v>
      </c>
      <c r="T699" s="48">
        <v>0.7475578819444445</v>
      </c>
      <c r="U699" s="29">
        <v>-1341.9022325261258</v>
      </c>
      <c r="V699" s="29">
        <v>4554.6286280804397</v>
      </c>
      <c r="W699" s="29">
        <v>4260.4760213000181</v>
      </c>
      <c r="X699" s="4">
        <v>-0.3268882428492918</v>
      </c>
      <c r="Y699" s="4">
        <v>-0.11566903996318155</v>
      </c>
      <c r="Z699" s="4">
        <v>-1.677595277807898E-2</v>
      </c>
      <c r="AA699" s="3">
        <f t="shared" si="226"/>
        <v>0.34715512773213358</v>
      </c>
      <c r="AB699" s="3">
        <f t="shared" si="229"/>
        <v>4.6197702031482955E-3</v>
      </c>
      <c r="AC699" s="3">
        <f t="shared" si="227"/>
        <v>2.504793120700767E-2</v>
      </c>
      <c r="AD699" s="48"/>
      <c r="AE699" s="46">
        <f t="shared" si="222"/>
        <v>42.092148263158876</v>
      </c>
      <c r="AF699" s="46">
        <f t="shared" si="223"/>
        <v>-248.53983570161819</v>
      </c>
      <c r="AG699" s="47">
        <f t="shared" si="224"/>
        <v>10849.542877917884</v>
      </c>
      <c r="AH699" s="45" t="str">
        <f t="shared" si="228"/>
        <v>-248.53984,42.09215,10850</v>
      </c>
      <c r="AI699" s="44">
        <f t="shared" si="230"/>
        <v>1021.3386710067629</v>
      </c>
    </row>
    <row r="700" spans="1:35" ht="18" customHeight="1" x14ac:dyDescent="0.25">
      <c r="A700" s="36">
        <f t="shared" si="225"/>
        <v>0.74756946759259257</v>
      </c>
      <c r="B700" s="42">
        <f t="shared" si="210"/>
        <v>42.09214825899312</v>
      </c>
      <c r="C700" s="43">
        <f t="shared" si="211"/>
        <v>111.46016287056482</v>
      </c>
      <c r="D700" s="18">
        <f t="shared" si="212"/>
        <v>10.824523513126223</v>
      </c>
      <c r="E700" s="21" t="str">
        <f t="shared" si="213"/>
        <v>Umbra</v>
      </c>
      <c r="F700" s="23">
        <f>IF($E700&lt;&gt;"Umbra",fracil2($S$2,$S$3,$S$4,$A700,$Q$2,$O$3,$Q$4,$U700,$V700,$W700),0)</f>
        <v>0</v>
      </c>
      <c r="G700" s="19">
        <f t="shared" si="214"/>
        <v>69.300398589538005</v>
      </c>
      <c r="H700" s="19">
        <f t="shared" si="215"/>
        <v>-4.2608773322682252</v>
      </c>
      <c r="I700" s="19">
        <f t="shared" si="216"/>
        <v>-3.0528593828733301</v>
      </c>
      <c r="J700" s="28">
        <f t="shared" si="217"/>
        <v>5.1596775161703145E-3</v>
      </c>
      <c r="K700" s="24">
        <f t="shared" si="218"/>
        <v>1048.7292589735368</v>
      </c>
      <c r="L700" s="32">
        <f t="shared" si="219"/>
        <v>0.55830404924878574</v>
      </c>
      <c r="M700" s="35">
        <f t="shared" si="220"/>
        <v>13.194619107788339</v>
      </c>
      <c r="O700" s="29">
        <f t="shared" si="221"/>
        <v>1046.5843154211102</v>
      </c>
      <c r="T700" s="48">
        <v>0.74756946759259257</v>
      </c>
      <c r="U700" s="29">
        <v>-1342.2293281508248</v>
      </c>
      <c r="V700" s="29">
        <v>4554.512889960818</v>
      </c>
      <c r="W700" s="29">
        <v>4260.4592498510801</v>
      </c>
      <c r="X700" s="4">
        <v>-0.32688794557607276</v>
      </c>
      <c r="Y700" s="4">
        <v>-0.11566037216680027</v>
      </c>
      <c r="Z700" s="4">
        <v>-1.6745693541250307E-2</v>
      </c>
      <c r="AA700" s="3">
        <f t="shared" si="226"/>
        <v>0.34715049892645372</v>
      </c>
      <c r="AB700" s="3">
        <f t="shared" si="229"/>
        <v>4.594784905225917E-3</v>
      </c>
      <c r="AC700" s="3">
        <f t="shared" si="227"/>
        <v>2.5002829689766543E-2</v>
      </c>
      <c r="AD700" s="48"/>
      <c r="AE700" s="46">
        <f t="shared" si="222"/>
        <v>42.09214825899312</v>
      </c>
      <c r="AF700" s="46">
        <f t="shared" si="223"/>
        <v>-248.53983712943517</v>
      </c>
      <c r="AG700" s="47">
        <f t="shared" si="224"/>
        <v>10824.523513126223</v>
      </c>
      <c r="AH700" s="45" t="str">
        <f t="shared" si="228"/>
        <v>-248.53984,42.09215,10825</v>
      </c>
      <c r="AI700" s="44">
        <f t="shared" si="230"/>
        <v>1021.3387659420608</v>
      </c>
    </row>
    <row r="701" spans="1:35" ht="18" customHeight="1" x14ac:dyDescent="0.25">
      <c r="A701" s="36">
        <f t="shared" si="225"/>
        <v>0.7475810069444444</v>
      </c>
      <c r="B701" s="42">
        <f t="shared" si="210"/>
        <v>42.092148254853434</v>
      </c>
      <c r="C701" s="43">
        <f t="shared" si="211"/>
        <v>111.46016260229632</v>
      </c>
      <c r="D701" s="18">
        <f t="shared" si="212"/>
        <v>10.799642030374343</v>
      </c>
      <c r="E701" s="21" t="str">
        <f t="shared" si="213"/>
        <v>Umbra</v>
      </c>
      <c r="F701" s="23">
        <f>IF($E701&lt;&gt;"Umbra",fracil2($S$2,$S$3,$S$4,$A701,$Q$2,$O$3,$Q$4,$U701,$V701,$W701),0)</f>
        <v>0</v>
      </c>
      <c r="G701" s="19">
        <f t="shared" si="214"/>
        <v>69.300402770612052</v>
      </c>
      <c r="H701" s="19">
        <f t="shared" si="215"/>
        <v>-4.2622309515152299</v>
      </c>
      <c r="I701" s="19">
        <f t="shared" si="216"/>
        <v>-3.0542130021203349</v>
      </c>
      <c r="J701" s="28">
        <f t="shared" si="217"/>
        <v>5.1576267143179366E-3</v>
      </c>
      <c r="K701" s="24">
        <f t="shared" si="218"/>
        <v>1048.7269749365933</v>
      </c>
      <c r="L701" s="32">
        <f t="shared" si="219"/>
        <v>0.55831849143513002</v>
      </c>
      <c r="M701" s="35">
        <f t="shared" si="220"/>
        <v>13.193708771465785</v>
      </c>
      <c r="O701" s="29">
        <f t="shared" si="221"/>
        <v>1046.5842937478963</v>
      </c>
      <c r="T701" s="48">
        <v>0.7475810069444444</v>
      </c>
      <c r="U701" s="29">
        <v>-1342.5552066838216</v>
      </c>
      <c r="V701" s="29">
        <v>4554.397590929605</v>
      </c>
      <c r="W701" s="29">
        <v>4260.4425708300732</v>
      </c>
      <c r="X701" s="4">
        <v>-0.32688761115782661</v>
      </c>
      <c r="Y701" s="4">
        <v>-0.11565188627076568</v>
      </c>
      <c r="Z701" s="4">
        <v>-1.6715686588018881E-2</v>
      </c>
      <c r="AA701" s="3">
        <f t="shared" si="226"/>
        <v>0.34714591068391609</v>
      </c>
      <c r="AB701" s="3">
        <f t="shared" si="229"/>
        <v>4.5747429190664329E-3</v>
      </c>
      <c r="AC701" s="3">
        <f t="shared" si="227"/>
        <v>2.4958104340489454E-2</v>
      </c>
      <c r="AD701" s="48"/>
      <c r="AE701" s="46">
        <f t="shared" si="222"/>
        <v>42.092148254853434</v>
      </c>
      <c r="AF701" s="46">
        <f t="shared" si="223"/>
        <v>-248.53983739770368</v>
      </c>
      <c r="AG701" s="47">
        <f t="shared" si="224"/>
        <v>10799.642030374343</v>
      </c>
      <c r="AH701" s="45" t="str">
        <f t="shared" si="228"/>
        <v>-248.53984,42.09215,10800</v>
      </c>
      <c r="AI701" s="44">
        <f t="shared" si="230"/>
        <v>1021.3387659420608</v>
      </c>
    </row>
    <row r="702" spans="1:35" ht="18" customHeight="1" x14ac:dyDescent="0.25">
      <c r="A702" s="36">
        <f t="shared" si="225"/>
        <v>0.74759261574074076</v>
      </c>
      <c r="B702" s="42">
        <f t="shared" si="210"/>
        <v>42.092148250697889</v>
      </c>
      <c r="C702" s="43">
        <f t="shared" si="211"/>
        <v>111.46016405474043</v>
      </c>
      <c r="D702" s="18">
        <f t="shared" si="212"/>
        <v>10.774645470854011</v>
      </c>
      <c r="E702" s="21" t="str">
        <f t="shared" si="213"/>
        <v>Umbra</v>
      </c>
      <c r="F702" s="23">
        <f>IF($E702&lt;&gt;"Umbra",fracil2($S$2,$S$3,$S$4,$A702,$Q$2,$O$3,$Q$4,$U702,$V702,$W702),0)</f>
        <v>0</v>
      </c>
      <c r="G702" s="19">
        <f t="shared" si="214"/>
        <v>69.300408723616172</v>
      </c>
      <c r="H702" s="19">
        <f t="shared" si="215"/>
        <v>-4.2635915220932326</v>
      </c>
      <c r="I702" s="19">
        <f t="shared" si="216"/>
        <v>-3.0555735726983375</v>
      </c>
      <c r="J702" s="28">
        <f t="shared" si="217"/>
        <v>5.1555725738224225E-3</v>
      </c>
      <c r="K702" s="24">
        <f t="shared" si="218"/>
        <v>1048.7248194269227</v>
      </c>
      <c r="L702" s="32">
        <f t="shared" si="219"/>
        <v>0.55833301465631535</v>
      </c>
      <c r="M702" s="35">
        <f t="shared" si="220"/>
        <v>13.192792453456896</v>
      </c>
      <c r="O702" s="29">
        <f t="shared" si="221"/>
        <v>1046.5844104252519</v>
      </c>
      <c r="T702" s="48">
        <v>0.74759261574074076</v>
      </c>
      <c r="U702" s="29">
        <v>-1342.883180790963</v>
      </c>
      <c r="V702" s="29">
        <v>4554.2815588038247</v>
      </c>
      <c r="W702" s="29">
        <v>4260.4258146689281</v>
      </c>
      <c r="X702" s="4">
        <v>-0.32688723604053843</v>
      </c>
      <c r="Y702" s="4">
        <v>-0.11564349645172413</v>
      </c>
      <c r="Z702" s="4">
        <v>-1.6685627304523117E-2</v>
      </c>
      <c r="AA702" s="3">
        <f t="shared" si="226"/>
        <v>0.34714131634875739</v>
      </c>
      <c r="AB702" s="3">
        <f t="shared" si="229"/>
        <v>4.5552927961809951E-3</v>
      </c>
      <c r="AC702" s="3">
        <f t="shared" si="227"/>
        <v>2.4913301131726386E-2</v>
      </c>
      <c r="AD702" s="48"/>
      <c r="AE702" s="46">
        <f t="shared" si="222"/>
        <v>42.092148250697889</v>
      </c>
      <c r="AF702" s="46">
        <f t="shared" si="223"/>
        <v>-248.53983594525957</v>
      </c>
      <c r="AG702" s="47">
        <f t="shared" si="224"/>
        <v>10774.645470854011</v>
      </c>
      <c r="AH702" s="45" t="str">
        <f t="shared" si="228"/>
        <v>-248.53984,42.09215,10775</v>
      </c>
      <c r="AI702" s="44">
        <f t="shared" si="230"/>
        <v>1021.3389002008458</v>
      </c>
    </row>
    <row r="703" spans="1:35" ht="18" customHeight="1" x14ac:dyDescent="0.25">
      <c r="A703" s="36">
        <f t="shared" si="225"/>
        <v>0.7476041898148148</v>
      </c>
      <c r="B703" s="42">
        <f t="shared" si="210"/>
        <v>42.092148246565742</v>
      </c>
      <c r="C703" s="43">
        <f t="shared" si="211"/>
        <v>111.46016523662306</v>
      </c>
      <c r="D703" s="18">
        <f t="shared" si="212"/>
        <v>10.74976994197641</v>
      </c>
      <c r="E703" s="21" t="str">
        <f t="shared" si="213"/>
        <v>Umbra</v>
      </c>
      <c r="F703" s="23">
        <f>IF($E703&lt;&gt;"Umbra",fracil2($S$2,$S$3,$S$4,$A703,$Q$2,$O$3,$Q$4,$U703,$V703,$W703),0)</f>
        <v>0</v>
      </c>
      <c r="G703" s="19">
        <f t="shared" si="214"/>
        <v>69.300414379595153</v>
      </c>
      <c r="H703" s="19">
        <f t="shared" si="215"/>
        <v>-4.2649454056916349</v>
      </c>
      <c r="I703" s="19">
        <f t="shared" si="216"/>
        <v>-3.0569274562967399</v>
      </c>
      <c r="J703" s="28">
        <f t="shared" si="217"/>
        <v>5.1535347197472691E-3</v>
      </c>
      <c r="K703" s="24">
        <f t="shared" si="218"/>
        <v>1048.7226537439778</v>
      </c>
      <c r="L703" s="32">
        <f t="shared" si="219"/>
        <v>0.55834748938906542</v>
      </c>
      <c r="M703" s="35">
        <f t="shared" si="220"/>
        <v>13.191880826815584</v>
      </c>
      <c r="O703" s="29">
        <f t="shared" si="221"/>
        <v>1046.5845053491639</v>
      </c>
      <c r="T703" s="48">
        <v>0.7476041898148148</v>
      </c>
      <c r="U703" s="29">
        <v>-1343.2101527223072</v>
      </c>
      <c r="V703" s="29">
        <v>4554.165889396736</v>
      </c>
      <c r="W703" s="29">
        <v>4260.4091396395788</v>
      </c>
      <c r="X703" s="4">
        <v>-0.32688682335475772</v>
      </c>
      <c r="Y703" s="4">
        <v>-0.11563528328695055</v>
      </c>
      <c r="Z703" s="4">
        <v>-1.665580086324607E-2</v>
      </c>
      <c r="AA703" s="3">
        <f t="shared" si="226"/>
        <v>0.34713675939925176</v>
      </c>
      <c r="AB703" s="3">
        <f t="shared" si="229"/>
        <v>4.5335529897956427E-3</v>
      </c>
      <c r="AC703" s="3">
        <f t="shared" si="227"/>
        <v>2.4868845111108585E-2</v>
      </c>
      <c r="AD703" s="48"/>
      <c r="AE703" s="46">
        <f t="shared" si="222"/>
        <v>42.092148246565742</v>
      </c>
      <c r="AF703" s="46">
        <f t="shared" si="223"/>
        <v>-248.53983476337694</v>
      </c>
      <c r="AG703" s="47">
        <f t="shared" si="224"/>
        <v>10749.76994197641</v>
      </c>
      <c r="AH703" s="45" t="str">
        <f t="shared" si="228"/>
        <v>-248.53983,42.09215,10750</v>
      </c>
      <c r="AI703" s="44">
        <f t="shared" si="230"/>
        <v>1021.3389951361438</v>
      </c>
    </row>
    <row r="704" spans="1:35" ht="18" customHeight="1" x14ac:dyDescent="0.25">
      <c r="A704" s="36">
        <f t="shared" si="225"/>
        <v>0.74761575231481492</v>
      </c>
      <c r="B704" s="42">
        <f t="shared" si="210"/>
        <v>42.092148242449873</v>
      </c>
      <c r="C704" s="43">
        <f t="shared" si="211"/>
        <v>111.46016475332134</v>
      </c>
      <c r="D704" s="18">
        <f t="shared" si="212"/>
        <v>10.72497350039248</v>
      </c>
      <c r="E704" s="21" t="str">
        <f t="shared" si="213"/>
        <v>Umbra</v>
      </c>
      <c r="F704" s="23">
        <f>IF($E704&lt;&gt;"Umbra",fracil2($S$2,$S$3,$S$4,$A704,$Q$2,$O$3,$Q$4,$U704,$V704,$W704),0)</f>
        <v>0</v>
      </c>
      <c r="G704" s="19">
        <f t="shared" si="214"/>
        <v>69.300418326634457</v>
      </c>
      <c r="H704" s="19">
        <f t="shared" si="215"/>
        <v>-4.2662943299327383</v>
      </c>
      <c r="I704" s="19">
        <f t="shared" si="216"/>
        <v>-3.0582763805378432</v>
      </c>
      <c r="J704" s="28">
        <f t="shared" si="217"/>
        <v>5.1515095993778116E-3</v>
      </c>
      <c r="K704" s="24">
        <f t="shared" si="218"/>
        <v>1048.7203618960782</v>
      </c>
      <c r="L704" s="32">
        <f t="shared" si="219"/>
        <v>0.55836194520692317</v>
      </c>
      <c r="M704" s="35">
        <f t="shared" si="220"/>
        <v>13.190973779258092</v>
      </c>
      <c r="O704" s="29">
        <f t="shared" si="221"/>
        <v>1046.5844663871508</v>
      </c>
      <c r="T704" s="48">
        <v>0.74761575231481492</v>
      </c>
      <c r="U704" s="29">
        <v>-1343.5366670896778</v>
      </c>
      <c r="V704" s="29">
        <v>4554.050389828818</v>
      </c>
      <c r="W704" s="29">
        <v>4260.3925176257653</v>
      </c>
      <c r="X704" s="4">
        <v>-0.32688637346676808</v>
      </c>
      <c r="Y704" s="4">
        <v>-0.11562722922365065</v>
      </c>
      <c r="Z704" s="4">
        <v>-1.6626153954535802E-2</v>
      </c>
      <c r="AA704" s="3">
        <f t="shared" si="226"/>
        <v>0.34713223170935015</v>
      </c>
      <c r="AB704" s="3">
        <f t="shared" si="229"/>
        <v>4.5107612305168134E-3</v>
      </c>
      <c r="AC704" s="3">
        <f t="shared" si="227"/>
        <v>2.4824656819006315E-2</v>
      </c>
      <c r="AD704" s="48"/>
      <c r="AE704" s="46">
        <f t="shared" si="222"/>
        <v>42.092148242449873</v>
      </c>
      <c r="AF704" s="46">
        <f t="shared" si="223"/>
        <v>-248.53983524667865</v>
      </c>
      <c r="AG704" s="47">
        <f t="shared" si="224"/>
        <v>10724.97350039248</v>
      </c>
      <c r="AH704" s="45" t="str">
        <f t="shared" si="228"/>
        <v>-248.53984,42.09215,10725</v>
      </c>
      <c r="AI704" s="44">
        <f t="shared" si="230"/>
        <v>1021.3389951361438</v>
      </c>
    </row>
    <row r="705" spans="1:35" ht="18" customHeight="1" x14ac:dyDescent="0.25">
      <c r="A705" s="36">
        <f t="shared" si="225"/>
        <v>0.74762732638888885</v>
      </c>
      <c r="B705" s="42">
        <f t="shared" si="210"/>
        <v>42.09214823834094</v>
      </c>
      <c r="C705" s="43">
        <f t="shared" si="211"/>
        <v>111.4601635921404</v>
      </c>
      <c r="D705" s="18">
        <f t="shared" si="212"/>
        <v>10.700200387901532</v>
      </c>
      <c r="E705" s="21" t="str">
        <f t="shared" si="213"/>
        <v>Umbra</v>
      </c>
      <c r="F705" s="23">
        <f>IF($E705&lt;&gt;"Umbra",fracil2($S$2,$S$3,$S$4,$A705,$Q$2,$O$3,$Q$4,$U705,$V705,$W705),0)</f>
        <v>0</v>
      </c>
      <c r="G705" s="19">
        <f t="shared" si="214"/>
        <v>69.300421579579947</v>
      </c>
      <c r="H705" s="19">
        <f t="shared" si="215"/>
        <v>-4.2676417213657851</v>
      </c>
      <c r="I705" s="19">
        <f t="shared" si="216"/>
        <v>-3.0596237719708901</v>
      </c>
      <c r="J705" s="28">
        <f t="shared" si="217"/>
        <v>5.1494927198248563E-3</v>
      </c>
      <c r="K705" s="24">
        <f t="shared" si="218"/>
        <v>1048.7180182253464</v>
      </c>
      <c r="L705" s="32">
        <f t="shared" si="219"/>
        <v>0.55837641067835275</v>
      </c>
      <c r="M705" s="35">
        <f t="shared" si="220"/>
        <v>13.190068262664751</v>
      </c>
      <c r="O705" s="29">
        <f t="shared" si="221"/>
        <v>1046.584372921606</v>
      </c>
      <c r="T705" s="48">
        <v>0.74762732638888885</v>
      </c>
      <c r="U705" s="29">
        <v>-1343.8634548569732</v>
      </c>
      <c r="V705" s="29">
        <v>4553.9348013641302</v>
      </c>
      <c r="W705" s="29">
        <v>4260.3759112506013</v>
      </c>
      <c r="X705" s="4">
        <v>-0.32688588480038822</v>
      </c>
      <c r="Y705" s="4">
        <v>-0.11561931798425198</v>
      </c>
      <c r="Z705" s="4">
        <v>-1.6596621868716178E-2</v>
      </c>
      <c r="AA705" s="3">
        <f t="shared" si="226"/>
        <v>0.34712772322349794</v>
      </c>
      <c r="AB705" s="3">
        <f t="shared" si="229"/>
        <v>4.4887837784689426E-3</v>
      </c>
      <c r="AC705" s="3">
        <f t="shared" si="227"/>
        <v>2.4780639805275204E-2</v>
      </c>
      <c r="AD705" s="48"/>
      <c r="AE705" s="46">
        <f t="shared" si="222"/>
        <v>42.09214823834094</v>
      </c>
      <c r="AF705" s="46">
        <f t="shared" si="223"/>
        <v>-248.53983640785958</v>
      </c>
      <c r="AG705" s="47">
        <f t="shared" si="224"/>
        <v>10700.200387901532</v>
      </c>
      <c r="AH705" s="45" t="str">
        <f t="shared" si="228"/>
        <v>-248.53984,42.09215,10700</v>
      </c>
      <c r="AI705" s="44">
        <f t="shared" si="230"/>
        <v>1021.3390900714418</v>
      </c>
    </row>
    <row r="706" spans="1:35" ht="18" customHeight="1" x14ac:dyDescent="0.25">
      <c r="A706" s="36">
        <f t="shared" si="225"/>
        <v>0.74763891203703714</v>
      </c>
      <c r="B706" s="42">
        <f t="shared" si="210"/>
        <v>42.092148234238962</v>
      </c>
      <c r="C706" s="43">
        <f t="shared" si="211"/>
        <v>111.46016193095252</v>
      </c>
      <c r="D706" s="18">
        <f t="shared" si="212"/>
        <v>10.675449456080059</v>
      </c>
      <c r="E706" s="21" t="str">
        <f t="shared" si="213"/>
        <v>Umbra</v>
      </c>
      <c r="F706" s="23">
        <f>IF($E706&lt;&gt;"Umbra",fracil2($S$2,$S$3,$S$4,$A706,$Q$2,$O$3,$Q$4,$U706,$V706,$W706),0)</f>
        <v>0</v>
      </c>
      <c r="G706" s="19">
        <f t="shared" si="214"/>
        <v>69.300424319671265</v>
      </c>
      <c r="H706" s="19">
        <f t="shared" si="215"/>
        <v>-4.2689877133429732</v>
      </c>
      <c r="I706" s="19">
        <f t="shared" si="216"/>
        <v>-3.0609697639480782</v>
      </c>
      <c r="J706" s="28">
        <f t="shared" si="217"/>
        <v>5.1474838823456874E-3</v>
      </c>
      <c r="K706" s="24">
        <f t="shared" si="218"/>
        <v>1048.7156369327872</v>
      </c>
      <c r="L706" s="32">
        <f t="shared" si="219"/>
        <v>0.55839088574210083</v>
      </c>
      <c r="M706" s="35">
        <f t="shared" si="220"/>
        <v>13.189164053462644</v>
      </c>
      <c r="O706" s="29">
        <f t="shared" si="221"/>
        <v>1046.584239254013</v>
      </c>
      <c r="T706" s="48">
        <v>0.74763891203703714</v>
      </c>
      <c r="U706" s="29">
        <v>-1344.1905299006989</v>
      </c>
      <c r="V706" s="29">
        <v>4553.8191189522204</v>
      </c>
      <c r="W706" s="29">
        <v>4260.3593197442697</v>
      </c>
      <c r="X706" s="4">
        <v>-0.32688535774540672</v>
      </c>
      <c r="Y706" s="4">
        <v>-0.11561154772598804</v>
      </c>
      <c r="Z706" s="4">
        <v>-1.656720193831655E-2</v>
      </c>
      <c r="AA706" s="3">
        <f t="shared" si="226"/>
        <v>0.34712323352954338</v>
      </c>
      <c r="AB706" s="3">
        <f t="shared" si="229"/>
        <v>4.4672553643318241E-3</v>
      </c>
      <c r="AC706" s="3">
        <f t="shared" si="227"/>
        <v>2.4736790093265914E-2</v>
      </c>
      <c r="AD706" s="48"/>
      <c r="AE706" s="46">
        <f t="shared" si="222"/>
        <v>42.092148234238962</v>
      </c>
      <c r="AF706" s="46">
        <f t="shared" si="223"/>
        <v>-248.53983806904748</v>
      </c>
      <c r="AG706" s="47">
        <f t="shared" si="224"/>
        <v>10675.449456080059</v>
      </c>
      <c r="AH706" s="45" t="str">
        <f t="shared" si="228"/>
        <v>-248.53984,42.09215,10675</v>
      </c>
      <c r="AI706" s="44">
        <f t="shared" si="230"/>
        <v>1021.3392243302268</v>
      </c>
    </row>
    <row r="707" spans="1:35" ht="18" customHeight="1" x14ac:dyDescent="0.25">
      <c r="A707" s="36">
        <f t="shared" si="225"/>
        <v>0.74765049768518521</v>
      </c>
      <c r="B707" s="42">
        <f t="shared" si="210"/>
        <v>42.092148230144929</v>
      </c>
      <c r="C707" s="43">
        <f t="shared" si="211"/>
        <v>111.4601626877248</v>
      </c>
      <c r="D707" s="18">
        <f t="shared" si="212"/>
        <v>10.650728055771651</v>
      </c>
      <c r="E707" s="21" t="str">
        <f t="shared" si="213"/>
        <v>Umbra</v>
      </c>
      <c r="F707" s="23">
        <f>IF($E707&lt;&gt;"Umbra",fracil2($S$2,$S$3,$S$4,$A707,$Q$2,$O$3,$Q$4,$U707,$V707,$W707),0)</f>
        <v>0</v>
      </c>
      <c r="G707" s="19">
        <f t="shared" si="214"/>
        <v>69.300429515451555</v>
      </c>
      <c r="H707" s="19">
        <f t="shared" si="215"/>
        <v>-4.2703330651604681</v>
      </c>
      <c r="I707" s="19">
        <f t="shared" si="216"/>
        <v>-3.062315115765573</v>
      </c>
      <c r="J707" s="28">
        <f t="shared" si="217"/>
        <v>5.1454834092420354E-3</v>
      </c>
      <c r="K707" s="24">
        <f t="shared" si="218"/>
        <v>1048.7134533821395</v>
      </c>
      <c r="L707" s="32">
        <f t="shared" si="219"/>
        <v>0.55840535475770869</v>
      </c>
      <c r="M707" s="35">
        <f t="shared" si="220"/>
        <v>13.18825844455684</v>
      </c>
      <c r="O707" s="29">
        <f t="shared" si="221"/>
        <v>1046.5842999986046</v>
      </c>
      <c r="T707" s="48">
        <v>0.74765049768518521</v>
      </c>
      <c r="U707" s="29">
        <v>-1344.5177935955294</v>
      </c>
      <c r="V707" s="29">
        <v>4553.7033773313051</v>
      </c>
      <c r="W707" s="29">
        <v>4260.3427480343098</v>
      </c>
      <c r="X707" s="4">
        <v>-0.32688479278155869</v>
      </c>
      <c r="Y707" s="4">
        <v>-0.11560391958337056</v>
      </c>
      <c r="Z707" s="4">
        <v>-1.6537901902437268E-2</v>
      </c>
      <c r="AA707" s="3">
        <f t="shared" si="226"/>
        <v>0.34711876378872925</v>
      </c>
      <c r="AB707" s="3">
        <f t="shared" si="229"/>
        <v>4.4490361996686332E-3</v>
      </c>
      <c r="AC707" s="3">
        <f t="shared" si="227"/>
        <v>2.4693119217043279E-2</v>
      </c>
      <c r="AD707" s="48"/>
      <c r="AE707" s="46">
        <f t="shared" si="222"/>
        <v>42.092148230144929</v>
      </c>
      <c r="AF707" s="46">
        <f t="shared" si="223"/>
        <v>-248.53983731227521</v>
      </c>
      <c r="AG707" s="47">
        <f t="shared" si="224"/>
        <v>10650.728055771651</v>
      </c>
      <c r="AH707" s="45" t="str">
        <f t="shared" si="228"/>
        <v>-248.53984,42.09215,10651</v>
      </c>
      <c r="AI707" s="44">
        <f t="shared" si="230"/>
        <v>1021.3392243302268</v>
      </c>
    </row>
    <row r="708" spans="1:35" ht="18" customHeight="1" x14ac:dyDescent="0.25">
      <c r="A708" s="36">
        <f t="shared" si="225"/>
        <v>0.74766214120370378</v>
      </c>
      <c r="B708" s="42">
        <f t="shared" si="210"/>
        <v>42.092148226040642</v>
      </c>
      <c r="C708" s="43">
        <f t="shared" si="211"/>
        <v>111.46016370288351</v>
      </c>
      <c r="D708" s="18">
        <f t="shared" si="212"/>
        <v>10.625925654770072</v>
      </c>
      <c r="E708" s="21" t="str">
        <f t="shared" si="213"/>
        <v>Umbra</v>
      </c>
      <c r="F708" s="23">
        <f>IF($E708&lt;&gt;"Umbra",fracil2($S$2,$S$3,$S$4,$A708,$Q$2,$O$3,$Q$4,$U708,$V708,$W708),0)</f>
        <v>0</v>
      </c>
      <c r="G708" s="19">
        <f t="shared" si="214"/>
        <v>69.300434988728583</v>
      </c>
      <c r="H708" s="19">
        <f t="shared" si="215"/>
        <v>-4.2716829323337171</v>
      </c>
      <c r="I708" s="19">
        <f t="shared" si="216"/>
        <v>-3.0636649829388221</v>
      </c>
      <c r="J708" s="28">
        <f t="shared" si="217"/>
        <v>5.1434824807533542E-3</v>
      </c>
      <c r="K708" s="24">
        <f t="shared" si="218"/>
        <v>1048.7112838407147</v>
      </c>
      <c r="L708" s="32">
        <f t="shared" si="219"/>
        <v>0.55841989086515775</v>
      </c>
      <c r="M708" s="35">
        <f t="shared" si="220"/>
        <v>13.187349593213749</v>
      </c>
      <c r="O708" s="29">
        <f t="shared" si="221"/>
        <v>1046.5843815180476</v>
      </c>
      <c r="T708" s="48">
        <v>0.74766214120370378</v>
      </c>
      <c r="U708" s="29">
        <v>-1344.8467113296508</v>
      </c>
      <c r="V708" s="29">
        <v>4553.5870581482013</v>
      </c>
      <c r="W708" s="29">
        <v>4260.3261220267177</v>
      </c>
      <c r="X708" s="4">
        <v>-0.32688418743059583</v>
      </c>
      <c r="Y708" s="4">
        <v>-0.11559639922414924</v>
      </c>
      <c r="Z708" s="4">
        <v>-1.6508590397396303E-2</v>
      </c>
      <c r="AA708" s="3">
        <f t="shared" si="226"/>
        <v>0.34711429394748183</v>
      </c>
      <c r="AB708" s="3">
        <f t="shared" si="229"/>
        <v>4.4286427394194987E-3</v>
      </c>
      <c r="AC708" s="3">
        <f t="shared" si="227"/>
        <v>2.4649431382716133E-2</v>
      </c>
      <c r="AD708" s="48"/>
      <c r="AE708" s="46">
        <f t="shared" si="222"/>
        <v>42.092148226040642</v>
      </c>
      <c r="AF708" s="46">
        <f t="shared" si="223"/>
        <v>-248.53983629711649</v>
      </c>
      <c r="AG708" s="47">
        <f t="shared" si="224"/>
        <v>10625.925654770072</v>
      </c>
      <c r="AH708" s="45" t="str">
        <f t="shared" si="228"/>
        <v>-248.53984,42.09215,10626</v>
      </c>
      <c r="AI708" s="44">
        <f t="shared" si="230"/>
        <v>1021.3393585890118</v>
      </c>
    </row>
    <row r="709" spans="1:35" ht="18" customHeight="1" x14ac:dyDescent="0.25">
      <c r="A709" s="36">
        <f t="shared" si="225"/>
        <v>0.74767361111111119</v>
      </c>
      <c r="B709" s="42">
        <f t="shared" si="210"/>
        <v>42.092148222009115</v>
      </c>
      <c r="C709" s="43">
        <f t="shared" si="211"/>
        <v>111.4601632497306</v>
      </c>
      <c r="D709" s="18">
        <f t="shared" si="212"/>
        <v>10.601544538315466</v>
      </c>
      <c r="E709" s="21" t="str">
        <f t="shared" si="213"/>
        <v>Umbra</v>
      </c>
      <c r="F709" s="23">
        <f>IF($E709&lt;&gt;"Umbra",fracil2($S$2,$S$3,$S$4,$A709,$Q$2,$O$3,$Q$4,$U709,$V709,$W709),0)</f>
        <v>0</v>
      </c>
      <c r="G709" s="19">
        <f t="shared" si="214"/>
        <v>69.300438892181859</v>
      </c>
      <c r="H709" s="19">
        <f t="shared" si="215"/>
        <v>-4.2730093004861933</v>
      </c>
      <c r="I709" s="19">
        <f t="shared" si="216"/>
        <v>-3.0649913510912983</v>
      </c>
      <c r="J709" s="28">
        <f t="shared" si="217"/>
        <v>5.1415216634544273E-3</v>
      </c>
      <c r="K709" s="24">
        <f t="shared" si="218"/>
        <v>1048.7090350052795</v>
      </c>
      <c r="L709" s="32">
        <f t="shared" si="219"/>
        <v>0.55843420587956805</v>
      </c>
      <c r="M709" s="35">
        <f t="shared" si="220"/>
        <v>13.186457645219534</v>
      </c>
      <c r="O709" s="29">
        <f t="shared" si="221"/>
        <v>1046.5843449822207</v>
      </c>
      <c r="T709" s="48">
        <v>0.74767361111111119</v>
      </c>
      <c r="U709" s="29">
        <v>-1345.1706104432817</v>
      </c>
      <c r="V709" s="29">
        <v>4553.4725208670197</v>
      </c>
      <c r="W709" s="29">
        <v>4260.3097784226875</v>
      </c>
      <c r="X709" s="4">
        <v>-0.32688355446674605</v>
      </c>
      <c r="Y709" s="4">
        <v>-0.11558913708944288</v>
      </c>
      <c r="Z709" s="4">
        <v>-1.6479860085337705E-2</v>
      </c>
      <c r="AA709" s="3">
        <f t="shared" si="226"/>
        <v>0.34710991426683346</v>
      </c>
      <c r="AB709" s="3">
        <f t="shared" si="229"/>
        <v>4.4065210431516576E-3</v>
      </c>
      <c r="AC709" s="3">
        <f t="shared" si="227"/>
        <v>2.4606609930475108E-2</v>
      </c>
      <c r="AD709" s="48"/>
      <c r="AE709" s="46">
        <f t="shared" si="222"/>
        <v>42.092148222009115</v>
      </c>
      <c r="AF709" s="46">
        <f t="shared" si="223"/>
        <v>-248.53983675026939</v>
      </c>
      <c r="AG709" s="47">
        <f t="shared" si="224"/>
        <v>10601.544538315466</v>
      </c>
      <c r="AH709" s="45" t="str">
        <f t="shared" si="228"/>
        <v>-248.53984,42.09215,10602</v>
      </c>
      <c r="AI709" s="44">
        <f t="shared" si="230"/>
        <v>1021.3393585890118</v>
      </c>
    </row>
    <row r="710" spans="1:35" ht="18" customHeight="1" x14ac:dyDescent="0.25">
      <c r="A710" s="36">
        <f t="shared" si="225"/>
        <v>0.74768527777777782</v>
      </c>
      <c r="B710" s="42">
        <f t="shared" ref="B710:B773" si="231">latitude($U710,$V710,$W710)</f>
        <v>42.092148217916609</v>
      </c>
      <c r="C710" s="43">
        <f t="shared" ref="C710:C773" si="232">longitude($S$2,$S$3,$S$4,$A710,$U710,$V710)</f>
        <v>111.46016495651776</v>
      </c>
      <c r="D710" s="18">
        <f t="shared" ref="D710:D773" si="233">altitude($U710,$V710,$W710)</f>
        <v>10.576775910272772</v>
      </c>
      <c r="E710" s="21" t="str">
        <f t="shared" ref="E710:E773" si="234">illum2($S$2,$S$3,$S$4,$A710,$U710,$V710,$W710)</f>
        <v>Umbra</v>
      </c>
      <c r="F710" s="23">
        <f>IF($E710&lt;&gt;"Umbra",fracil2($S$2,$S$3,$S$4,$A710,$Q$2,$O$3,$Q$4,$U710,$V710,$W710),0)</f>
        <v>0</v>
      </c>
      <c r="G710" s="19">
        <f t="shared" ref="G710:G773" si="235">azimuth($S$2,$S$3,$S$4,$A710,$Q$2,$O$3,$Q$4,$U710,$V710,$W710)</f>
        <v>69.300445063370219</v>
      </c>
      <c r="H710" s="19">
        <f t="shared" ref="H710:H773" si="236">elev($S$2,$S$3,$S$4,$A710,$Q$2,$O$3,$Q$4,$U710,$V710,$W710)</f>
        <v>-4.2743576158401826</v>
      </c>
      <c r="I710" s="19">
        <f t="shared" ref="I710:I773" si="237">elev($S$2,$S$3,$S$4,$A710,$Q$2,$O$3,$Q$4,$U710,$V710,$W710)+DEGREES(ACOS($Q$3/$Q$4))</f>
        <v>-3.0663396664452875</v>
      </c>
      <c r="J710" s="28">
        <f t="shared" ref="J710:J773" si="238">vang($S$2,$S$3,$S$4,$A710,$Q$2,$O$3,$Q$4,$U710,$V710,$W710,$X710,$Y710,$Z710)</f>
        <v>5.139535645775903E-3</v>
      </c>
      <c r="K710" s="24">
        <f t="shared" ref="K710:K773" si="239">slant_rng($S$2,$S$3,$S$4,$A710,$Q$2,$O$3,$Q$4,$U710,$V710,$W710)</f>
        <v>1048.7069253094683</v>
      </c>
      <c r="L710" s="32">
        <f t="shared" ref="L710:L773" si="240">radec2("ra",$S$2,$S$3,$S$4,$A710,$Q$2,$O$3,$Q$4,$U710,$V710,$W710)/24</f>
        <v>0.55844876054401382</v>
      </c>
      <c r="M710" s="35">
        <f t="shared" ref="M710:M773" si="241">radec2("dec",$S$2,$S$3,$S$4,$A710,$Q$2,$O$3,$Q$4,$U710,$V710,$W710)</f>
        <v>13.185549296598943</v>
      </c>
      <c r="O710" s="29">
        <f t="shared" ref="O710:O773" si="242">DEGREES(ACOS(SIN(RADIANS($B710))*SIN(RADIANS($O$2))+COS(RADIANS($B710))*COS(RADIANS($O$2))*COS(RADIANS($C710-$O$3))))*111.2</f>
        <v>1046.584482111178</v>
      </c>
      <c r="T710" s="48">
        <v>0.74768527777777782</v>
      </c>
      <c r="U710" s="29">
        <v>-1345.5002348038809</v>
      </c>
      <c r="V710" s="29">
        <v>4553.3559661035952</v>
      </c>
      <c r="W710" s="29">
        <v>4260.2931750549315</v>
      </c>
      <c r="X710" s="4">
        <v>-0.32688287294086577</v>
      </c>
      <c r="Y710" s="4">
        <v>-0.11558189203438449</v>
      </c>
      <c r="Z710" s="4">
        <v>-1.6450757732755526E-2</v>
      </c>
      <c r="AA710" s="3">
        <f t="shared" si="226"/>
        <v>0.34710547938386699</v>
      </c>
      <c r="AB710" s="3">
        <f t="shared" si="229"/>
        <v>4.3882905418218101E-3</v>
      </c>
      <c r="AC710" s="3">
        <f t="shared" si="227"/>
        <v>2.4563234100805707E-2</v>
      </c>
      <c r="AD710" s="48"/>
      <c r="AE710" s="46">
        <f t="shared" ref="AE710:AE773" si="243">$B710</f>
        <v>42.092148217916609</v>
      </c>
      <c r="AF710" s="46">
        <f t="shared" ref="AF710:AF773" si="244">$C710-360</f>
        <v>-248.53983504348224</v>
      </c>
      <c r="AG710" s="47">
        <f t="shared" ref="AG710:AG773" si="245">$D710*1000</f>
        <v>10576.775910272772</v>
      </c>
      <c r="AH710" s="45" t="str">
        <f t="shared" si="228"/>
        <v>-248.53984,42.09215,10577</v>
      </c>
      <c r="AI710" s="44">
        <f t="shared" si="230"/>
        <v>1021.3394928477968</v>
      </c>
    </row>
    <row r="711" spans="1:35" ht="18" customHeight="1" x14ac:dyDescent="0.25">
      <c r="A711" s="36">
        <f t="shared" ref="A711:A774" si="246">$T711+$S$5/86400</f>
        <v>0.74769684027777783</v>
      </c>
      <c r="B711" s="42">
        <f t="shared" si="231"/>
        <v>42.092148213874651</v>
      </c>
      <c r="C711" s="43">
        <f t="shared" si="232"/>
        <v>111.4601629469051</v>
      </c>
      <c r="D711" s="18">
        <f t="shared" si="233"/>
        <v>10.552293223295237</v>
      </c>
      <c r="E711" s="21" t="str">
        <f t="shared" si="234"/>
        <v>Umbra</v>
      </c>
      <c r="F711" s="23">
        <f>IF($E711&lt;&gt;"Umbra",fracil2($S$2,$S$3,$S$4,$A711,$Q$2,$O$3,$Q$4,$U711,$V711,$W711),0)</f>
        <v>0</v>
      </c>
      <c r="G711" s="19">
        <f t="shared" si="235"/>
        <v>69.300447400900296</v>
      </c>
      <c r="H711" s="19">
        <f t="shared" si="236"/>
        <v>-4.2756889040008144</v>
      </c>
      <c r="I711" s="19">
        <f t="shared" si="237"/>
        <v>-3.0676709546059193</v>
      </c>
      <c r="J711" s="28">
        <f t="shared" si="238"/>
        <v>5.1375788639651133E-3</v>
      </c>
      <c r="K711" s="24">
        <f t="shared" si="239"/>
        <v>1048.7045432083682</v>
      </c>
      <c r="L711" s="32">
        <f t="shared" si="240"/>
        <v>0.55846318182420551</v>
      </c>
      <c r="M711" s="35">
        <f t="shared" si="241"/>
        <v>13.184655189820507</v>
      </c>
      <c r="O711" s="29">
        <f t="shared" si="242"/>
        <v>1046.5843204305897</v>
      </c>
      <c r="T711" s="48">
        <v>0.74769684027777783</v>
      </c>
      <c r="U711" s="29">
        <v>-1345.8266258545123</v>
      </c>
      <c r="V711" s="29">
        <v>4553.2405615153539</v>
      </c>
      <c r="W711" s="29">
        <v>4260.2767633647873</v>
      </c>
      <c r="X711" s="4">
        <v>-0.32688216111896601</v>
      </c>
      <c r="Y711" s="4">
        <v>-0.11557486189046928</v>
      </c>
      <c r="Z711" s="4">
        <v>-1.6422075151676954E-2</v>
      </c>
      <c r="AA711" s="3">
        <f t="shared" ref="AA711:AA774" si="247">SQRT($X711*$X711+$Y711*$Y711+$Z711*$Z711)</f>
        <v>0.34710110992489496</v>
      </c>
      <c r="AB711" s="3">
        <f t="shared" si="229"/>
        <v>4.3639442296900767E-3</v>
      </c>
      <c r="AC711" s="3">
        <f t="shared" ref="AC711:AC774" si="248">vrel($S$2,$S$3,$S$4,$A711,$B711,$C711,$U711,$V711,$W711,$X711,$Y711,$Z711)</f>
        <v>2.4520484056526459E-2</v>
      </c>
      <c r="AD711" s="48"/>
      <c r="AE711" s="46">
        <f t="shared" si="243"/>
        <v>42.092148213874651</v>
      </c>
      <c r="AF711" s="46">
        <f t="shared" si="244"/>
        <v>-248.53983705309491</v>
      </c>
      <c r="AG711" s="47">
        <f t="shared" si="245"/>
        <v>10552.293223295237</v>
      </c>
      <c r="AH711" s="45" t="str">
        <f t="shared" ref="AH711:AH774" si="249">CONCATENATE(TEXT($AF711,"00.00000"),",",TEXT($AE711,"00.00000"),",",TEXT($AG711,"00000"))</f>
        <v>-248.53984,42.09215,10552</v>
      </c>
      <c r="AI711" s="44">
        <f t="shared" si="230"/>
        <v>1021.3396827183927</v>
      </c>
    </row>
    <row r="712" spans="1:35" ht="18" customHeight="1" x14ac:dyDescent="0.25">
      <c r="A712" s="36">
        <f t="shared" si="246"/>
        <v>0.74770832175925916</v>
      </c>
      <c r="B712" s="42">
        <f t="shared" si="231"/>
        <v>42.09214820986891</v>
      </c>
      <c r="C712" s="43">
        <f t="shared" si="232"/>
        <v>111.46016300382308</v>
      </c>
      <c r="D712" s="18">
        <f t="shared" si="233"/>
        <v>10.528012248110826</v>
      </c>
      <c r="E712" s="21" t="str">
        <f t="shared" si="234"/>
        <v>Umbra</v>
      </c>
      <c r="F712" s="23">
        <f>IF($E712&lt;&gt;"Umbra",fracil2($S$2,$S$3,$S$4,$A712,$Q$2,$O$3,$Q$4,$U712,$V712,$W712),0)</f>
        <v>0</v>
      </c>
      <c r="G712" s="19">
        <f t="shared" si="235"/>
        <v>69.300451805612923</v>
      </c>
      <c r="H712" s="19">
        <f t="shared" si="236"/>
        <v>-4.2770100429710647</v>
      </c>
      <c r="I712" s="19">
        <f t="shared" si="237"/>
        <v>-3.0689920935761696</v>
      </c>
      <c r="J712" s="28">
        <f t="shared" si="238"/>
        <v>5.1356440614058673E-3</v>
      </c>
      <c r="K712" s="24">
        <f t="shared" si="239"/>
        <v>1048.7023461757535</v>
      </c>
      <c r="L712" s="32">
        <f t="shared" si="240"/>
        <v>0.55847749633062893</v>
      </c>
      <c r="M712" s="35">
        <f t="shared" si="241"/>
        <v>13.183766345403663</v>
      </c>
      <c r="O712" s="29">
        <f t="shared" si="242"/>
        <v>1046.5843249067868</v>
      </c>
      <c r="T712" s="48">
        <v>0.74770832175925916</v>
      </c>
      <c r="U712" s="29">
        <v>-1346.1508897574424</v>
      </c>
      <c r="V712" s="29">
        <v>4553.1259156639098</v>
      </c>
      <c r="W712" s="29">
        <v>4260.2604868900899</v>
      </c>
      <c r="X712" s="4">
        <v>-0.32688141740800708</v>
      </c>
      <c r="Y712" s="4">
        <v>-0.11556801944617155</v>
      </c>
      <c r="Z712" s="4">
        <v>-1.6393711982932622E-2</v>
      </c>
      <c r="AA712" s="3">
        <f t="shared" si="247"/>
        <v>0.34709679047487285</v>
      </c>
      <c r="AB712" s="3">
        <f t="shared" ref="AB712:AB775" si="250">-($AC712-$AC711)/(($A712-$A711)*86400)*1000/9.806</f>
        <v>4.3457844240763358E-3</v>
      </c>
      <c r="AC712" s="3">
        <f t="shared" si="248"/>
        <v>2.4478210212561007E-2</v>
      </c>
      <c r="AD712" s="48"/>
      <c r="AE712" s="46">
        <f t="shared" si="243"/>
        <v>42.09214820986891</v>
      </c>
      <c r="AF712" s="46">
        <f t="shared" si="244"/>
        <v>-248.53983699617692</v>
      </c>
      <c r="AG712" s="47">
        <f t="shared" si="245"/>
        <v>10528.012248110826</v>
      </c>
      <c r="AH712" s="45" t="str">
        <f t="shared" si="249"/>
        <v>-248.53984,42.09215,10528</v>
      </c>
      <c r="AI712" s="44">
        <f t="shared" ref="AI712:AI775" si="251">IFERROR(ACOS(SIN(RADIANS($B711))*SIN(RADIANS($B712))+COS(RADIANS($B711))*COS(RADIANS($B712))*COS(RADIANS($C711-$C712)))*6371,0)+AI711</f>
        <v>1021.3397776536907</v>
      </c>
    </row>
    <row r="713" spans="1:35" ht="18" customHeight="1" x14ac:dyDescent="0.25">
      <c r="A713" s="36">
        <f t="shared" si="246"/>
        <v>0.7477199537037037</v>
      </c>
      <c r="B713" s="42">
        <f t="shared" si="231"/>
        <v>42.092148205818368</v>
      </c>
      <c r="C713" s="43">
        <f t="shared" si="232"/>
        <v>111.46016562515962</v>
      </c>
      <c r="D713" s="18">
        <f t="shared" si="233"/>
        <v>10.503440795375354</v>
      </c>
      <c r="E713" s="21" t="str">
        <f t="shared" si="234"/>
        <v>Umbra</v>
      </c>
      <c r="F713" s="23">
        <f>IF($E713&lt;&gt;"Umbra",fracil2($S$2,$S$3,$S$4,$A713,$Q$2,$O$3,$Q$4,$U713,$V713,$W713),0)</f>
        <v>0</v>
      </c>
      <c r="G713" s="19">
        <f t="shared" si="235"/>
        <v>69.300458872357666</v>
      </c>
      <c r="H713" s="19">
        <f t="shared" si="236"/>
        <v>-4.2783480094018582</v>
      </c>
      <c r="I713" s="19">
        <f t="shared" si="237"/>
        <v>-3.0703300600069632</v>
      </c>
      <c r="J713" s="28">
        <f t="shared" si="238"/>
        <v>5.1336919074985946E-3</v>
      </c>
      <c r="K713" s="24">
        <f t="shared" si="239"/>
        <v>1048.7003296316418</v>
      </c>
      <c r="L713" s="32">
        <f t="shared" si="240"/>
        <v>0.55849199242382352</v>
      </c>
      <c r="M713" s="35">
        <f t="shared" si="241"/>
        <v>13.182864239915428</v>
      </c>
      <c r="O713" s="29">
        <f t="shared" si="242"/>
        <v>1046.5845355695708</v>
      </c>
      <c r="T713" s="48">
        <v>0.7477199537037037</v>
      </c>
      <c r="U713" s="29">
        <v>-1346.4796029097542</v>
      </c>
      <c r="V713" s="29">
        <v>4553.0097033322791</v>
      </c>
      <c r="W713" s="29">
        <v>4260.2440156973398</v>
      </c>
      <c r="X713" s="4">
        <v>-0.32688062699523351</v>
      </c>
      <c r="Y713" s="4">
        <v>-0.11556122505247803</v>
      </c>
      <c r="Z713" s="4">
        <v>-1.6365092162611145E-2</v>
      </c>
      <c r="AA713" s="3">
        <f t="shared" si="247"/>
        <v>0.34709243334005024</v>
      </c>
      <c r="AB713" s="3">
        <f t="shared" si="250"/>
        <v>4.3283721124847199E-3</v>
      </c>
      <c r="AC713" s="3">
        <f t="shared" si="248"/>
        <v>2.4435553975540977E-2</v>
      </c>
      <c r="AD713" s="48"/>
      <c r="AE713" s="46">
        <f t="shared" si="243"/>
        <v>42.092148205818368</v>
      </c>
      <c r="AF713" s="46">
        <f t="shared" si="244"/>
        <v>-248.53983437484038</v>
      </c>
      <c r="AG713" s="47">
        <f t="shared" si="245"/>
        <v>10503.440795375354</v>
      </c>
      <c r="AH713" s="45" t="str">
        <f t="shared" si="249"/>
        <v>-248.53983,42.09215,10503</v>
      </c>
      <c r="AI713" s="44">
        <f t="shared" si="251"/>
        <v>1021.3399899354707</v>
      </c>
    </row>
    <row r="714" spans="1:35" ht="18" customHeight="1" x14ac:dyDescent="0.25">
      <c r="A714" s="36">
        <f t="shared" si="246"/>
        <v>0.74773153935185188</v>
      </c>
      <c r="B714" s="42">
        <f t="shared" si="231"/>
        <v>42.092148201797592</v>
      </c>
      <c r="C714" s="43">
        <f t="shared" si="232"/>
        <v>111.46016435573439</v>
      </c>
      <c r="D714" s="18">
        <f t="shared" si="233"/>
        <v>10.479032349658155</v>
      </c>
      <c r="E714" s="21" t="str">
        <f t="shared" si="234"/>
        <v>Umbra</v>
      </c>
      <c r="F714" s="23">
        <f>IF($E714&lt;&gt;"Umbra",fracil2($S$2,$S$3,$S$4,$A714,$Q$2,$O$3,$Q$4,$U714,$V714,$W714),0)</f>
        <v>0</v>
      </c>
      <c r="G714" s="19">
        <f t="shared" si="235"/>
        <v>69.30046194999457</v>
      </c>
      <c r="H714" s="19">
        <f t="shared" si="236"/>
        <v>-4.2796755690214114</v>
      </c>
      <c r="I714" s="19">
        <f t="shared" si="237"/>
        <v>-3.0716576196265164</v>
      </c>
      <c r="J714" s="28">
        <f t="shared" si="238"/>
        <v>5.1317589562571899E-3</v>
      </c>
      <c r="K714" s="24">
        <f t="shared" si="239"/>
        <v>1048.6980154908215</v>
      </c>
      <c r="L714" s="32">
        <f t="shared" si="240"/>
        <v>0.55850642753906998</v>
      </c>
      <c r="M714" s="35">
        <f t="shared" si="241"/>
        <v>13.181972053959877</v>
      </c>
      <c r="O714" s="29">
        <f t="shared" si="242"/>
        <v>1046.5844334030203</v>
      </c>
      <c r="T714" s="48">
        <v>0.74773153935185188</v>
      </c>
      <c r="U714" s="29">
        <v>-1346.8067033881878</v>
      </c>
      <c r="V714" s="29">
        <v>4552.8940675667955</v>
      </c>
      <c r="W714" s="29">
        <v>4260.2276537747239</v>
      </c>
      <c r="X714" s="4">
        <v>-0.32687980395051808</v>
      </c>
      <c r="Y714" s="4">
        <v>-0.11555460580480081</v>
      </c>
      <c r="Z714" s="4">
        <v>-1.6336745165827463E-2</v>
      </c>
      <c r="AA714" s="3">
        <f t="shared" si="247"/>
        <v>0.34708811906495046</v>
      </c>
      <c r="AB714" s="3">
        <f t="shared" si="250"/>
        <v>4.3042289689672105E-3</v>
      </c>
      <c r="AC714" s="3">
        <f t="shared" si="248"/>
        <v>2.4393304499001889E-2</v>
      </c>
      <c r="AD714" s="48"/>
      <c r="AE714" s="46">
        <f t="shared" si="243"/>
        <v>42.092148201797592</v>
      </c>
      <c r="AF714" s="46">
        <f t="shared" si="244"/>
        <v>-248.53983564426562</v>
      </c>
      <c r="AG714" s="47">
        <f t="shared" si="245"/>
        <v>10479.032349658155</v>
      </c>
      <c r="AH714" s="45" t="str">
        <f t="shared" si="249"/>
        <v>-248.53984,42.09215,10479</v>
      </c>
      <c r="AI714" s="44">
        <f t="shared" si="251"/>
        <v>1021.3400848707687</v>
      </c>
    </row>
    <row r="715" spans="1:35" ht="18" customHeight="1" x14ac:dyDescent="0.25">
      <c r="A715" s="36">
        <f t="shared" si="246"/>
        <v>0.74774309027777786</v>
      </c>
      <c r="B715" s="42">
        <f t="shared" si="231"/>
        <v>42.092148197795638</v>
      </c>
      <c r="C715" s="43">
        <f t="shared" si="232"/>
        <v>111.46016648083879</v>
      </c>
      <c r="D715" s="18">
        <f t="shared" si="233"/>
        <v>10.454719338685209</v>
      </c>
      <c r="E715" s="21" t="str">
        <f t="shared" si="234"/>
        <v>Umbra</v>
      </c>
      <c r="F715" s="23">
        <f>IF($E715&lt;&gt;"Umbra",fracil2($S$2,$S$3,$S$4,$A715,$Q$2,$O$3,$Q$4,$U715,$V715,$W715),0)</f>
        <v>0</v>
      </c>
      <c r="G715" s="19">
        <f t="shared" si="235"/>
        <v>69.300468465446201</v>
      </c>
      <c r="H715" s="19">
        <f t="shared" si="236"/>
        <v>-4.2809992874838825</v>
      </c>
      <c r="I715" s="19">
        <f t="shared" si="237"/>
        <v>-3.0729813380889874</v>
      </c>
      <c r="J715" s="28">
        <f t="shared" si="238"/>
        <v>5.1298392247970392E-3</v>
      </c>
      <c r="K715" s="24">
        <f t="shared" si="239"/>
        <v>1048.6959835843556</v>
      </c>
      <c r="L715" s="32">
        <f t="shared" si="240"/>
        <v>0.55852081311190782</v>
      </c>
      <c r="M715" s="35">
        <f t="shared" si="241"/>
        <v>13.181079887253606</v>
      </c>
      <c r="O715" s="29">
        <f t="shared" si="242"/>
        <v>1046.5846041683262</v>
      </c>
      <c r="T715" s="48">
        <v>0.74774309027777786</v>
      </c>
      <c r="U715" s="29">
        <v>-1347.1330880043756</v>
      </c>
      <c r="V715" s="29">
        <v>4552.7786911064277</v>
      </c>
      <c r="W715" s="29">
        <v>4260.211355825958</v>
      </c>
      <c r="X715" s="4">
        <v>-0.32687894674064422</v>
      </c>
      <c r="Y715" s="4">
        <v>-0.11554814075835734</v>
      </c>
      <c r="Z715" s="4">
        <v>-1.6308590659875659E-2</v>
      </c>
      <c r="AA715" s="3">
        <f t="shared" si="247"/>
        <v>0.34708383538317866</v>
      </c>
      <c r="AB715" s="3">
        <f t="shared" si="250"/>
        <v>4.2878383351627383E-3</v>
      </c>
      <c r="AC715" s="3">
        <f t="shared" si="248"/>
        <v>2.4351342049372539E-2</v>
      </c>
      <c r="AD715" s="48"/>
      <c r="AE715" s="46">
        <f t="shared" si="243"/>
        <v>42.092148197795638</v>
      </c>
      <c r="AF715" s="46">
        <f t="shared" si="244"/>
        <v>-248.53983351916122</v>
      </c>
      <c r="AG715" s="47">
        <f t="shared" si="245"/>
        <v>10454.719338685209</v>
      </c>
      <c r="AH715" s="45" t="str">
        <f t="shared" si="249"/>
        <v>-248.53983,42.09215,10455</v>
      </c>
      <c r="AI715" s="44">
        <f t="shared" si="251"/>
        <v>1021.3402191295537</v>
      </c>
    </row>
    <row r="716" spans="1:35" ht="18" customHeight="1" x14ac:dyDescent="0.25">
      <c r="A716" s="36">
        <f t="shared" si="246"/>
        <v>0.74775472222222217</v>
      </c>
      <c r="B716" s="42">
        <f t="shared" si="231"/>
        <v>42.092148193780858</v>
      </c>
      <c r="C716" s="43">
        <f t="shared" si="232"/>
        <v>111.46016308688645</v>
      </c>
      <c r="D716" s="18">
        <f t="shared" si="233"/>
        <v>10.43031024209813</v>
      </c>
      <c r="E716" s="21" t="str">
        <f t="shared" si="234"/>
        <v>Umbra</v>
      </c>
      <c r="F716" s="23">
        <f>IF($E716&lt;&gt;"Umbra",fracil2($S$2,$S$3,$S$4,$A716,$Q$2,$O$3,$Q$4,$U716,$V716,$W716),0)</f>
        <v>0</v>
      </c>
      <c r="G716" s="19">
        <f t="shared" si="235"/>
        <v>69.300469380929925</v>
      </c>
      <c r="H716" s="19">
        <f t="shared" si="236"/>
        <v>-4.2823260519108404</v>
      </c>
      <c r="I716" s="19">
        <f t="shared" si="237"/>
        <v>-3.0743081025159453</v>
      </c>
      <c r="J716" s="28">
        <f t="shared" si="238"/>
        <v>5.1279182301289649E-3</v>
      </c>
      <c r="K716" s="24">
        <f t="shared" si="239"/>
        <v>1048.6934996324201</v>
      </c>
      <c r="L716" s="32">
        <f t="shared" si="240"/>
        <v>0.55853529704903926</v>
      </c>
      <c r="M716" s="35">
        <f t="shared" si="241"/>
        <v>13.180189815032069</v>
      </c>
      <c r="O716" s="29">
        <f t="shared" si="242"/>
        <v>1046.5843311829472</v>
      </c>
      <c r="T716" s="48">
        <v>0.74775472222222217</v>
      </c>
      <c r="U716" s="29">
        <v>-1347.4613280834944</v>
      </c>
      <c r="V716" s="29">
        <v>4552.6626648713873</v>
      </c>
      <c r="W716" s="29">
        <v>4260.1949934675495</v>
      </c>
      <c r="X716" s="4">
        <v>-0.32687804843187585</v>
      </c>
      <c r="Y716" s="4">
        <v>-0.11554177953131417</v>
      </c>
      <c r="Z716" s="4">
        <v>-1.6280407359159959E-2</v>
      </c>
      <c r="AA716" s="3">
        <f t="shared" si="247"/>
        <v>0.34707954855864781</v>
      </c>
      <c r="AB716" s="3">
        <f t="shared" si="250"/>
        <v>4.2623142591611887E-3</v>
      </c>
      <c r="AC716" s="3">
        <f t="shared" si="248"/>
        <v>2.4309336814479554E-2</v>
      </c>
      <c r="AD716" s="48"/>
      <c r="AE716" s="46">
        <f t="shared" si="243"/>
        <v>42.092148193780858</v>
      </c>
      <c r="AF716" s="46">
        <f t="shared" si="244"/>
        <v>-248.53983691311356</v>
      </c>
      <c r="AG716" s="47">
        <f t="shared" si="245"/>
        <v>10430.31024209813</v>
      </c>
      <c r="AH716" s="45" t="str">
        <f t="shared" si="249"/>
        <v>-248.53984,42.09215,10430</v>
      </c>
      <c r="AI716" s="44">
        <f t="shared" si="251"/>
        <v>1021.3405039354476</v>
      </c>
    </row>
    <row r="717" spans="1:35" ht="18" customHeight="1" x14ac:dyDescent="0.25">
      <c r="A717" s="36">
        <f t="shared" si="246"/>
        <v>0.74776625000000008</v>
      </c>
      <c r="B717" s="42">
        <f t="shared" si="231"/>
        <v>42.092148189808221</v>
      </c>
      <c r="C717" s="43">
        <f t="shared" si="232"/>
        <v>111.46016363175424</v>
      </c>
      <c r="D717" s="18">
        <f t="shared" si="233"/>
        <v>10.406138610640483</v>
      </c>
      <c r="E717" s="21" t="str">
        <f t="shared" si="234"/>
        <v>Umbra</v>
      </c>
      <c r="F717" s="23">
        <f>IF($E717&lt;&gt;"Umbra",fracil2($S$2,$S$3,$S$4,$A717,$Q$2,$O$3,$Q$4,$U717,$V717,$W717),0)</f>
        <v>0</v>
      </c>
      <c r="G717" s="19">
        <f t="shared" si="235"/>
        <v>69.300474262768816</v>
      </c>
      <c r="H717" s="19">
        <f t="shared" si="236"/>
        <v>-4.2836414625387214</v>
      </c>
      <c r="I717" s="19">
        <f t="shared" si="237"/>
        <v>-3.0756235131438263</v>
      </c>
      <c r="J717" s="28">
        <f t="shared" si="238"/>
        <v>5.1260213697060589E-3</v>
      </c>
      <c r="K717" s="24">
        <f t="shared" si="239"/>
        <v>1048.6913545479283</v>
      </c>
      <c r="L717" s="32">
        <f t="shared" si="240"/>
        <v>0.55854964482486347</v>
      </c>
      <c r="M717" s="35">
        <f t="shared" si="241"/>
        <v>13.179304406959295</v>
      </c>
      <c r="O717" s="29">
        <f t="shared" si="242"/>
        <v>1046.5843748927437</v>
      </c>
      <c r="T717" s="48">
        <v>0.74776625000000008</v>
      </c>
      <c r="U717" s="29">
        <v>-1347.7869335889754</v>
      </c>
      <c r="V717" s="29">
        <v>4552.547575826603</v>
      </c>
      <c r="W717" s="29">
        <v>4260.1787902914275</v>
      </c>
      <c r="X717" s="4">
        <v>-0.32687712233103139</v>
      </c>
      <c r="Y717" s="4">
        <v>-0.11553560547729905</v>
      </c>
      <c r="Z717" s="4">
        <v>-1.6252577348913375E-2</v>
      </c>
      <c r="AA717" s="3">
        <f t="shared" si="247"/>
        <v>0.34707531676410602</v>
      </c>
      <c r="AB717" s="3">
        <f t="shared" si="250"/>
        <v>4.2469030186456282E-3</v>
      </c>
      <c r="AC717" s="3">
        <f t="shared" si="248"/>
        <v>2.4267858264002247E-2</v>
      </c>
      <c r="AD717" s="48"/>
      <c r="AE717" s="46">
        <f t="shared" si="243"/>
        <v>42.092148189808221</v>
      </c>
      <c r="AF717" s="46">
        <f t="shared" si="244"/>
        <v>-248.53983636824574</v>
      </c>
      <c r="AG717" s="47">
        <f t="shared" si="245"/>
        <v>10406.138610640483</v>
      </c>
      <c r="AH717" s="45" t="str">
        <f t="shared" si="249"/>
        <v>-248.53984,42.09215,10406</v>
      </c>
      <c r="AI717" s="44">
        <f t="shared" si="251"/>
        <v>1021.3405039354476</v>
      </c>
    </row>
    <row r="718" spans="1:35" ht="18" customHeight="1" x14ac:dyDescent="0.25">
      <c r="A718" s="36">
        <f t="shared" si="246"/>
        <v>0.74777777777777776</v>
      </c>
      <c r="B718" s="42">
        <f t="shared" si="231"/>
        <v>42.092148185843733</v>
      </c>
      <c r="C718" s="43">
        <f t="shared" si="232"/>
        <v>111.46016585105303</v>
      </c>
      <c r="D718" s="18">
        <f t="shared" si="233"/>
        <v>10.381998537050094</v>
      </c>
      <c r="E718" s="21" t="str">
        <f t="shared" si="234"/>
        <v>Umbra</v>
      </c>
      <c r="F718" s="23">
        <f>IF($E718&lt;&gt;"Umbra",fracil2($S$2,$S$3,$S$4,$A718,$Q$2,$O$3,$Q$4,$U718,$V718,$W718),0)</f>
        <v>0</v>
      </c>
      <c r="G718" s="19">
        <f t="shared" si="235"/>
        <v>69.300480843173531</v>
      </c>
      <c r="H718" s="19">
        <f t="shared" si="236"/>
        <v>-4.2849558246956638</v>
      </c>
      <c r="I718" s="19">
        <f t="shared" si="237"/>
        <v>-3.0769378753007688</v>
      </c>
      <c r="J718" s="28">
        <f t="shared" si="238"/>
        <v>5.1241326886757119E-3</v>
      </c>
      <c r="K718" s="24">
        <f t="shared" si="239"/>
        <v>1048.6893475478685</v>
      </c>
      <c r="L718" s="32">
        <f t="shared" si="240"/>
        <v>0.55856398712575273</v>
      </c>
      <c r="M718" s="35">
        <f t="shared" si="241"/>
        <v>13.178418434125193</v>
      </c>
      <c r="O718" s="29">
        <f t="shared" si="242"/>
        <v>1046.5845532325327</v>
      </c>
      <c r="T718" s="48">
        <v>0.74777777777777776</v>
      </c>
      <c r="U718" s="29">
        <v>-1348.1126691753609</v>
      </c>
      <c r="V718" s="29">
        <v>4552.4324465563159</v>
      </c>
      <c r="W718" s="29">
        <v>4260.1626082700095</v>
      </c>
      <c r="X718" s="4">
        <v>-0.3268761604673584</v>
      </c>
      <c r="Y718" s="4">
        <v>-0.11552956618412015</v>
      </c>
      <c r="Z718" s="4">
        <v>-1.6224864360842403E-2</v>
      </c>
      <c r="AA718" s="3">
        <f t="shared" si="247"/>
        <v>0.34707110390826396</v>
      </c>
      <c r="AB718" s="3">
        <f t="shared" si="250"/>
        <v>4.2290320687470616E-3</v>
      </c>
      <c r="AC718" s="3">
        <f t="shared" si="248"/>
        <v>2.4226554255090304E-2</v>
      </c>
      <c r="AD718" s="48"/>
      <c r="AE718" s="46">
        <f t="shared" si="243"/>
        <v>42.092148185843733</v>
      </c>
      <c r="AF718" s="46">
        <f t="shared" si="244"/>
        <v>-248.53983414894697</v>
      </c>
      <c r="AG718" s="47">
        <f t="shared" si="245"/>
        <v>10381.998537050094</v>
      </c>
      <c r="AH718" s="45" t="str">
        <f t="shared" si="249"/>
        <v>-248.53983,42.09215,10382</v>
      </c>
      <c r="AI718" s="44">
        <f t="shared" si="251"/>
        <v>1021.3406938060435</v>
      </c>
    </row>
    <row r="719" spans="1:35" ht="18" customHeight="1" x14ac:dyDescent="0.25">
      <c r="A719" s="36">
        <f t="shared" si="246"/>
        <v>0.7477894444444444</v>
      </c>
      <c r="B719" s="42">
        <f t="shared" si="231"/>
        <v>42.092148181843243</v>
      </c>
      <c r="C719" s="43">
        <f t="shared" si="232"/>
        <v>111.46016610326481</v>
      </c>
      <c r="D719" s="18">
        <f t="shared" si="233"/>
        <v>10.357620994386707</v>
      </c>
      <c r="E719" s="21" t="str">
        <f t="shared" si="234"/>
        <v>Umbra</v>
      </c>
      <c r="F719" s="23">
        <f>IF($E719&lt;&gt;"Umbra",fracil2($S$2,$S$3,$S$4,$A719,$Q$2,$O$3,$Q$4,$U719,$V719,$W719),0)</f>
        <v>0</v>
      </c>
      <c r="G719" s="19">
        <f t="shared" si="235"/>
        <v>69.300485464045394</v>
      </c>
      <c r="H719" s="19">
        <f t="shared" si="236"/>
        <v>-4.2862823338938378</v>
      </c>
      <c r="I719" s="19">
        <f t="shared" si="237"/>
        <v>-3.0782643844989428</v>
      </c>
      <c r="J719" s="28">
        <f t="shared" si="238"/>
        <v>5.1222314676054115E-3</v>
      </c>
      <c r="K719" s="24">
        <f t="shared" si="239"/>
        <v>1048.6871613941103</v>
      </c>
      <c r="L719" s="32">
        <f t="shared" si="240"/>
        <v>0.55857849824806727</v>
      </c>
      <c r="M719" s="35">
        <f t="shared" si="241"/>
        <v>13.177525759157223</v>
      </c>
      <c r="O719" s="29">
        <f t="shared" si="242"/>
        <v>1046.5845734111276</v>
      </c>
      <c r="T719" s="48">
        <v>0.7477894444444444</v>
      </c>
      <c r="U719" s="29">
        <v>-1348.4421723309406</v>
      </c>
      <c r="V719" s="29">
        <v>4552.3159913632453</v>
      </c>
      <c r="W719" s="29">
        <v>4260.1462670641713</v>
      </c>
      <c r="X719" s="4">
        <v>-0.32687515158397989</v>
      </c>
      <c r="Y719" s="4">
        <v>-0.11552359611946535</v>
      </c>
      <c r="Z719" s="4">
        <v>-1.6196960709675069E-2</v>
      </c>
      <c r="AA719" s="3">
        <f t="shared" si="247"/>
        <v>0.34706686318295199</v>
      </c>
      <c r="AB719" s="3">
        <f t="shared" si="250"/>
        <v>4.2074222685244567E-3</v>
      </c>
      <c r="AC719" s="3">
        <f t="shared" si="248"/>
        <v>2.4184966208463155E-2</v>
      </c>
      <c r="AD719" s="48"/>
      <c r="AE719" s="46">
        <f t="shared" si="243"/>
        <v>42.092148181843243</v>
      </c>
      <c r="AF719" s="46">
        <f t="shared" si="244"/>
        <v>-248.53983389673519</v>
      </c>
      <c r="AG719" s="47">
        <f t="shared" si="245"/>
        <v>10357.620994386707</v>
      </c>
      <c r="AH719" s="45" t="str">
        <f t="shared" si="249"/>
        <v>-248.53983,42.09215,10358</v>
      </c>
      <c r="AI719" s="44">
        <f t="shared" si="251"/>
        <v>1021.3406938060435</v>
      </c>
    </row>
    <row r="720" spans="1:35" ht="18" customHeight="1" x14ac:dyDescent="0.25">
      <c r="A720" s="36">
        <f t="shared" si="246"/>
        <v>0.74780104166666661</v>
      </c>
      <c r="B720" s="42">
        <f t="shared" si="231"/>
        <v>42.092148177877633</v>
      </c>
      <c r="C720" s="43">
        <f t="shared" si="232"/>
        <v>111.46016523104248</v>
      </c>
      <c r="D720" s="18">
        <f t="shared" si="233"/>
        <v>10.333436527261256</v>
      </c>
      <c r="E720" s="21" t="str">
        <f t="shared" si="234"/>
        <v>Umbra</v>
      </c>
      <c r="F720" s="23">
        <f>IF($E720&lt;&gt;"Umbra",fracil2($S$2,$S$3,$S$4,$A720,$Q$2,$O$3,$Q$4,$U720,$V720,$W720),0)</f>
        <v>0</v>
      </c>
      <c r="G720" s="19">
        <f t="shared" si="235"/>
        <v>69.300488905941052</v>
      </c>
      <c r="H720" s="19">
        <f t="shared" si="236"/>
        <v>-4.2875978979391878</v>
      </c>
      <c r="I720" s="19">
        <f t="shared" si="237"/>
        <v>-3.0795799485442927</v>
      </c>
      <c r="J720" s="28">
        <f t="shared" si="238"/>
        <v>5.1203512267652745E-3</v>
      </c>
      <c r="K720" s="24">
        <f t="shared" si="239"/>
        <v>1048.6849028327933</v>
      </c>
      <c r="L720" s="32">
        <f t="shared" si="240"/>
        <v>0.55859291868848482</v>
      </c>
      <c r="M720" s="35">
        <f t="shared" si="241"/>
        <v>13.176641284410467</v>
      </c>
      <c r="O720" s="29">
        <f t="shared" si="242"/>
        <v>1046.584503182379</v>
      </c>
      <c r="T720" s="48">
        <v>0.74780104166666661</v>
      </c>
      <c r="U720" s="29">
        <v>-1348.7696253040151</v>
      </c>
      <c r="V720" s="29">
        <v>4552.2002662896584</v>
      </c>
      <c r="W720" s="29">
        <v>4260.1300552845714</v>
      </c>
      <c r="X720" s="4">
        <v>-0.32687411343809208</v>
      </c>
      <c r="Y720" s="4">
        <v>-0.11551780086770566</v>
      </c>
      <c r="Z720" s="4">
        <v>-1.6169359231097986E-2</v>
      </c>
      <c r="AA720" s="3">
        <f t="shared" si="247"/>
        <v>0.34706266945782843</v>
      </c>
      <c r="AB720" s="3">
        <f t="shared" si="250"/>
        <v>4.1867676322769106E-3</v>
      </c>
      <c r="AC720" s="3">
        <f t="shared" si="248"/>
        <v>2.4143828654174269E-2</v>
      </c>
      <c r="AD720" s="48"/>
      <c r="AE720" s="46">
        <f t="shared" si="243"/>
        <v>42.092148177877633</v>
      </c>
      <c r="AF720" s="46">
        <f t="shared" si="244"/>
        <v>-248.53983476895752</v>
      </c>
      <c r="AG720" s="47">
        <f t="shared" si="245"/>
        <v>10333.436527261256</v>
      </c>
      <c r="AH720" s="45" t="str">
        <f t="shared" si="249"/>
        <v>-248.53983,42.09215,10333</v>
      </c>
      <c r="AI720" s="44">
        <f t="shared" si="251"/>
        <v>1021.3407887413415</v>
      </c>
    </row>
    <row r="721" spans="1:35" ht="18" customHeight="1" x14ac:dyDescent="0.25">
      <c r="A721" s="36">
        <f t="shared" si="246"/>
        <v>0.74781255787037038</v>
      </c>
      <c r="B721" s="42">
        <f t="shared" si="231"/>
        <v>42.092148173949212</v>
      </c>
      <c r="C721" s="43">
        <f t="shared" si="232"/>
        <v>111.46016433596265</v>
      </c>
      <c r="D721" s="18">
        <f t="shared" si="233"/>
        <v>10.309461900119459</v>
      </c>
      <c r="E721" s="21" t="str">
        <f t="shared" si="234"/>
        <v>Umbra</v>
      </c>
      <c r="F721" s="23">
        <f>IF($E721&lt;&gt;"Umbra",fracil2($S$2,$S$3,$S$4,$A721,$Q$2,$O$3,$Q$4,$U721,$V721,$W721),0)</f>
        <v>0</v>
      </c>
      <c r="G721" s="19">
        <f t="shared" si="235"/>
        <v>69.300492287022564</v>
      </c>
      <c r="H721" s="19">
        <f t="shared" si="236"/>
        <v>-4.2889020408584262</v>
      </c>
      <c r="I721" s="19">
        <f t="shared" si="237"/>
        <v>-3.0808840914635311</v>
      </c>
      <c r="J721" s="28">
        <f t="shared" si="238"/>
        <v>5.1184931659305211E-3</v>
      </c>
      <c r="K721" s="24">
        <f t="shared" si="239"/>
        <v>1048.682661967388</v>
      </c>
      <c r="L721" s="32">
        <f t="shared" si="240"/>
        <v>0.55860723370112353</v>
      </c>
      <c r="M721" s="35">
        <f t="shared" si="241"/>
        <v>13.175764501302476</v>
      </c>
      <c r="O721" s="29">
        <f t="shared" si="242"/>
        <v>1046.5844311167486</v>
      </c>
      <c r="T721" s="48">
        <v>0.74781255787037038</v>
      </c>
      <c r="U721" s="29">
        <v>-1349.0947873921473</v>
      </c>
      <c r="V721" s="29">
        <v>4552.0853561436352</v>
      </c>
      <c r="W721" s="29">
        <v>4260.1139841690247</v>
      </c>
      <c r="X721" s="4">
        <v>-0.32687304711236814</v>
      </c>
      <c r="Y721" s="4">
        <v>-0.11551218311299571</v>
      </c>
      <c r="Z721" s="4">
        <v>-1.6142078760232267E-2</v>
      </c>
      <c r="AA721" s="3">
        <f t="shared" si="247"/>
        <v>0.34705852544312499</v>
      </c>
      <c r="AB721" s="3">
        <f t="shared" si="250"/>
        <v>4.1671741914167514E-3</v>
      </c>
      <c r="AC721" s="3">
        <f t="shared" si="248"/>
        <v>2.4103169660603625E-2</v>
      </c>
      <c r="AD721" s="48"/>
      <c r="AE721" s="46">
        <f t="shared" si="243"/>
        <v>42.092148173949212</v>
      </c>
      <c r="AF721" s="46">
        <f t="shared" si="244"/>
        <v>-248.53983566403735</v>
      </c>
      <c r="AG721" s="47">
        <f t="shared" si="245"/>
        <v>10309.461900119459</v>
      </c>
      <c r="AH721" s="45" t="str">
        <f t="shared" si="249"/>
        <v>-248.53984,42.09215,10309</v>
      </c>
      <c r="AI721" s="44">
        <f t="shared" si="251"/>
        <v>1021.3407887413415</v>
      </c>
    </row>
    <row r="722" spans="1:35" ht="18" customHeight="1" x14ac:dyDescent="0.25">
      <c r="A722" s="36">
        <f t="shared" si="246"/>
        <v>0.74782409722222221</v>
      </c>
      <c r="B722" s="42">
        <f t="shared" si="231"/>
        <v>42.092148170018866</v>
      </c>
      <c r="C722" s="43">
        <f t="shared" si="232"/>
        <v>111.46016728852437</v>
      </c>
      <c r="D722" s="18">
        <f t="shared" si="233"/>
        <v>10.2854574449957</v>
      </c>
      <c r="E722" s="21" t="str">
        <f t="shared" si="234"/>
        <v>Umbra</v>
      </c>
      <c r="F722" s="23">
        <f>IF($E722&lt;&gt;"Umbra",fracil2($S$2,$S$3,$S$4,$A722,$Q$2,$O$3,$Q$4,$U722,$V722,$W722),0)</f>
        <v>0</v>
      </c>
      <c r="G722" s="19">
        <f t="shared" si="235"/>
        <v>69.300499589503076</v>
      </c>
      <c r="H722" s="19">
        <f t="shared" si="236"/>
        <v>-4.2902093348485826</v>
      </c>
      <c r="I722" s="19">
        <f t="shared" si="237"/>
        <v>-3.0821913854536875</v>
      </c>
      <c r="J722" s="28">
        <f t="shared" si="238"/>
        <v>5.1166382451163063E-3</v>
      </c>
      <c r="K722" s="24">
        <f t="shared" si="239"/>
        <v>1048.6807284139554</v>
      </c>
      <c r="L722" s="32">
        <f t="shared" si="240"/>
        <v>0.55862157115180955</v>
      </c>
      <c r="M722" s="35">
        <f t="shared" si="241"/>
        <v>13.174882692483779</v>
      </c>
      <c r="O722" s="29">
        <f t="shared" si="242"/>
        <v>1046.5846684141429</v>
      </c>
      <c r="T722" s="48">
        <v>0.74782409722222221</v>
      </c>
      <c r="U722" s="29">
        <v>-1349.4209031683768</v>
      </c>
      <c r="V722" s="29">
        <v>4551.9701141341038</v>
      </c>
      <c r="W722" s="29">
        <v>4260.0978930588799</v>
      </c>
      <c r="X722" s="4">
        <v>-0.3268719429724693</v>
      </c>
      <c r="Y722" s="4">
        <v>-0.11550668314684603</v>
      </c>
      <c r="Z722" s="4">
        <v>-1.6114843657403684E-2</v>
      </c>
      <c r="AA722" s="3">
        <f t="shared" si="247"/>
        <v>0.34705438931136667</v>
      </c>
      <c r="AB722" s="3">
        <f t="shared" si="250"/>
        <v>4.1518855920685297E-3</v>
      </c>
      <c r="AC722" s="3">
        <f t="shared" si="248"/>
        <v>2.4062578410658224E-2</v>
      </c>
      <c r="AD722" s="48"/>
      <c r="AE722" s="46">
        <f t="shared" si="243"/>
        <v>42.092148170018866</v>
      </c>
      <c r="AF722" s="46">
        <f t="shared" si="244"/>
        <v>-248.53983271147564</v>
      </c>
      <c r="AG722" s="47">
        <f t="shared" si="245"/>
        <v>10285.4574449957</v>
      </c>
      <c r="AH722" s="45" t="str">
        <f t="shared" si="249"/>
        <v>-248.53983,42.09215,10285</v>
      </c>
      <c r="AI722" s="44">
        <f t="shared" si="251"/>
        <v>1021.341057258913</v>
      </c>
    </row>
    <row r="723" spans="1:35" ht="18" customHeight="1" x14ac:dyDescent="0.25">
      <c r="A723" s="36">
        <f t="shared" si="246"/>
        <v>0.74783578703703701</v>
      </c>
      <c r="B723" s="42">
        <f t="shared" si="231"/>
        <v>42.092148166051274</v>
      </c>
      <c r="C723" s="43">
        <f t="shared" si="232"/>
        <v>111.4601656827903</v>
      </c>
      <c r="D723" s="18">
        <f t="shared" si="233"/>
        <v>10.261207630100216</v>
      </c>
      <c r="E723" s="21" t="str">
        <f t="shared" si="234"/>
        <v>Umbra</v>
      </c>
      <c r="F723" s="23">
        <f>IF($E723&lt;&gt;"Umbra",fracil2($S$2,$S$3,$S$4,$A723,$Q$2,$O$3,$Q$4,$U723,$V723,$W723),0)</f>
        <v>0</v>
      </c>
      <c r="G723" s="19">
        <f t="shared" si="235"/>
        <v>69.300502296592924</v>
      </c>
      <c r="H723" s="19">
        <f t="shared" si="236"/>
        <v>-4.291528180959534</v>
      </c>
      <c r="I723" s="19">
        <f t="shared" si="237"/>
        <v>-3.083510231564639</v>
      </c>
      <c r="J723" s="28">
        <f t="shared" si="238"/>
        <v>5.1147704118401516E-3</v>
      </c>
      <c r="K723" s="24">
        <f t="shared" si="239"/>
        <v>1048.6784065994871</v>
      </c>
      <c r="L723" s="32">
        <f t="shared" si="240"/>
        <v>0.55863609278069304</v>
      </c>
      <c r="M723" s="35">
        <f t="shared" si="241"/>
        <v>13.173996531624043</v>
      </c>
      <c r="O723" s="29">
        <f t="shared" si="242"/>
        <v>1046.5845392085844</v>
      </c>
      <c r="T723" s="48">
        <v>0.74783578703703701</v>
      </c>
      <c r="U723" s="29">
        <v>-1349.7509104669507</v>
      </c>
      <c r="V723" s="29">
        <v>4551.8535020628806</v>
      </c>
      <c r="W723" s="29">
        <v>4260.0816374748811</v>
      </c>
      <c r="X723" s="4">
        <v>-0.32687079071884001</v>
      </c>
      <c r="Y723" s="4">
        <v>-0.11550125284787505</v>
      </c>
      <c r="Z723" s="4">
        <v>-1.6087409899566436E-2</v>
      </c>
      <c r="AA723" s="3">
        <f t="shared" si="247"/>
        <v>0.34705022401932711</v>
      </c>
      <c r="AB723" s="3">
        <f t="shared" si="250"/>
        <v>4.1283268700295717E-3</v>
      </c>
      <c r="AC723" s="3">
        <f t="shared" si="248"/>
        <v>2.4021691213637862E-2</v>
      </c>
      <c r="AD723" s="48"/>
      <c r="AE723" s="46">
        <f t="shared" si="243"/>
        <v>42.092148166051274</v>
      </c>
      <c r="AF723" s="46">
        <f t="shared" si="244"/>
        <v>-248.53983431720968</v>
      </c>
      <c r="AG723" s="47">
        <f t="shared" si="245"/>
        <v>10261.207630100216</v>
      </c>
      <c r="AH723" s="45" t="str">
        <f t="shared" si="249"/>
        <v>-248.53983,42.09215,10261</v>
      </c>
      <c r="AI723" s="44">
        <f t="shared" si="251"/>
        <v>1021.341191517698</v>
      </c>
    </row>
    <row r="724" spans="1:35" ht="18" customHeight="1" x14ac:dyDescent="0.25">
      <c r="A724" s="36">
        <f t="shared" si="246"/>
        <v>0.74784733796296299</v>
      </c>
      <c r="B724" s="42">
        <f t="shared" si="231"/>
        <v>42.092148162139189</v>
      </c>
      <c r="C724" s="43">
        <f t="shared" si="232"/>
        <v>111.46016542802558</v>
      </c>
      <c r="D724" s="18">
        <f t="shared" si="233"/>
        <v>10.237278784057708</v>
      </c>
      <c r="E724" s="21" t="str">
        <f t="shared" si="234"/>
        <v>Umbra</v>
      </c>
      <c r="F724" s="23">
        <f>IF($E724&lt;&gt;"Umbra",fracil2($S$2,$S$3,$S$4,$A724,$Q$2,$O$3,$Q$4,$U724,$V724,$W724),0)</f>
        <v>0</v>
      </c>
      <c r="G724" s="19">
        <f t="shared" si="235"/>
        <v>69.300506321221704</v>
      </c>
      <c r="H724" s="19">
        <f t="shared" si="236"/>
        <v>-4.2928301025390754</v>
      </c>
      <c r="I724" s="19">
        <f t="shared" si="237"/>
        <v>-3.0848121531441803</v>
      </c>
      <c r="J724" s="28">
        <f t="shared" si="238"/>
        <v>5.1129328162819714E-3</v>
      </c>
      <c r="K724" s="24">
        <f t="shared" si="239"/>
        <v>1048.6762230106422</v>
      </c>
      <c r="L724" s="32">
        <f t="shared" si="240"/>
        <v>0.55865043662521952</v>
      </c>
      <c r="M724" s="35">
        <f t="shared" si="241"/>
        <v>13.173120731623024</v>
      </c>
      <c r="O724" s="29">
        <f t="shared" si="242"/>
        <v>1046.5845186268041</v>
      </c>
      <c r="T724" s="48">
        <v>0.74784733796296299</v>
      </c>
      <c r="U724" s="29">
        <v>-1350.0770999467102</v>
      </c>
      <c r="V724" s="29">
        <v>4551.7382439751318</v>
      </c>
      <c r="W724" s="29">
        <v>4260.0655970489051</v>
      </c>
      <c r="X724" s="4">
        <v>-0.32686961763432287</v>
      </c>
      <c r="Y724" s="4">
        <v>-0.11549601770127732</v>
      </c>
      <c r="Z724" s="4">
        <v>-1.6060417084399134E-2</v>
      </c>
      <c r="AA724" s="3">
        <f t="shared" si="247"/>
        <v>0.34704612666645202</v>
      </c>
      <c r="AB724" s="3">
        <f t="shared" si="250"/>
        <v>4.1108006894184472E-3</v>
      </c>
      <c r="AC724" s="3">
        <f t="shared" si="248"/>
        <v>2.3981461323100379E-2</v>
      </c>
      <c r="AD724" s="48"/>
      <c r="AE724" s="46">
        <f t="shared" si="243"/>
        <v>42.092148162139189</v>
      </c>
      <c r="AF724" s="46">
        <f t="shared" si="244"/>
        <v>-248.53983457197444</v>
      </c>
      <c r="AG724" s="47">
        <f t="shared" si="245"/>
        <v>10237.278784057708</v>
      </c>
      <c r="AH724" s="45" t="str">
        <f t="shared" si="249"/>
        <v>-248.53983,42.09215,10237</v>
      </c>
      <c r="AI724" s="44">
        <f t="shared" si="251"/>
        <v>1021.341191517698</v>
      </c>
    </row>
    <row r="725" spans="1:35" ht="18" customHeight="1" x14ac:dyDescent="0.25">
      <c r="A725" s="36">
        <f t="shared" si="246"/>
        <v>0.74785881944444454</v>
      </c>
      <c r="B725" s="42">
        <f t="shared" si="231"/>
        <v>42.092148158258873</v>
      </c>
      <c r="C725" s="43">
        <f t="shared" si="232"/>
        <v>111.46016630881928</v>
      </c>
      <c r="D725" s="18">
        <f t="shared" si="233"/>
        <v>10.213527035733023</v>
      </c>
      <c r="E725" s="21" t="str">
        <f t="shared" si="234"/>
        <v>Umbra</v>
      </c>
      <c r="F725" s="23">
        <f>IF($E725&lt;&gt;"Umbra",fracil2($S$2,$S$3,$S$4,$A725,$Q$2,$O$3,$Q$4,$U725,$V725,$W725),0)</f>
        <v>0</v>
      </c>
      <c r="G725" s="19">
        <f t="shared" si="235"/>
        <v>69.300511469905146</v>
      </c>
      <c r="H725" s="19">
        <f t="shared" si="236"/>
        <v>-4.2941228421890116</v>
      </c>
      <c r="I725" s="19">
        <f t="shared" si="237"/>
        <v>-3.0861048927941166</v>
      </c>
      <c r="J725" s="28">
        <f t="shared" si="238"/>
        <v>5.1111143703057972E-3</v>
      </c>
      <c r="K725" s="24">
        <f t="shared" si="239"/>
        <v>1048.6741472989988</v>
      </c>
      <c r="L725" s="32">
        <f t="shared" si="240"/>
        <v>0.55866468915568979</v>
      </c>
      <c r="M725" s="35">
        <f t="shared" si="241"/>
        <v>13.172250245334885</v>
      </c>
      <c r="O725" s="29">
        <f t="shared" si="242"/>
        <v>1046.5845893484704</v>
      </c>
      <c r="T725" s="48">
        <v>0.74785881944444454</v>
      </c>
      <c r="U725" s="29">
        <v>-1350.4014159299836</v>
      </c>
      <c r="V725" s="29">
        <v>4551.6236525797449</v>
      </c>
      <c r="W725" s="29">
        <v>4260.0496753385769</v>
      </c>
      <c r="X725" s="4">
        <v>-0.32686841720727966</v>
      </c>
      <c r="Y725" s="4">
        <v>-0.1154909442930427</v>
      </c>
      <c r="Z725" s="4">
        <v>-1.6033702271040427E-2</v>
      </c>
      <c r="AA725" s="3">
        <f t="shared" si="247"/>
        <v>0.34704207236271412</v>
      </c>
      <c r="AB725" s="3">
        <f t="shared" si="250"/>
        <v>4.0930579760574785E-3</v>
      </c>
      <c r="AC725" s="3">
        <f t="shared" si="248"/>
        <v>2.3941645888799004E-2</v>
      </c>
      <c r="AD725" s="48"/>
      <c r="AE725" s="46">
        <f t="shared" si="243"/>
        <v>42.092148158258873</v>
      </c>
      <c r="AF725" s="46">
        <f t="shared" si="244"/>
        <v>-248.53983369118072</v>
      </c>
      <c r="AG725" s="47">
        <f t="shared" si="245"/>
        <v>10213.527035733023</v>
      </c>
      <c r="AH725" s="45" t="str">
        <f t="shared" si="249"/>
        <v>-248.53983,42.09215,10214</v>
      </c>
      <c r="AI725" s="44">
        <f t="shared" si="251"/>
        <v>1021.341286452996</v>
      </c>
    </row>
    <row r="726" spans="1:35" ht="18" customHeight="1" x14ac:dyDescent="0.25">
      <c r="A726" s="36">
        <f t="shared" si="246"/>
        <v>0.74787056712962963</v>
      </c>
      <c r="B726" s="42">
        <f t="shared" si="231"/>
        <v>42.092148154301398</v>
      </c>
      <c r="C726" s="43">
        <f t="shared" si="232"/>
        <v>111.46016389134695</v>
      </c>
      <c r="D726" s="18">
        <f t="shared" si="233"/>
        <v>10.189284389017303</v>
      </c>
      <c r="E726" s="21" t="str">
        <f t="shared" si="234"/>
        <v>Umbra</v>
      </c>
      <c r="F726" s="23">
        <f>IF($E726&lt;&gt;"Umbra",fracil2($S$2,$S$3,$S$4,$A726,$Q$2,$O$3,$Q$4,$U726,$V726,$W726),0)</f>
        <v>0</v>
      </c>
      <c r="G726" s="19">
        <f t="shared" si="235"/>
        <v>69.300513349589352</v>
      </c>
      <c r="H726" s="19">
        <f t="shared" si="236"/>
        <v>-4.295440994332405</v>
      </c>
      <c r="I726" s="19">
        <f t="shared" si="237"/>
        <v>-3.08742304493751</v>
      </c>
      <c r="J726" s="28">
        <f t="shared" si="238"/>
        <v>5.1092642637685908E-3</v>
      </c>
      <c r="K726" s="24">
        <f t="shared" si="239"/>
        <v>1048.6717624952714</v>
      </c>
      <c r="L726" s="32">
        <f t="shared" si="240"/>
        <v>0.55867926887574304</v>
      </c>
      <c r="M726" s="35">
        <f t="shared" si="241"/>
        <v>13.171365132429949</v>
      </c>
      <c r="O726" s="29">
        <f t="shared" si="242"/>
        <v>1046.5843948767251</v>
      </c>
      <c r="T726" s="48">
        <v>0.74787056712962963</v>
      </c>
      <c r="U726" s="29">
        <v>-1350.7329904801643</v>
      </c>
      <c r="V726" s="29">
        <v>4551.5065011917432</v>
      </c>
      <c r="W726" s="29">
        <v>4260.0334245604317</v>
      </c>
      <c r="X726" s="4">
        <v>-0.32686715527529431</v>
      </c>
      <c r="Y726" s="4">
        <v>-0.1154858912544703</v>
      </c>
      <c r="Z726" s="4">
        <v>-1.6006514608475582E-2</v>
      </c>
      <c r="AA726" s="3">
        <f t="shared" si="247"/>
        <v>0.34703794718519482</v>
      </c>
      <c r="AB726" s="3">
        <f t="shared" si="250"/>
        <v>4.0711010665719785E-3</v>
      </c>
      <c r="AC726" s="3">
        <f t="shared" si="248"/>
        <v>2.3901125853484674E-2</v>
      </c>
      <c r="AD726" s="48"/>
      <c r="AE726" s="46">
        <f t="shared" si="243"/>
        <v>42.092148154301398</v>
      </c>
      <c r="AF726" s="46">
        <f t="shared" si="244"/>
        <v>-248.53983610865305</v>
      </c>
      <c r="AG726" s="47">
        <f t="shared" si="245"/>
        <v>10189.284389017303</v>
      </c>
      <c r="AH726" s="45" t="str">
        <f t="shared" si="249"/>
        <v>-248.53984,42.09215,10189</v>
      </c>
      <c r="AI726" s="44">
        <f t="shared" si="251"/>
        <v>1021.3414763235919</v>
      </c>
    </row>
    <row r="727" spans="1:35" ht="18" customHeight="1" x14ac:dyDescent="0.25">
      <c r="A727" s="36">
        <f t="shared" si="246"/>
        <v>0.74788194444444445</v>
      </c>
      <c r="B727" s="42">
        <f t="shared" si="231"/>
        <v>42.092148150472724</v>
      </c>
      <c r="C727" s="43">
        <f t="shared" si="232"/>
        <v>111.46016718168374</v>
      </c>
      <c r="D727" s="18">
        <f t="shared" si="233"/>
        <v>10.165813035066094</v>
      </c>
      <c r="E727" s="21" t="str">
        <f t="shared" si="234"/>
        <v>Umbra</v>
      </c>
      <c r="F727" s="23">
        <f>IF($E727&lt;&gt;"Umbra",fracil2($S$2,$S$3,$S$4,$A727,$Q$2,$O$3,$Q$4,$U727,$V727,$W727),0)</f>
        <v>0</v>
      </c>
      <c r="G727" s="19">
        <f t="shared" si="235"/>
        <v>69.300520900478404</v>
      </c>
      <c r="H727" s="19">
        <f t="shared" si="236"/>
        <v>-4.2967194397737618</v>
      </c>
      <c r="I727" s="19">
        <f t="shared" si="237"/>
        <v>-3.0887014903788668</v>
      </c>
      <c r="J727" s="28">
        <f t="shared" si="238"/>
        <v>5.1074782669673991E-3</v>
      </c>
      <c r="K727" s="24">
        <f t="shared" si="239"/>
        <v>1048.669906984268</v>
      </c>
      <c r="L727" s="32">
        <f t="shared" si="240"/>
        <v>0.5586933819578509</v>
      </c>
      <c r="M727" s="35">
        <f t="shared" si="241"/>
        <v>13.170502431419722</v>
      </c>
      <c r="O727" s="29">
        <f t="shared" si="242"/>
        <v>1046.5846593348974</v>
      </c>
      <c r="T727" s="48">
        <v>0.74788194444444445</v>
      </c>
      <c r="U727" s="29">
        <v>-1351.0545508033106</v>
      </c>
      <c r="V727" s="29">
        <v>4551.3928924072006</v>
      </c>
      <c r="W727" s="29">
        <v>4260.0176908097219</v>
      </c>
      <c r="X727" s="4">
        <v>-0.32686589753273704</v>
      </c>
      <c r="Y727" s="4">
        <v>-0.11548112159512637</v>
      </c>
      <c r="Z727" s="4">
        <v>-1.5980270167120687E-2</v>
      </c>
      <c r="AA727" s="3">
        <f t="shared" si="247"/>
        <v>0.34703396584392754</v>
      </c>
      <c r="AB727" s="3">
        <f t="shared" si="250"/>
        <v>4.0577767992408358E-3</v>
      </c>
      <c r="AC727" s="3">
        <f t="shared" si="248"/>
        <v>2.3862011733699288E-2</v>
      </c>
      <c r="AD727" s="48"/>
      <c r="AE727" s="46">
        <f t="shared" si="243"/>
        <v>42.092148150472724</v>
      </c>
      <c r="AF727" s="46">
        <f t="shared" si="244"/>
        <v>-248.53983281831626</v>
      </c>
      <c r="AG727" s="47">
        <f t="shared" si="245"/>
        <v>10165.813035066094</v>
      </c>
      <c r="AH727" s="45" t="str">
        <f t="shared" si="249"/>
        <v>-248.53983,42.09215,10166</v>
      </c>
      <c r="AI727" s="44">
        <f t="shared" si="251"/>
        <v>1021.3417274987811</v>
      </c>
    </row>
    <row r="728" spans="1:35" ht="18" customHeight="1" x14ac:dyDescent="0.25">
      <c r="A728" s="36">
        <f t="shared" si="246"/>
        <v>0.74789365740740743</v>
      </c>
      <c r="B728" s="42">
        <f t="shared" si="231"/>
        <v>42.092148146546052</v>
      </c>
      <c r="C728" s="43">
        <f t="shared" si="232"/>
        <v>111.46016499169245</v>
      </c>
      <c r="D728" s="18">
        <f t="shared" si="233"/>
        <v>10.141721151518141</v>
      </c>
      <c r="E728" s="21" t="str">
        <f t="shared" si="234"/>
        <v>Umbra</v>
      </c>
      <c r="F728" s="23">
        <f>IF($E728&lt;&gt;"Umbra",fracil2($S$2,$S$3,$S$4,$A728,$Q$2,$O$3,$Q$4,$U728,$V728,$W728),0)</f>
        <v>0</v>
      </c>
      <c r="G728" s="19">
        <f t="shared" si="235"/>
        <v>69.300522984725575</v>
      </c>
      <c r="H728" s="19">
        <f t="shared" si="236"/>
        <v>-4.2980294895169626</v>
      </c>
      <c r="I728" s="19">
        <f t="shared" si="237"/>
        <v>-3.0900115401220676</v>
      </c>
      <c r="J728" s="28">
        <f t="shared" si="238"/>
        <v>5.1056511136132222E-3</v>
      </c>
      <c r="K728" s="24">
        <f t="shared" si="239"/>
        <v>1048.6675551845663</v>
      </c>
      <c r="L728" s="32">
        <f t="shared" si="240"/>
        <v>0.55870790921511404</v>
      </c>
      <c r="M728" s="35">
        <f t="shared" si="241"/>
        <v>13.169622579410875</v>
      </c>
      <c r="O728" s="29">
        <f t="shared" si="242"/>
        <v>1046.5844831541481</v>
      </c>
      <c r="T728" s="48">
        <v>0.74789365740740743</v>
      </c>
      <c r="U728" s="29">
        <v>-1351.3851600298424</v>
      </c>
      <c r="V728" s="29">
        <v>4551.2760909663739</v>
      </c>
      <c r="W728" s="29">
        <v>4260.0015410944425</v>
      </c>
      <c r="X728" s="4">
        <v>-0.32686456998667046</v>
      </c>
      <c r="Y728" s="4">
        <v>-0.11547635042895728</v>
      </c>
      <c r="Z728" s="4">
        <v>-1.5953411143124634E-2</v>
      </c>
      <c r="AA728" s="3">
        <f t="shared" si="247"/>
        <v>0.34702989200941164</v>
      </c>
      <c r="AB728" s="3">
        <f t="shared" si="250"/>
        <v>4.0337846502983875E-3</v>
      </c>
      <c r="AC728" s="3">
        <f t="shared" si="248"/>
        <v>2.3821981777911019E-2</v>
      </c>
      <c r="AD728" s="48"/>
      <c r="AE728" s="46">
        <f t="shared" si="243"/>
        <v>42.092148146546052</v>
      </c>
      <c r="AF728" s="46">
        <f t="shared" si="244"/>
        <v>-248.53983500830753</v>
      </c>
      <c r="AG728" s="47">
        <f t="shared" si="245"/>
        <v>10141.721151518141</v>
      </c>
      <c r="AH728" s="45" t="str">
        <f t="shared" si="249"/>
        <v>-248.53984,42.09215,10142</v>
      </c>
      <c r="AI728" s="44">
        <f t="shared" si="251"/>
        <v>1021.341917369377</v>
      </c>
    </row>
    <row r="729" spans="1:35" ht="18" customHeight="1" x14ac:dyDescent="0.25">
      <c r="A729" s="36">
        <f t="shared" si="246"/>
        <v>0.74790515046296291</v>
      </c>
      <c r="B729" s="42">
        <f t="shared" si="231"/>
        <v>42.092148142698896</v>
      </c>
      <c r="C729" s="43">
        <f t="shared" si="232"/>
        <v>111.46016679447574</v>
      </c>
      <c r="D729" s="18">
        <f t="shared" si="233"/>
        <v>10.118098415259738</v>
      </c>
      <c r="E729" s="21" t="str">
        <f t="shared" si="234"/>
        <v>Umbra</v>
      </c>
      <c r="F729" s="23">
        <f>IF($E729&lt;&gt;"Umbra",fracil2($S$2,$S$3,$S$4,$A729,$Q$2,$O$3,$Q$4,$U729,$V729,$W729),0)</f>
        <v>0</v>
      </c>
      <c r="G729" s="19">
        <f t="shared" si="235"/>
        <v>69.300529048744437</v>
      </c>
      <c r="H729" s="19">
        <f t="shared" si="236"/>
        <v>-4.2993155943182773</v>
      </c>
      <c r="I729" s="19">
        <f t="shared" si="237"/>
        <v>-3.0912976449233822</v>
      </c>
      <c r="J729" s="28">
        <f t="shared" si="238"/>
        <v>5.1038647922188136E-3</v>
      </c>
      <c r="K729" s="24">
        <f t="shared" si="239"/>
        <v>1048.6655674204314</v>
      </c>
      <c r="L729" s="32">
        <f t="shared" si="240"/>
        <v>0.55872215745102582</v>
      </c>
      <c r="M729" s="35">
        <f t="shared" si="241"/>
        <v>13.168755824861568</v>
      </c>
      <c r="O729" s="29">
        <f t="shared" si="242"/>
        <v>1046.5846280076562</v>
      </c>
      <c r="T729" s="48">
        <v>0.74790515046296291</v>
      </c>
      <c r="U729" s="29">
        <v>-1351.7098700093034</v>
      </c>
      <c r="V729" s="29">
        <v>4551.1613778450483</v>
      </c>
      <c r="W729" s="29">
        <v>4259.9857058668713</v>
      </c>
      <c r="X729" s="4">
        <v>-0.32686323271055023</v>
      </c>
      <c r="Y729" s="4">
        <v>-0.11547179341185454</v>
      </c>
      <c r="Z729" s="4">
        <v>-1.5927151877838785E-2</v>
      </c>
      <c r="AA729" s="3">
        <f t="shared" si="247"/>
        <v>0.34702590989532911</v>
      </c>
      <c r="AB729" s="3">
        <f t="shared" si="250"/>
        <v>4.0191578091875995E-3</v>
      </c>
      <c r="AC729" s="3">
        <f t="shared" si="248"/>
        <v>2.3782845799464727E-2</v>
      </c>
      <c r="AD729" s="48"/>
      <c r="AE729" s="46">
        <f t="shared" si="243"/>
        <v>42.092148142698896</v>
      </c>
      <c r="AF729" s="46">
        <f t="shared" si="244"/>
        <v>-248.53983320552425</v>
      </c>
      <c r="AG729" s="47">
        <f t="shared" si="245"/>
        <v>10118.098415259738</v>
      </c>
      <c r="AH729" s="45" t="str">
        <f t="shared" si="249"/>
        <v>-248.53983,42.09215,10118</v>
      </c>
      <c r="AI729" s="44">
        <f t="shared" si="251"/>
        <v>1021.342051628162</v>
      </c>
    </row>
    <row r="730" spans="1:35" ht="18" customHeight="1" x14ac:dyDescent="0.25">
      <c r="A730" s="36">
        <f t="shared" si="246"/>
        <v>0.74791668981481474</v>
      </c>
      <c r="B730" s="42">
        <f t="shared" si="231"/>
        <v>42.092148138845992</v>
      </c>
      <c r="C730" s="43">
        <f t="shared" si="232"/>
        <v>111.46016816841959</v>
      </c>
      <c r="D730" s="18">
        <f t="shared" si="233"/>
        <v>10.094422056397889</v>
      </c>
      <c r="E730" s="21" t="str">
        <f t="shared" si="234"/>
        <v>Umbra</v>
      </c>
      <c r="F730" s="23">
        <f>IF($E730&lt;&gt;"Umbra",fracil2($S$2,$S$3,$S$4,$A730,$Q$2,$O$3,$Q$4,$U730,$V730,$W730),0)</f>
        <v>0</v>
      </c>
      <c r="G730" s="19">
        <f t="shared" si="235"/>
        <v>69.300534685913405</v>
      </c>
      <c r="H730" s="19">
        <f t="shared" si="236"/>
        <v>-4.3006044524476623</v>
      </c>
      <c r="I730" s="19">
        <f t="shared" si="237"/>
        <v>-3.0925865030527673</v>
      </c>
      <c r="J730" s="28">
        <f t="shared" si="238"/>
        <v>5.1020799698057789E-3</v>
      </c>
      <c r="K730" s="24">
        <f t="shared" si="239"/>
        <v>1048.6635408531736</v>
      </c>
      <c r="L730" s="32">
        <f t="shared" si="240"/>
        <v>0.55873645876637201</v>
      </c>
      <c r="M730" s="35">
        <f t="shared" si="241"/>
        <v>13.167887530767315</v>
      </c>
      <c r="O730" s="29">
        <f t="shared" si="242"/>
        <v>1046.5847383809014</v>
      </c>
      <c r="T730" s="48">
        <v>0.74791668981481474</v>
      </c>
      <c r="U730" s="29">
        <v>-1352.0358525360016</v>
      </c>
      <c r="V730" s="29">
        <v>4551.0462191710321</v>
      </c>
      <c r="W730" s="29">
        <v>4259.9698346942587</v>
      </c>
      <c r="X730" s="4">
        <v>-0.32686185679397012</v>
      </c>
      <c r="Y730" s="4">
        <v>-0.11546734729405307</v>
      </c>
      <c r="Z730" s="4">
        <v>-1.5900909965340392E-2</v>
      </c>
      <c r="AA730" s="3">
        <f t="shared" si="247"/>
        <v>0.34702193108743595</v>
      </c>
      <c r="AB730" s="3">
        <f t="shared" si="250"/>
        <v>4.0003756477193864E-3</v>
      </c>
      <c r="AC730" s="3">
        <f t="shared" si="248"/>
        <v>2.3743735798914069E-2</v>
      </c>
      <c r="AD730" s="48"/>
      <c r="AE730" s="46">
        <f t="shared" si="243"/>
        <v>42.092148138845992</v>
      </c>
      <c r="AF730" s="46">
        <f t="shared" si="244"/>
        <v>-248.53983183158041</v>
      </c>
      <c r="AG730" s="47">
        <f t="shared" si="245"/>
        <v>10094.422056397889</v>
      </c>
      <c r="AH730" s="45" t="str">
        <f t="shared" si="249"/>
        <v>-248.53983,42.09215,10094</v>
      </c>
      <c r="AI730" s="44">
        <f t="shared" si="251"/>
        <v>1021.342185886947</v>
      </c>
    </row>
    <row r="731" spans="1:35" ht="18" customHeight="1" x14ac:dyDescent="0.25">
      <c r="A731" s="36">
        <f t="shared" si="246"/>
        <v>0.74792833333333331</v>
      </c>
      <c r="B731" s="42">
        <f t="shared" si="231"/>
        <v>42.092148134972184</v>
      </c>
      <c r="C731" s="43">
        <f t="shared" si="232"/>
        <v>111.46016465392458</v>
      </c>
      <c r="D731" s="18">
        <f t="shared" si="233"/>
        <v>10.070599225468868</v>
      </c>
      <c r="E731" s="21" t="str">
        <f t="shared" si="234"/>
        <v>Umbra</v>
      </c>
      <c r="F731" s="23">
        <f>IF($E731&lt;&gt;"Umbra",fracil2($S$2,$S$3,$S$4,$A731,$Q$2,$O$3,$Q$4,$U731,$V731,$W731),0)</f>
        <v>0</v>
      </c>
      <c r="G731" s="19">
        <f t="shared" si="235"/>
        <v>69.300535373988851</v>
      </c>
      <c r="H731" s="19">
        <f t="shared" si="236"/>
        <v>-4.3018993557476231</v>
      </c>
      <c r="I731" s="19">
        <f t="shared" si="237"/>
        <v>-3.093881406352728</v>
      </c>
      <c r="J731" s="28">
        <f t="shared" si="238"/>
        <v>5.1002899933772312E-3</v>
      </c>
      <c r="K731" s="24">
        <f t="shared" si="239"/>
        <v>1048.6611084291769</v>
      </c>
      <c r="L731" s="32">
        <f t="shared" si="240"/>
        <v>0.55875088679765039</v>
      </c>
      <c r="M731" s="35">
        <f t="shared" si="241"/>
        <v>13.167018838028881</v>
      </c>
      <c r="O731" s="29">
        <f t="shared" si="242"/>
        <v>1046.5844557070059</v>
      </c>
      <c r="T731" s="48">
        <v>0.74792833333333331</v>
      </c>
      <c r="U731" s="29">
        <v>-1352.3643929510592</v>
      </c>
      <c r="V731" s="29">
        <v>4550.9301608057194</v>
      </c>
      <c r="W731" s="29">
        <v>4259.9538653360396</v>
      </c>
      <c r="X731" s="4">
        <v>-0.32686043643230517</v>
      </c>
      <c r="Y731" s="4">
        <v>-0.11546299596699243</v>
      </c>
      <c r="Z731" s="4">
        <v>-1.5874583260835892E-2</v>
      </c>
      <c r="AA731" s="3">
        <f t="shared" si="247"/>
        <v>0.34701794007816933</v>
      </c>
      <c r="AB731" s="3">
        <f t="shared" si="250"/>
        <v>3.9773851593951724E-3</v>
      </c>
      <c r="AC731" s="3">
        <f t="shared" si="248"/>
        <v>2.3704499546607638E-2</v>
      </c>
      <c r="AD731" s="48"/>
      <c r="AE731" s="46">
        <f t="shared" si="243"/>
        <v>42.092148134972184</v>
      </c>
      <c r="AF731" s="46">
        <f t="shared" si="244"/>
        <v>-248.53983534607542</v>
      </c>
      <c r="AG731" s="47">
        <f t="shared" si="245"/>
        <v>10070.599225468868</v>
      </c>
      <c r="AH731" s="45" t="str">
        <f t="shared" si="249"/>
        <v>-248.53984,42.09215,10071</v>
      </c>
      <c r="AI731" s="44">
        <f t="shared" si="251"/>
        <v>1021.3424544045185</v>
      </c>
    </row>
    <row r="732" spans="1:35" ht="18" customHeight="1" x14ac:dyDescent="0.25">
      <c r="A732" s="36">
        <f t="shared" si="246"/>
        <v>0.74793987268518514</v>
      </c>
      <c r="B732" s="42">
        <f t="shared" si="231"/>
        <v>42.092148131138821</v>
      </c>
      <c r="C732" s="43">
        <f t="shared" si="232"/>
        <v>111.46016511422437</v>
      </c>
      <c r="D732" s="18">
        <f t="shared" si="233"/>
        <v>10.047006063348817</v>
      </c>
      <c r="E732" s="21" t="str">
        <f t="shared" si="234"/>
        <v>Umbra</v>
      </c>
      <c r="F732" s="23">
        <f>IF($E732&lt;&gt;"Umbra",fracil2($S$2,$S$3,$S$4,$A732,$Q$2,$O$3,$Q$4,$U732,$V732,$W732),0)</f>
        <v>0</v>
      </c>
      <c r="G732" s="19">
        <f t="shared" si="235"/>
        <v>69.300540066406668</v>
      </c>
      <c r="H732" s="19">
        <f t="shared" si="236"/>
        <v>-4.3031833366586678</v>
      </c>
      <c r="I732" s="19">
        <f t="shared" si="237"/>
        <v>-3.0951653872637728</v>
      </c>
      <c r="J732" s="28">
        <f t="shared" si="238"/>
        <v>5.0985225310775702E-3</v>
      </c>
      <c r="K732" s="24">
        <f t="shared" si="239"/>
        <v>1048.6590169474264</v>
      </c>
      <c r="L732" s="32">
        <f t="shared" si="240"/>
        <v>0.55876517951498594</v>
      </c>
      <c r="M732" s="35">
        <f t="shared" si="241"/>
        <v>13.166154494090614</v>
      </c>
      <c r="O732" s="29">
        <f t="shared" si="242"/>
        <v>1046.5844926207512</v>
      </c>
      <c r="T732" s="48">
        <v>0.74793987268518514</v>
      </c>
      <c r="U732" s="29">
        <v>-1352.6903012234047</v>
      </c>
      <c r="V732" s="29">
        <v>4550.815036009405</v>
      </c>
      <c r="W732" s="29">
        <v>4259.9380499338986</v>
      </c>
      <c r="X732" s="4">
        <v>-0.32685899414764036</v>
      </c>
      <c r="Y732" s="4">
        <v>-0.11545880773971352</v>
      </c>
      <c r="Z732" s="4">
        <v>-1.5848587254555145E-2</v>
      </c>
      <c r="AA732" s="3">
        <f t="shared" si="247"/>
        <v>0.34701399980094255</v>
      </c>
      <c r="AB732" s="3">
        <f t="shared" si="250"/>
        <v>3.962864922617995E-3</v>
      </c>
      <c r="AC732" s="3">
        <f t="shared" si="248"/>
        <v>2.3665756272736812E-2</v>
      </c>
      <c r="AD732" s="48"/>
      <c r="AE732" s="46">
        <f t="shared" si="243"/>
        <v>42.092148131138821</v>
      </c>
      <c r="AF732" s="46">
        <f t="shared" si="244"/>
        <v>-248.53983488577563</v>
      </c>
      <c r="AG732" s="47">
        <f t="shared" si="245"/>
        <v>10047.006063348817</v>
      </c>
      <c r="AH732" s="45" t="str">
        <f t="shared" si="249"/>
        <v>-248.53983,42.09215,10047</v>
      </c>
      <c r="AI732" s="44">
        <f t="shared" si="251"/>
        <v>1021.3424544045185</v>
      </c>
    </row>
    <row r="733" spans="1:35" ht="18" customHeight="1" x14ac:dyDescent="0.25">
      <c r="A733" s="36">
        <f t="shared" si="246"/>
        <v>0.74795140046296293</v>
      </c>
      <c r="B733" s="42">
        <f t="shared" si="231"/>
        <v>42.092148127319014</v>
      </c>
      <c r="C733" s="43">
        <f t="shared" si="232"/>
        <v>111.4601647205663</v>
      </c>
      <c r="D733" s="18">
        <f t="shared" si="233"/>
        <v>10.023479906561079</v>
      </c>
      <c r="E733" s="21" t="str">
        <f t="shared" si="234"/>
        <v>Umbra</v>
      </c>
      <c r="F733" s="23">
        <f>IF($E733&lt;&gt;"Umbra",fracil2($S$2,$S$3,$S$4,$A733,$Q$2,$O$3,$Q$4,$U733,$V733,$W733),0)</f>
        <v>0</v>
      </c>
      <c r="G733" s="19">
        <f t="shared" si="235"/>
        <v>69.300543877706716</v>
      </c>
      <c r="H733" s="19">
        <f t="shared" si="236"/>
        <v>-4.3044633396690397</v>
      </c>
      <c r="I733" s="19">
        <f t="shared" si="237"/>
        <v>-3.0964453902741447</v>
      </c>
      <c r="J733" s="28">
        <f t="shared" si="238"/>
        <v>5.0967656196592298E-3</v>
      </c>
      <c r="K733" s="24">
        <f t="shared" si="239"/>
        <v>1048.6568633524053</v>
      </c>
      <c r="L733" s="32">
        <f t="shared" si="240"/>
        <v>0.55877945383195637</v>
      </c>
      <c r="M733" s="35">
        <f t="shared" si="241"/>
        <v>13.165293460010245</v>
      </c>
      <c r="O733" s="29">
        <f t="shared" si="242"/>
        <v>1046.5844608737982</v>
      </c>
      <c r="T733" s="48">
        <v>0.74795140046296293</v>
      </c>
      <c r="U733" s="29">
        <v>-1353.015814406393</v>
      </c>
      <c r="V733" s="29">
        <v>4550.7000543681106</v>
      </c>
      <c r="W733" s="29">
        <v>4259.9222794482275</v>
      </c>
      <c r="X733" s="4">
        <v>-0.32685752059355455</v>
      </c>
      <c r="Y733" s="4">
        <v>-0.11545475163748516</v>
      </c>
      <c r="Z733" s="4">
        <v>-1.5822741431419488E-2</v>
      </c>
      <c r="AA733" s="3">
        <f t="shared" si="247"/>
        <v>0.34701008283714879</v>
      </c>
      <c r="AB733" s="3">
        <f t="shared" si="250"/>
        <v>3.9439144187035135E-3</v>
      </c>
      <c r="AC733" s="3">
        <f t="shared" si="248"/>
        <v>2.3627236944046098E-2</v>
      </c>
      <c r="AD733" s="48"/>
      <c r="AE733" s="46">
        <f t="shared" si="243"/>
        <v>42.092148127319014</v>
      </c>
      <c r="AF733" s="46">
        <f t="shared" si="244"/>
        <v>-248.5398352794337</v>
      </c>
      <c r="AG733" s="47">
        <f t="shared" si="245"/>
        <v>10023.479906561079</v>
      </c>
      <c r="AH733" s="45" t="str">
        <f t="shared" si="249"/>
        <v>-248.53984,42.09215,10023</v>
      </c>
      <c r="AI733" s="44">
        <f t="shared" si="251"/>
        <v>1021.3424544045185</v>
      </c>
    </row>
    <row r="734" spans="1:35" ht="18" customHeight="1" x14ac:dyDescent="0.25">
      <c r="A734" s="36">
        <f t="shared" si="246"/>
        <v>0.74796303240740736</v>
      </c>
      <c r="B734" s="42">
        <f t="shared" si="231"/>
        <v>42.092148123471901</v>
      </c>
      <c r="C734" s="43">
        <f t="shared" si="232"/>
        <v>111.46016642730055</v>
      </c>
      <c r="D734" s="18">
        <f t="shared" si="233"/>
        <v>9.9997681272607224</v>
      </c>
      <c r="E734" s="21" t="str">
        <f t="shared" si="234"/>
        <v>Umbra</v>
      </c>
      <c r="F734" s="23">
        <f>IF($E734&lt;&gt;"Umbra",fracil2($S$2,$S$3,$S$4,$A734,$Q$2,$O$3,$Q$4,$U734,$V734,$W734),0)</f>
        <v>0</v>
      </c>
      <c r="G734" s="19">
        <f t="shared" si="235"/>
        <v>69.300549859979085</v>
      </c>
      <c r="H734" s="19">
        <f t="shared" si="236"/>
        <v>-4.3057542771072264</v>
      </c>
      <c r="I734" s="19">
        <f t="shared" si="237"/>
        <v>-3.0977363277123313</v>
      </c>
      <c r="J734" s="28">
        <f t="shared" si="238"/>
        <v>5.0950000942468461E-3</v>
      </c>
      <c r="K734" s="24">
        <f t="shared" si="239"/>
        <v>1048.6548624760701</v>
      </c>
      <c r="L734" s="32">
        <f t="shared" si="240"/>
        <v>0.55879385171191343</v>
      </c>
      <c r="M734" s="35">
        <f t="shared" si="241"/>
        <v>13.164423477755639</v>
      </c>
      <c r="O734" s="29">
        <f t="shared" si="242"/>
        <v>1046.5845980046297</v>
      </c>
      <c r="T734" s="48">
        <v>0.74796303240740736</v>
      </c>
      <c r="U734" s="29">
        <v>-1353.3444320819651</v>
      </c>
      <c r="V734" s="29">
        <v>4550.5839796235787</v>
      </c>
      <c r="W734" s="29">
        <v>4259.9063845328992</v>
      </c>
      <c r="X734" s="4">
        <v>-0.32685600032524947</v>
      </c>
      <c r="Y734" s="4">
        <v>-0.11545078277386012</v>
      </c>
      <c r="Z734" s="4">
        <v>-1.5796766711768401E-2</v>
      </c>
      <c r="AA734" s="3">
        <f t="shared" si="247"/>
        <v>0.3470061469632239</v>
      </c>
      <c r="AB734" s="3">
        <f t="shared" si="250"/>
        <v>3.9280762059465185E-3</v>
      </c>
      <c r="AC734" s="3">
        <f t="shared" si="248"/>
        <v>2.3588525635194278E-2</v>
      </c>
      <c r="AD734" s="48"/>
      <c r="AE734" s="46">
        <f t="shared" si="243"/>
        <v>42.092148123471901</v>
      </c>
      <c r="AF734" s="46">
        <f t="shared" si="244"/>
        <v>-248.53983357269945</v>
      </c>
      <c r="AG734" s="47">
        <f t="shared" si="245"/>
        <v>9999.7681272607224</v>
      </c>
      <c r="AH734" s="45" t="str">
        <f t="shared" si="249"/>
        <v>-248.53983,42.09215,10000</v>
      </c>
      <c r="AI734" s="44">
        <f t="shared" si="251"/>
        <v>1021.3425886633036</v>
      </c>
    </row>
    <row r="735" spans="1:35" ht="18" customHeight="1" x14ac:dyDescent="0.25">
      <c r="A735" s="36">
        <f t="shared" si="246"/>
        <v>0.74797456018518516</v>
      </c>
      <c r="B735" s="42">
        <f t="shared" si="231"/>
        <v>42.092148119671272</v>
      </c>
      <c r="C735" s="43">
        <f t="shared" si="232"/>
        <v>111.46016493342866</v>
      </c>
      <c r="D735" s="18">
        <f t="shared" si="233"/>
        <v>9.9763249744955829</v>
      </c>
      <c r="E735" s="21" t="str">
        <f t="shared" si="234"/>
        <v>Umbra</v>
      </c>
      <c r="F735" s="23">
        <f>IF($E735&lt;&gt;"Umbra",fracil2($S$2,$S$3,$S$4,$A735,$Q$2,$O$3,$Q$4,$U735,$V735,$W735),0)</f>
        <v>0</v>
      </c>
      <c r="G735" s="19">
        <f t="shared" si="235"/>
        <v>69.30055253667787</v>
      </c>
      <c r="H735" s="19">
        <f t="shared" si="236"/>
        <v>-4.3070293398972455</v>
      </c>
      <c r="I735" s="19">
        <f t="shared" si="237"/>
        <v>-3.0990113905023504</v>
      </c>
      <c r="J735" s="28">
        <f t="shared" si="238"/>
        <v>5.0932602320345396E-3</v>
      </c>
      <c r="K735" s="24">
        <f t="shared" si="239"/>
        <v>1048.6526289259896</v>
      </c>
      <c r="L735" s="32">
        <f t="shared" si="240"/>
        <v>0.55880811765863769</v>
      </c>
      <c r="M735" s="35">
        <f t="shared" si="241"/>
        <v>13.163566576916899</v>
      </c>
      <c r="O735" s="29">
        <f t="shared" si="242"/>
        <v>1046.584477797343</v>
      </c>
      <c r="T735" s="48">
        <v>0.74797456018518516</v>
      </c>
      <c r="U735" s="29">
        <v>-1353.6698562237823</v>
      </c>
      <c r="V735" s="29">
        <v>4550.4690362344336</v>
      </c>
      <c r="W735" s="29">
        <v>4259.890669688486</v>
      </c>
      <c r="X735" s="4">
        <v>-0.32685446197813012</v>
      </c>
      <c r="Y735" s="4">
        <v>-0.11544697875695777</v>
      </c>
      <c r="Z735" s="4">
        <v>-1.5771162368782191E-2</v>
      </c>
      <c r="AA735" s="3">
        <f t="shared" si="247"/>
        <v>0.34700226768939835</v>
      </c>
      <c r="AB735" s="3">
        <f t="shared" si="250"/>
        <v>3.9070415959911245E-3</v>
      </c>
      <c r="AC735" s="3">
        <f t="shared" si="248"/>
        <v>2.3550366435103484E-2</v>
      </c>
      <c r="AD735" s="48"/>
      <c r="AE735" s="46">
        <f t="shared" si="243"/>
        <v>42.092148119671272</v>
      </c>
      <c r="AF735" s="46">
        <f t="shared" si="244"/>
        <v>-248.53983506657136</v>
      </c>
      <c r="AG735" s="47">
        <f t="shared" si="245"/>
        <v>9976.3249744955829</v>
      </c>
      <c r="AH735" s="45" t="str">
        <f t="shared" si="249"/>
        <v>-248.53984,42.09215,09976</v>
      </c>
      <c r="AI735" s="44">
        <f t="shared" si="251"/>
        <v>1021.3427229220886</v>
      </c>
    </row>
    <row r="736" spans="1:35" ht="18" customHeight="1" x14ac:dyDescent="0.25">
      <c r="A736" s="36">
        <f t="shared" si="246"/>
        <v>0.74798615740740748</v>
      </c>
      <c r="B736" s="42">
        <f t="shared" si="231"/>
        <v>42.092148115854833</v>
      </c>
      <c r="C736" s="43">
        <f t="shared" si="232"/>
        <v>111.46016568491221</v>
      </c>
      <c r="D736" s="18">
        <f t="shared" si="233"/>
        <v>9.9527662068112477</v>
      </c>
      <c r="E736" s="21" t="str">
        <f t="shared" si="234"/>
        <v>Umbra</v>
      </c>
      <c r="F736" s="23">
        <f>IF($E736&lt;&gt;"Umbra",fracil2($S$2,$S$3,$S$4,$A736,$Q$2,$O$3,$Q$4,$U736,$V736,$W736),0)</f>
        <v>0</v>
      </c>
      <c r="G736" s="19">
        <f t="shared" si="235"/>
        <v>69.300557519353589</v>
      </c>
      <c r="H736" s="19">
        <f t="shared" si="236"/>
        <v>-4.3083115846533602</v>
      </c>
      <c r="I736" s="19">
        <f t="shared" si="237"/>
        <v>-3.1002936352584651</v>
      </c>
      <c r="J736" s="28">
        <f t="shared" si="238"/>
        <v>5.0915171279352807E-3</v>
      </c>
      <c r="K736" s="24">
        <f t="shared" si="239"/>
        <v>1048.6505660668709</v>
      </c>
      <c r="L736" s="32">
        <f t="shared" si="240"/>
        <v>0.55882246411361836</v>
      </c>
      <c r="M736" s="35">
        <f t="shared" si="241"/>
        <v>13.162703143906715</v>
      </c>
      <c r="O736" s="29">
        <f t="shared" si="242"/>
        <v>1046.5845381236443</v>
      </c>
      <c r="T736" s="48">
        <v>0.74798615740740748</v>
      </c>
      <c r="U736" s="29">
        <v>-1353.9974155660545</v>
      </c>
      <c r="V736" s="29">
        <v>4550.3533418776997</v>
      </c>
      <c r="W736" s="29">
        <v>4259.8748773432026</v>
      </c>
      <c r="X736" s="4">
        <v>-0.32685288055692807</v>
      </c>
      <c r="Y736" s="4">
        <v>-0.11544327642752537</v>
      </c>
      <c r="Z736" s="4">
        <v>-1.5745508330923377E-2</v>
      </c>
      <c r="AA736" s="3">
        <f t="shared" si="247"/>
        <v>0.34699838131219385</v>
      </c>
      <c r="AB736" s="3">
        <f t="shared" si="250"/>
        <v>3.8911716117606197E-3</v>
      </c>
      <c r="AC736" s="3">
        <f t="shared" si="248"/>
        <v>2.3512133292620568E-2</v>
      </c>
      <c r="AD736" s="48"/>
      <c r="AE736" s="46">
        <f t="shared" si="243"/>
        <v>42.092148115854833</v>
      </c>
      <c r="AF736" s="46">
        <f t="shared" si="244"/>
        <v>-248.53983431508777</v>
      </c>
      <c r="AG736" s="47">
        <f t="shared" si="245"/>
        <v>9952.7662068112477</v>
      </c>
      <c r="AH736" s="45" t="str">
        <f t="shared" si="249"/>
        <v>-248.53983,42.09215,09953</v>
      </c>
      <c r="AI736" s="44">
        <f t="shared" si="251"/>
        <v>1021.3427229220886</v>
      </c>
    </row>
    <row r="737" spans="1:35" ht="18" customHeight="1" x14ac:dyDescent="0.25">
      <c r="A737" s="36">
        <f t="shared" si="246"/>
        <v>0.74799777777777787</v>
      </c>
      <c r="B737" s="42">
        <f t="shared" si="231"/>
        <v>42.092148112038743</v>
      </c>
      <c r="C737" s="43">
        <f t="shared" si="232"/>
        <v>111.46016745213623</v>
      </c>
      <c r="D737" s="18">
        <f t="shared" si="233"/>
        <v>9.9291931024363294</v>
      </c>
      <c r="E737" s="21" t="str">
        <f t="shared" si="234"/>
        <v>Umbra</v>
      </c>
      <c r="F737" s="23">
        <f>IF($E737&lt;&gt;"Umbra",fracil2($S$2,$S$3,$S$4,$A737,$Q$2,$O$3,$Q$4,$U737,$V737,$W737),0)</f>
        <v>0</v>
      </c>
      <c r="G737" s="19">
        <f t="shared" si="235"/>
        <v>69.300563538404091</v>
      </c>
      <c r="H737" s="19">
        <f t="shared" si="236"/>
        <v>-4.3095950149905331</v>
      </c>
      <c r="I737" s="19">
        <f t="shared" si="237"/>
        <v>-3.1015770655956381</v>
      </c>
      <c r="J737" s="28">
        <f t="shared" si="238"/>
        <v>5.0897782473191006E-3</v>
      </c>
      <c r="K737" s="24">
        <f t="shared" si="239"/>
        <v>1048.6485841347892</v>
      </c>
      <c r="L737" s="32">
        <f t="shared" si="240"/>
        <v>0.55883683431745479</v>
      </c>
      <c r="M737" s="35">
        <f t="shared" si="241"/>
        <v>13.161838139144258</v>
      </c>
      <c r="O737" s="29">
        <f t="shared" si="242"/>
        <v>1046.5846801188286</v>
      </c>
      <c r="T737" s="48">
        <v>0.74799777777777787</v>
      </c>
      <c r="U737" s="29">
        <v>-1354.3257064769377</v>
      </c>
      <c r="V737" s="29">
        <v>4550.2373922234101</v>
      </c>
      <c r="W737" s="29">
        <v>4259.8590753877079</v>
      </c>
      <c r="X737" s="4">
        <v>-0.3268512632437422</v>
      </c>
      <c r="Y737" s="4">
        <v>-0.11543969035372424</v>
      </c>
      <c r="Z737" s="4">
        <v>-1.5719913300341053E-2</v>
      </c>
      <c r="AA737" s="3">
        <f t="shared" si="247"/>
        <v>0.34699450437602614</v>
      </c>
      <c r="AB737" s="3">
        <f t="shared" si="250"/>
        <v>3.8744757275192892E-3</v>
      </c>
      <c r="AC737" s="3">
        <f t="shared" si="248"/>
        <v>2.347398821120051E-2</v>
      </c>
      <c r="AD737" s="48"/>
      <c r="AE737" s="46">
        <f t="shared" si="243"/>
        <v>42.092148112038743</v>
      </c>
      <c r="AF737" s="46">
        <f t="shared" si="244"/>
        <v>-248.53983254786377</v>
      </c>
      <c r="AG737" s="47">
        <f t="shared" si="245"/>
        <v>9929.1931024363294</v>
      </c>
      <c r="AH737" s="45" t="str">
        <f t="shared" si="249"/>
        <v>-248.53983,42.09215,09929</v>
      </c>
      <c r="AI737" s="44">
        <f t="shared" si="251"/>
        <v>1021.3428873548479</v>
      </c>
    </row>
    <row r="738" spans="1:35" ht="18" customHeight="1" x14ac:dyDescent="0.25">
      <c r="A738" s="36">
        <f t="shared" si="246"/>
        <v>0.74800927083333335</v>
      </c>
      <c r="B738" s="42">
        <f t="shared" si="231"/>
        <v>42.092148108276469</v>
      </c>
      <c r="C738" s="43">
        <f t="shared" si="232"/>
        <v>111.46016590304127</v>
      </c>
      <c r="D738" s="18">
        <f t="shared" si="233"/>
        <v>9.9059343788585466</v>
      </c>
      <c r="E738" s="21" t="str">
        <f t="shared" si="234"/>
        <v>Umbra</v>
      </c>
      <c r="F738" s="23">
        <f>IF($E738&lt;&gt;"Umbra",fracil2($S$2,$S$3,$S$4,$A738,$Q$2,$O$3,$Q$4,$U738,$V738,$W738),0)</f>
        <v>0</v>
      </c>
      <c r="G738" s="19">
        <f t="shared" si="235"/>
        <v>69.300566125922074</v>
      </c>
      <c r="H738" s="19">
        <f t="shared" si="236"/>
        <v>-4.3108600360339491</v>
      </c>
      <c r="I738" s="19">
        <f t="shared" si="237"/>
        <v>-3.102842086639054</v>
      </c>
      <c r="J738" s="28">
        <f t="shared" si="238"/>
        <v>5.0880680942396129E-3</v>
      </c>
      <c r="K738" s="24">
        <f t="shared" si="239"/>
        <v>1048.6463643207908</v>
      </c>
      <c r="L738" s="32">
        <f t="shared" si="240"/>
        <v>0.55885104422643184</v>
      </c>
      <c r="M738" s="35">
        <f t="shared" si="241"/>
        <v>13.160988008970554</v>
      </c>
      <c r="O738" s="29">
        <f t="shared" si="242"/>
        <v>1046.5845554723762</v>
      </c>
      <c r="T738" s="48">
        <v>0.74800927083333335</v>
      </c>
      <c r="U738" s="29">
        <v>-1354.6501410668054</v>
      </c>
      <c r="V738" s="29">
        <v>4550.1228074978326</v>
      </c>
      <c r="W738" s="29">
        <v>4259.8434841739581</v>
      </c>
      <c r="X738" s="4">
        <v>-0.3268496328621025</v>
      </c>
      <c r="Y738" s="4">
        <v>-0.11543626955042248</v>
      </c>
      <c r="Z738" s="4">
        <v>-1.5694733954080182E-2</v>
      </c>
      <c r="AA738" s="3">
        <f t="shared" si="247"/>
        <v>0.34699069080264727</v>
      </c>
      <c r="AB738" s="3">
        <f t="shared" si="250"/>
        <v>3.8537615578761188E-3</v>
      </c>
      <c r="AC738" s="3">
        <f t="shared" si="248"/>
        <v>2.3436462755265085E-2</v>
      </c>
      <c r="AD738" s="48"/>
      <c r="AE738" s="46">
        <f t="shared" si="243"/>
        <v>42.092148108276469</v>
      </c>
      <c r="AF738" s="46">
        <f t="shared" si="244"/>
        <v>-248.53983409695871</v>
      </c>
      <c r="AG738" s="47">
        <f t="shared" si="245"/>
        <v>9905.9343788585466</v>
      </c>
      <c r="AH738" s="45" t="str">
        <f t="shared" si="249"/>
        <v>-248.53983,42.09215,09906</v>
      </c>
      <c r="AI738" s="44">
        <f t="shared" si="251"/>
        <v>1021.3430216136329</v>
      </c>
    </row>
    <row r="739" spans="1:35" ht="18" customHeight="1" x14ac:dyDescent="0.25">
      <c r="A739" s="36">
        <f t="shared" si="246"/>
        <v>0.74802085648148153</v>
      </c>
      <c r="B739" s="42">
        <f t="shared" si="231"/>
        <v>42.092148104489262</v>
      </c>
      <c r="C739" s="43">
        <f t="shared" si="232"/>
        <v>111.4601681544396</v>
      </c>
      <c r="D739" s="18">
        <f t="shared" si="233"/>
        <v>9.8825045903176942</v>
      </c>
      <c r="E739" s="21" t="str">
        <f t="shared" si="234"/>
        <v>Umbra</v>
      </c>
      <c r="F739" s="23">
        <f>IF($E739&lt;&gt;"Umbra",fracil2($S$2,$S$3,$S$4,$A739,$Q$2,$O$3,$Q$4,$U739,$V739,$W739),0)</f>
        <v>0</v>
      </c>
      <c r="G739" s="19">
        <f t="shared" si="235"/>
        <v>69.300572612119538</v>
      </c>
      <c r="H739" s="19">
        <f t="shared" si="236"/>
        <v>-4.3121358684620033</v>
      </c>
      <c r="I739" s="19">
        <f t="shared" si="237"/>
        <v>-3.1041179190671082</v>
      </c>
      <c r="J739" s="28">
        <f t="shared" si="238"/>
        <v>5.0863504164713963E-3</v>
      </c>
      <c r="K739" s="24">
        <f t="shared" si="239"/>
        <v>1048.6444352791671</v>
      </c>
      <c r="L739" s="32">
        <f t="shared" si="240"/>
        <v>0.55886536254252495</v>
      </c>
      <c r="M739" s="35">
        <f t="shared" si="241"/>
        <v>13.160127733935045</v>
      </c>
      <c r="O739" s="29">
        <f t="shared" si="242"/>
        <v>1046.5847363975051</v>
      </c>
      <c r="T739" s="48">
        <v>0.74802085648148153</v>
      </c>
      <c r="U739" s="29">
        <v>-1354.9774860763077</v>
      </c>
      <c r="V739" s="29">
        <v>4550.007197656917</v>
      </c>
      <c r="W739" s="29">
        <v>4259.8277782890355</v>
      </c>
      <c r="X739" s="4">
        <v>-0.326847955894006</v>
      </c>
      <c r="Y739" s="4">
        <v>-0.11543294083104358</v>
      </c>
      <c r="Z739" s="4">
        <v>-1.5669443404617019E-2</v>
      </c>
      <c r="AA739" s="3">
        <f t="shared" si="247"/>
        <v>0.34698686078525193</v>
      </c>
      <c r="AB739" s="3">
        <f t="shared" si="250"/>
        <v>3.8398340953747553E-3</v>
      </c>
      <c r="AC739" s="3">
        <f t="shared" si="248"/>
        <v>2.3398771688712589E-2</v>
      </c>
      <c r="AD739" s="48"/>
      <c r="AE739" s="46">
        <f t="shared" si="243"/>
        <v>42.092148104489262</v>
      </c>
      <c r="AF739" s="46">
        <f t="shared" si="244"/>
        <v>-248.5398318455604</v>
      </c>
      <c r="AG739" s="47">
        <f t="shared" si="245"/>
        <v>9882.5045903176942</v>
      </c>
      <c r="AH739" s="45" t="str">
        <f t="shared" si="249"/>
        <v>-248.53983,42.09215,09883</v>
      </c>
      <c r="AI739" s="44">
        <f t="shared" si="251"/>
        <v>1021.3432114842288</v>
      </c>
    </row>
    <row r="740" spans="1:35" ht="18" customHeight="1" x14ac:dyDescent="0.25">
      <c r="A740" s="36">
        <f t="shared" si="246"/>
        <v>0.7480324421296296</v>
      </c>
      <c r="B740" s="42">
        <f t="shared" si="231"/>
        <v>42.092148100713658</v>
      </c>
      <c r="C740" s="43">
        <f t="shared" si="232"/>
        <v>111.46016738846829</v>
      </c>
      <c r="D740" s="18">
        <f t="shared" si="233"/>
        <v>9.8591293532963391</v>
      </c>
      <c r="E740" s="21" t="str">
        <f t="shared" si="234"/>
        <v>Umbra</v>
      </c>
      <c r="F740" s="23">
        <f>IF($E740&lt;&gt;"Umbra",fracil2($S$2,$S$3,$S$4,$A740,$Q$2,$O$3,$Q$4,$U740,$V740,$W740),0)</f>
        <v>0</v>
      </c>
      <c r="G740" s="19">
        <f t="shared" si="235"/>
        <v>69.300576017568559</v>
      </c>
      <c r="H740" s="19">
        <f t="shared" si="236"/>
        <v>-4.3134075485512158</v>
      </c>
      <c r="I740" s="19">
        <f t="shared" si="237"/>
        <v>-3.1053895991563207</v>
      </c>
      <c r="J740" s="28">
        <f t="shared" si="238"/>
        <v>5.0846422516209839E-3</v>
      </c>
      <c r="K740" s="24">
        <f t="shared" si="239"/>
        <v>1048.6422689879548</v>
      </c>
      <c r="L740" s="32">
        <f t="shared" si="240"/>
        <v>0.55887967787983617</v>
      </c>
      <c r="M740" s="35">
        <f t="shared" si="241"/>
        <v>13.159272514391734</v>
      </c>
      <c r="O740" s="29">
        <f t="shared" si="242"/>
        <v>1046.5846747164403</v>
      </c>
      <c r="T740" s="48">
        <v>0.7480324421296296</v>
      </c>
      <c r="U740" s="29">
        <v>-1355.3045933696283</v>
      </c>
      <c r="V740" s="29">
        <v>4549.891674441611</v>
      </c>
      <c r="W740" s="29">
        <v>4259.812108972319</v>
      </c>
      <c r="X740" s="4">
        <v>-0.32684624811178231</v>
      </c>
      <c r="Y740" s="4">
        <v>-0.11542973745779675</v>
      </c>
      <c r="Z740" s="4">
        <v>-1.5644286047670208E-2</v>
      </c>
      <c r="AA740" s="3">
        <f t="shared" si="247"/>
        <v>0.34698305128675372</v>
      </c>
      <c r="AB740" s="3">
        <f t="shared" si="250"/>
        <v>3.8195995664544601E-3</v>
      </c>
      <c r="AC740" s="3">
        <f t="shared" si="248"/>
        <v>2.3361279240370837E-2</v>
      </c>
      <c r="AD740" s="48"/>
      <c r="AE740" s="46">
        <f t="shared" si="243"/>
        <v>42.092148100713658</v>
      </c>
      <c r="AF740" s="46">
        <f t="shared" si="244"/>
        <v>-248.53983261153172</v>
      </c>
      <c r="AG740" s="47">
        <f t="shared" si="245"/>
        <v>9859.1293532963391</v>
      </c>
      <c r="AH740" s="45" t="str">
        <f t="shared" si="249"/>
        <v>-248.53983,42.09215,09859</v>
      </c>
      <c r="AI740" s="44">
        <f t="shared" si="251"/>
        <v>1021.3432114842288</v>
      </c>
    </row>
    <row r="741" spans="1:35" ht="18" customHeight="1" x14ac:dyDescent="0.25">
      <c r="A741" s="36">
        <f t="shared" si="246"/>
        <v>0.7480440625</v>
      </c>
      <c r="B741" s="42">
        <f t="shared" si="231"/>
        <v>42.09214809693556</v>
      </c>
      <c r="C741" s="43">
        <f t="shared" si="232"/>
        <v>111.4601665040168</v>
      </c>
      <c r="D741" s="18">
        <f t="shared" si="233"/>
        <v>9.8357223510183758</v>
      </c>
      <c r="E741" s="21" t="str">
        <f t="shared" si="234"/>
        <v>Umbra</v>
      </c>
      <c r="F741" s="23">
        <f>IF($E741&lt;&gt;"Umbra",fracil2($S$2,$S$3,$S$4,$A741,$Q$2,$O$3,$Q$4,$U741,$V741,$W741),0)</f>
        <v>0</v>
      </c>
      <c r="G741" s="19">
        <f t="shared" si="235"/>
        <v>69.300579308134246</v>
      </c>
      <c r="H741" s="19">
        <f t="shared" si="236"/>
        <v>-4.3146809157801691</v>
      </c>
      <c r="I741" s="19">
        <f t="shared" si="237"/>
        <v>-3.1066629663852741</v>
      </c>
      <c r="J741" s="28">
        <f t="shared" si="238"/>
        <v>5.0829369275260305E-3</v>
      </c>
      <c r="K741" s="24">
        <f t="shared" si="239"/>
        <v>1048.6400908257374</v>
      </c>
      <c r="L741" s="32">
        <f t="shared" si="240"/>
        <v>0.55889403182966579</v>
      </c>
      <c r="M741" s="35">
        <f t="shared" si="241"/>
        <v>13.158416239159829</v>
      </c>
      <c r="O741" s="29">
        <f t="shared" si="242"/>
        <v>1046.5846035091236</v>
      </c>
      <c r="T741" s="48">
        <v>0.7480440625</v>
      </c>
      <c r="U741" s="29">
        <v>-1355.6326702034942</v>
      </c>
      <c r="V741" s="29">
        <v>4549.7758113656228</v>
      </c>
      <c r="W741" s="29">
        <v>4259.7964183623553</v>
      </c>
      <c r="X741" s="4">
        <v>-0.3268445040110064</v>
      </c>
      <c r="Y741" s="4">
        <v>-0.11542664484120123</v>
      </c>
      <c r="Z741" s="4">
        <v>-1.5619166431042606E-2</v>
      </c>
      <c r="AA741" s="3">
        <f t="shared" si="247"/>
        <v>0.34697924794070639</v>
      </c>
      <c r="AB741" s="3">
        <f t="shared" si="250"/>
        <v>3.802461458961267E-3</v>
      </c>
      <c r="AC741" s="3">
        <f t="shared" si="248"/>
        <v>2.332384315555593E-2</v>
      </c>
      <c r="AD741" s="48"/>
      <c r="AE741" s="46">
        <f t="shared" si="243"/>
        <v>42.09214809693556</v>
      </c>
      <c r="AF741" s="46">
        <f t="shared" si="244"/>
        <v>-248.5398334959832</v>
      </c>
      <c r="AG741" s="47">
        <f t="shared" si="245"/>
        <v>9835.7223510183758</v>
      </c>
      <c r="AH741" s="45" t="str">
        <f t="shared" si="249"/>
        <v>-248.53983,42.09215,09836</v>
      </c>
      <c r="AI741" s="44">
        <f t="shared" si="251"/>
        <v>1021.3432114842288</v>
      </c>
    </row>
    <row r="742" spans="1:35" ht="18" customHeight="1" x14ac:dyDescent="0.25">
      <c r="A742" s="36">
        <f t="shared" si="246"/>
        <v>0.74805556712962973</v>
      </c>
      <c r="B742" s="42">
        <f t="shared" si="231"/>
        <v>42.092148093201345</v>
      </c>
      <c r="C742" s="43">
        <f t="shared" si="232"/>
        <v>111.46016835535029</v>
      </c>
      <c r="D742" s="18">
        <f t="shared" si="233"/>
        <v>9.8125702720099071</v>
      </c>
      <c r="E742" s="21" t="str">
        <f t="shared" si="234"/>
        <v>Umbra</v>
      </c>
      <c r="F742" s="23">
        <f>IF($E742&lt;&gt;"Umbra",fracil2($S$2,$S$3,$S$4,$A742,$Q$2,$O$3,$Q$4,$U742,$V742,$W742),0)</f>
        <v>0</v>
      </c>
      <c r="G742" s="19">
        <f t="shared" si="235"/>
        <v>69.3005853374775</v>
      </c>
      <c r="H742" s="19">
        <f t="shared" si="236"/>
        <v>-4.3159414934148783</v>
      </c>
      <c r="I742" s="19">
        <f t="shared" si="237"/>
        <v>-3.1079235440199833</v>
      </c>
      <c r="J742" s="28">
        <f t="shared" si="238"/>
        <v>5.0812551823042982E-3</v>
      </c>
      <c r="K742" s="24">
        <f t="shared" si="239"/>
        <v>1048.6381561526557</v>
      </c>
      <c r="L742" s="32">
        <f t="shared" si="240"/>
        <v>0.55890823729891548</v>
      </c>
      <c r="M742" s="35">
        <f t="shared" si="241"/>
        <v>13.157566503003114</v>
      </c>
      <c r="O742" s="29">
        <f t="shared" si="242"/>
        <v>1046.5847522690444</v>
      </c>
      <c r="T742" s="48">
        <v>0.74805556712962973</v>
      </c>
      <c r="U742" s="29">
        <v>-1355.9576909412772</v>
      </c>
      <c r="V742" s="29">
        <v>4549.6610299617478</v>
      </c>
      <c r="W742" s="29">
        <v>4259.7808986374484</v>
      </c>
      <c r="X742" s="4">
        <v>-0.32684274491776572</v>
      </c>
      <c r="Y742" s="4">
        <v>-0.11542370090618898</v>
      </c>
      <c r="Z742" s="4">
        <v>-1.5594392778038327E-2</v>
      </c>
      <c r="AA742" s="3">
        <f t="shared" si="247"/>
        <v>0.34697549729393973</v>
      </c>
      <c r="AB742" s="3">
        <f t="shared" si="250"/>
        <v>3.7878068207318821E-3</v>
      </c>
      <c r="AC742" s="3">
        <f t="shared" si="248"/>
        <v>2.3286922781273606E-2</v>
      </c>
      <c r="AD742" s="48"/>
      <c r="AE742" s="46">
        <f t="shared" si="243"/>
        <v>42.092148093201345</v>
      </c>
      <c r="AF742" s="46">
        <f t="shared" si="244"/>
        <v>-248.53983164464972</v>
      </c>
      <c r="AG742" s="47">
        <f t="shared" si="245"/>
        <v>9812.5702720099071</v>
      </c>
      <c r="AH742" s="45" t="str">
        <f t="shared" si="249"/>
        <v>-248.53983,42.09215,09813</v>
      </c>
      <c r="AI742" s="44">
        <f t="shared" si="251"/>
        <v>1021.3434013548248</v>
      </c>
    </row>
    <row r="743" spans="1:35" ht="18" customHeight="1" x14ac:dyDescent="0.25">
      <c r="A743" s="36">
        <f t="shared" si="246"/>
        <v>0.7480672800925926</v>
      </c>
      <c r="B743" s="42">
        <f t="shared" si="231"/>
        <v>42.092148089412191</v>
      </c>
      <c r="C743" s="43">
        <f t="shared" si="232"/>
        <v>111.46016628168178</v>
      </c>
      <c r="D743" s="18">
        <f t="shared" si="233"/>
        <v>9.7890586122121022</v>
      </c>
      <c r="E743" s="21" t="str">
        <f t="shared" si="234"/>
        <v>Umbra</v>
      </c>
      <c r="F743" s="23">
        <f>IF($E743&lt;&gt;"Umbra",fracil2($S$2,$S$3,$S$4,$A743,$Q$2,$O$3,$Q$4,$U743,$V743,$W743),0)</f>
        <v>0</v>
      </c>
      <c r="G743" s="19">
        <f t="shared" si="235"/>
        <v>69.30058743645705</v>
      </c>
      <c r="H743" s="19">
        <f t="shared" si="236"/>
        <v>-4.3172200979138635</v>
      </c>
      <c r="I743" s="19">
        <f t="shared" si="237"/>
        <v>-3.1092021485189685</v>
      </c>
      <c r="J743" s="28">
        <f t="shared" si="238"/>
        <v>5.0795529097008366E-3</v>
      </c>
      <c r="K743" s="24">
        <f t="shared" si="239"/>
        <v>1048.6358739610769</v>
      </c>
      <c r="L743" s="32">
        <f t="shared" si="240"/>
        <v>0.55892269747777601</v>
      </c>
      <c r="M743" s="35">
        <f t="shared" si="241"/>
        <v>13.156707579166188</v>
      </c>
      <c r="O743" s="29">
        <f t="shared" si="242"/>
        <v>1046.5845854444756</v>
      </c>
      <c r="T743" s="48">
        <v>0.7480672800925926</v>
      </c>
      <c r="U743" s="29">
        <v>-1356.288285913349</v>
      </c>
      <c r="V743" s="29">
        <v>4549.5442823134626</v>
      </c>
      <c r="W743" s="29">
        <v>4259.7651378720293</v>
      </c>
      <c r="X743" s="4">
        <v>-0.32684092357884054</v>
      </c>
      <c r="Y743" s="4">
        <v>-0.11542082935017781</v>
      </c>
      <c r="Z743" s="4">
        <v>-1.5569309025876769E-2</v>
      </c>
      <c r="AA743" s="3">
        <f t="shared" si="247"/>
        <v>0.34697169993717869</v>
      </c>
      <c r="AB743" s="3">
        <f t="shared" si="250"/>
        <v>3.766992606556148E-3</v>
      </c>
      <c r="AC743" s="3">
        <f t="shared" si="248"/>
        <v>2.3249540382220005E-2</v>
      </c>
      <c r="AD743" s="48"/>
      <c r="AE743" s="46">
        <f t="shared" si="243"/>
        <v>42.092148089412191</v>
      </c>
      <c r="AF743" s="46">
        <f t="shared" si="244"/>
        <v>-248.53983371831822</v>
      </c>
      <c r="AG743" s="47">
        <f t="shared" si="245"/>
        <v>9789.0586122121022</v>
      </c>
      <c r="AH743" s="45" t="str">
        <f t="shared" si="249"/>
        <v>-248.53983,42.09215,09789</v>
      </c>
      <c r="AI743" s="44">
        <f t="shared" si="251"/>
        <v>1021.3435912254207</v>
      </c>
    </row>
    <row r="744" spans="1:35" ht="18" customHeight="1" x14ac:dyDescent="0.25">
      <c r="A744" s="36">
        <f t="shared" si="246"/>
        <v>0.74807875000000001</v>
      </c>
      <c r="B744" s="42">
        <f t="shared" si="231"/>
        <v>42.092148085706775</v>
      </c>
      <c r="C744" s="43">
        <f t="shared" si="232"/>
        <v>111.46016796431132</v>
      </c>
      <c r="D744" s="18">
        <f t="shared" si="233"/>
        <v>9.7660508279950591</v>
      </c>
      <c r="E744" s="21" t="str">
        <f t="shared" si="234"/>
        <v>Umbra</v>
      </c>
      <c r="F744" s="23">
        <f>IF($E744&lt;&gt;"Umbra",fracil2($S$2,$S$3,$S$4,$A744,$Q$2,$O$3,$Q$4,$U744,$V744,$W744),0)</f>
        <v>0</v>
      </c>
      <c r="G744" s="19">
        <f t="shared" si="235"/>
        <v>69.300593268290399</v>
      </c>
      <c r="H744" s="19">
        <f t="shared" si="236"/>
        <v>-4.3184727668536791</v>
      </c>
      <c r="I744" s="19">
        <f t="shared" si="237"/>
        <v>-3.110454817458784</v>
      </c>
      <c r="J744" s="28">
        <f t="shared" si="238"/>
        <v>5.0778919719678102E-3</v>
      </c>
      <c r="K744" s="24">
        <f t="shared" si="239"/>
        <v>1048.6339397191077</v>
      </c>
      <c r="L744" s="32">
        <f t="shared" si="240"/>
        <v>0.55893685166418294</v>
      </c>
      <c r="M744" s="35">
        <f t="shared" si="241"/>
        <v>13.155863273824155</v>
      </c>
      <c r="O744" s="29">
        <f t="shared" si="242"/>
        <v>1046.5847206407584</v>
      </c>
      <c r="T744" s="48">
        <v>0.74807875000000001</v>
      </c>
      <c r="U744" s="29">
        <v>-1356.6123094044783</v>
      </c>
      <c r="V744" s="29">
        <v>4549.4298574668519</v>
      </c>
      <c r="W744" s="29">
        <v>4259.7497148739058</v>
      </c>
      <c r="X744" s="4">
        <v>-0.32683910771923158</v>
      </c>
      <c r="Y744" s="4">
        <v>-0.11541813274994123</v>
      </c>
      <c r="Z744" s="4">
        <v>-1.5544833983833274E-2</v>
      </c>
      <c r="AA744" s="3">
        <f t="shared" si="247"/>
        <v>0.34696799501650216</v>
      </c>
      <c r="AB744" s="3">
        <f t="shared" si="250"/>
        <v>3.7534548491255731E-3</v>
      </c>
      <c r="AC744" s="3">
        <f t="shared" si="248"/>
        <v>2.3213065261373716E-2</v>
      </c>
      <c r="AD744" s="48"/>
      <c r="AE744" s="46">
        <f t="shared" si="243"/>
        <v>42.092148085706775</v>
      </c>
      <c r="AF744" s="46">
        <f t="shared" si="244"/>
        <v>-248.53983203568868</v>
      </c>
      <c r="AG744" s="47">
        <f t="shared" si="245"/>
        <v>9766.0508279950591</v>
      </c>
      <c r="AH744" s="45" t="str">
        <f t="shared" si="249"/>
        <v>-248.53983,42.09215,09766</v>
      </c>
      <c r="AI744" s="44">
        <f t="shared" si="251"/>
        <v>1021.3437254842057</v>
      </c>
    </row>
    <row r="745" spans="1:35" ht="18" customHeight="1" x14ac:dyDescent="0.25">
      <c r="A745" s="36">
        <f t="shared" si="246"/>
        <v>0.7480903356481482</v>
      </c>
      <c r="B745" s="42">
        <f t="shared" si="231"/>
        <v>42.092148081973576</v>
      </c>
      <c r="C745" s="43">
        <f t="shared" si="232"/>
        <v>111.46016850658461</v>
      </c>
      <c r="D745" s="18">
        <f t="shared" si="233"/>
        <v>9.7428539543971056</v>
      </c>
      <c r="E745" s="21" t="str">
        <f t="shared" si="234"/>
        <v>Umbra</v>
      </c>
      <c r="F745" s="23">
        <f>IF($E745&lt;&gt;"Umbra",fracil2($S$2,$S$3,$S$4,$A745,$Q$2,$O$3,$Q$4,$U745,$V745,$W745),0)</f>
        <v>0</v>
      </c>
      <c r="G745" s="19">
        <f t="shared" si="235"/>
        <v>69.300597973370159</v>
      </c>
      <c r="H745" s="19">
        <f t="shared" si="236"/>
        <v>-4.3197352814459817</v>
      </c>
      <c r="I745" s="19">
        <f t="shared" si="237"/>
        <v>-3.1117173320510867</v>
      </c>
      <c r="J745" s="28">
        <f t="shared" si="238"/>
        <v>5.0762224356951232E-3</v>
      </c>
      <c r="K745" s="24">
        <f t="shared" si="239"/>
        <v>1048.631897259676</v>
      </c>
      <c r="L745" s="32">
        <f t="shared" si="240"/>
        <v>0.55895114497964926</v>
      </c>
      <c r="M745" s="35">
        <f t="shared" si="241"/>
        <v>13.155013191237778</v>
      </c>
      <c r="O745" s="29">
        <f t="shared" si="242"/>
        <v>1046.5847641479415</v>
      </c>
      <c r="T745" s="48">
        <v>0.7480903356481482</v>
      </c>
      <c r="U745" s="29">
        <v>-1356.9395102018184</v>
      </c>
      <c r="V745" s="29">
        <v>4549.314312599312</v>
      </c>
      <c r="W745" s="29">
        <v>4259.7341651221586</v>
      </c>
      <c r="X745" s="4">
        <v>-0.326837243859461</v>
      </c>
      <c r="Y745" s="4">
        <v>-0.11541552574004577</v>
      </c>
      <c r="Z745" s="4">
        <v>-1.552022731174987E-2</v>
      </c>
      <c r="AA745" s="3">
        <f t="shared" si="247"/>
        <v>0.34696427051111234</v>
      </c>
      <c r="AB745" s="3">
        <f t="shared" si="250"/>
        <v>3.7359309434326486E-3</v>
      </c>
      <c r="AC745" s="3">
        <f t="shared" si="248"/>
        <v>2.3176394088003476E-2</v>
      </c>
      <c r="AD745" s="48"/>
      <c r="AE745" s="46">
        <f t="shared" si="243"/>
        <v>42.092148081973576</v>
      </c>
      <c r="AF745" s="46">
        <f t="shared" si="244"/>
        <v>-248.53983149341539</v>
      </c>
      <c r="AG745" s="47">
        <f t="shared" si="245"/>
        <v>9742.8539543971056</v>
      </c>
      <c r="AH745" s="45" t="str">
        <f t="shared" si="249"/>
        <v>-248.53983,42.09215,09743</v>
      </c>
      <c r="AI745" s="44">
        <f t="shared" si="251"/>
        <v>1021.3437254842057</v>
      </c>
    </row>
    <row r="746" spans="1:35" ht="18" customHeight="1" x14ac:dyDescent="0.25">
      <c r="A746" s="36">
        <f t="shared" si="246"/>
        <v>0.74810188657407417</v>
      </c>
      <c r="B746" s="42">
        <f t="shared" si="231"/>
        <v>42.092148078262028</v>
      </c>
      <c r="C746" s="43">
        <f t="shared" si="232"/>
        <v>111.46016696567563</v>
      </c>
      <c r="D746" s="18">
        <f t="shared" si="233"/>
        <v>9.7197746181682305</v>
      </c>
      <c r="E746" s="21" t="str">
        <f t="shared" si="234"/>
        <v>Umbra</v>
      </c>
      <c r="F746" s="23">
        <f>IF($E746&lt;&gt;"Umbra",fracil2($S$2,$S$3,$S$4,$A746,$Q$2,$O$3,$Q$4,$U746,$V746,$W746),0)</f>
        <v>0</v>
      </c>
      <c r="G746" s="19">
        <f t="shared" si="235"/>
        <v>69.300600537218585</v>
      </c>
      <c r="H746" s="19">
        <f t="shared" si="236"/>
        <v>-4.3209905855449424</v>
      </c>
      <c r="I746" s="19">
        <f t="shared" si="237"/>
        <v>-3.1129726361500474</v>
      </c>
      <c r="J746" s="28">
        <f t="shared" si="238"/>
        <v>5.0745665362142388E-3</v>
      </c>
      <c r="K746" s="24">
        <f t="shared" si="239"/>
        <v>1048.6296983318482</v>
      </c>
      <c r="L746" s="32">
        <f t="shared" si="240"/>
        <v>0.55896539220788732</v>
      </c>
      <c r="M746" s="35">
        <f t="shared" si="241"/>
        <v>13.154169519612701</v>
      </c>
      <c r="O746" s="29">
        <f t="shared" si="242"/>
        <v>1046.584640160941</v>
      </c>
      <c r="T746" s="48">
        <v>0.74810188657407417</v>
      </c>
      <c r="U746" s="29">
        <v>-1357.2655656946069</v>
      </c>
      <c r="V746" s="29">
        <v>4549.199174051284</v>
      </c>
      <c r="W746" s="29">
        <v>4259.7186941604359</v>
      </c>
      <c r="X746" s="4">
        <v>-0.32683535606609465</v>
      </c>
      <c r="Y746" s="4">
        <v>-0.11541304464140135</v>
      </c>
      <c r="Z746" s="4">
        <v>-1.5495815854956258E-2</v>
      </c>
      <c r="AA746" s="3">
        <f t="shared" si="247"/>
        <v>0.34696057579681827</v>
      </c>
      <c r="AB746" s="3">
        <f t="shared" si="250"/>
        <v>3.7174216052233405E-3</v>
      </c>
      <c r="AC746" s="3">
        <f t="shared" si="248"/>
        <v>2.3140013957815026E-2</v>
      </c>
      <c r="AD746" s="48"/>
      <c r="AE746" s="46">
        <f t="shared" si="243"/>
        <v>42.092148078262028</v>
      </c>
      <c r="AF746" s="46">
        <f t="shared" si="244"/>
        <v>-248.53983303432437</v>
      </c>
      <c r="AG746" s="47">
        <f t="shared" si="245"/>
        <v>9719.7746181682305</v>
      </c>
      <c r="AH746" s="45" t="str">
        <f t="shared" si="249"/>
        <v>-248.53983,42.09215,09720</v>
      </c>
      <c r="AI746" s="44">
        <f t="shared" si="251"/>
        <v>1021.3438597429907</v>
      </c>
    </row>
    <row r="747" spans="1:35" ht="18" customHeight="1" x14ac:dyDescent="0.25">
      <c r="A747" s="36">
        <f t="shared" si="246"/>
        <v>0.74811348379629627</v>
      </c>
      <c r="B747" s="42">
        <f t="shared" si="231"/>
        <v>42.092148074540589</v>
      </c>
      <c r="C747" s="43">
        <f t="shared" si="232"/>
        <v>111.46016951227676</v>
      </c>
      <c r="D747" s="18">
        <f t="shared" si="233"/>
        <v>9.6966166295933363</v>
      </c>
      <c r="E747" s="21" t="str">
        <f t="shared" si="234"/>
        <v>Umbra</v>
      </c>
      <c r="F747" s="23">
        <f>IF($E747&lt;&gt;"Umbra",fracil2($S$2,$S$3,$S$4,$A747,$Q$2,$O$3,$Q$4,$U747,$V747,$W747),0)</f>
        <v>0</v>
      </c>
      <c r="G747" s="19">
        <f t="shared" si="235"/>
        <v>69.300607275308195</v>
      </c>
      <c r="H747" s="19">
        <f t="shared" si="236"/>
        <v>-4.3222517822705804</v>
      </c>
      <c r="I747" s="19">
        <f t="shared" si="237"/>
        <v>-3.1142338328756853</v>
      </c>
      <c r="J747" s="28">
        <f t="shared" si="238"/>
        <v>5.0729099163990821E-3</v>
      </c>
      <c r="K747" s="24">
        <f t="shared" si="239"/>
        <v>1048.6278215839318</v>
      </c>
      <c r="L747" s="32">
        <f t="shared" si="240"/>
        <v>0.5589796904348574</v>
      </c>
      <c r="M747" s="35">
        <f t="shared" si="241"/>
        <v>13.153318797221694</v>
      </c>
      <c r="O747" s="29">
        <f t="shared" si="242"/>
        <v>1046.5848448229933</v>
      </c>
      <c r="T747" s="48">
        <v>0.74811348379629627</v>
      </c>
      <c r="U747" s="29">
        <v>-1357.593246357736</v>
      </c>
      <c r="V747" s="29">
        <v>4549.0834633723616</v>
      </c>
      <c r="W747" s="29">
        <v>4259.7031704752662</v>
      </c>
      <c r="X747" s="4">
        <v>-0.32683342777588636</v>
      </c>
      <c r="Y747" s="4">
        <v>-0.11541067003198882</v>
      </c>
      <c r="Z747" s="4">
        <v>-1.547139375984416E-2</v>
      </c>
      <c r="AA747" s="3">
        <f t="shared" si="247"/>
        <v>0.34695687958857402</v>
      </c>
      <c r="AB747" s="3">
        <f t="shared" si="250"/>
        <v>3.7041834291345805E-3</v>
      </c>
      <c r="AC747" s="3">
        <f t="shared" si="248"/>
        <v>2.3103618088663892E-2</v>
      </c>
      <c r="AD747" s="48"/>
      <c r="AE747" s="46">
        <f t="shared" si="243"/>
        <v>42.092148074540589</v>
      </c>
      <c r="AF747" s="46">
        <f t="shared" si="244"/>
        <v>-248.53983048772324</v>
      </c>
      <c r="AG747" s="47">
        <f t="shared" si="245"/>
        <v>9696.6166295933363</v>
      </c>
      <c r="AH747" s="45" t="str">
        <f t="shared" si="249"/>
        <v>-248.53983,42.09215,09697</v>
      </c>
      <c r="AI747" s="44">
        <f t="shared" si="251"/>
        <v>1021.3440720247708</v>
      </c>
    </row>
    <row r="748" spans="1:35" ht="18" customHeight="1" x14ac:dyDescent="0.25">
      <c r="A748" s="36">
        <f t="shared" si="246"/>
        <v>0.74812501157407407</v>
      </c>
      <c r="B748" s="42">
        <f t="shared" si="231"/>
        <v>42.092148070854471</v>
      </c>
      <c r="C748" s="43">
        <f t="shared" si="232"/>
        <v>111.46016692613111</v>
      </c>
      <c r="D748" s="18">
        <f t="shared" si="233"/>
        <v>9.6736616535854409</v>
      </c>
      <c r="E748" s="21" t="str">
        <f t="shared" si="234"/>
        <v>Umbra</v>
      </c>
      <c r="F748" s="23">
        <f>IF($E748&lt;&gt;"Umbra",fracil2($S$2,$S$3,$S$4,$A748,$Q$2,$O$3,$Q$4,$U748,$V748,$W748),0)</f>
        <v>0</v>
      </c>
      <c r="G748" s="19">
        <f t="shared" si="235"/>
        <v>69.300608753108847</v>
      </c>
      <c r="H748" s="19">
        <f t="shared" si="236"/>
        <v>-4.3234999182300369</v>
      </c>
      <c r="I748" s="19">
        <f t="shared" si="237"/>
        <v>-3.1154819688351418</v>
      </c>
      <c r="J748" s="28">
        <f t="shared" si="238"/>
        <v>5.0712731129405513E-3</v>
      </c>
      <c r="K748" s="24">
        <f t="shared" si="239"/>
        <v>1048.6255507753456</v>
      </c>
      <c r="L748" s="32">
        <f t="shared" si="240"/>
        <v>0.55899390125255499</v>
      </c>
      <c r="M748" s="35">
        <f t="shared" si="241"/>
        <v>13.152480717953193</v>
      </c>
      <c r="O748" s="29">
        <f t="shared" si="242"/>
        <v>1046.5846367961449</v>
      </c>
      <c r="T748" s="48">
        <v>0.74812501157407407</v>
      </c>
      <c r="U748" s="29">
        <v>-1357.9185626392175</v>
      </c>
      <c r="V748" s="29">
        <v>4548.968589221432</v>
      </c>
      <c r="W748" s="29">
        <v>4259.6877828774086</v>
      </c>
      <c r="X748" s="4">
        <v>-0.32683148339486268</v>
      </c>
      <c r="Y748" s="4">
        <v>-0.11540842753084557</v>
      </c>
      <c r="Z748" s="4">
        <v>-1.5447255275490136E-2</v>
      </c>
      <c r="AA748" s="3">
        <f t="shared" si="247"/>
        <v>0.34695322650002114</v>
      </c>
      <c r="AB748" s="3">
        <f t="shared" si="250"/>
        <v>3.6832107831929993E-3</v>
      </c>
      <c r="AC748" s="3">
        <f t="shared" si="248"/>
        <v>2.3067644993983599E-2</v>
      </c>
      <c r="AD748" s="48"/>
      <c r="AE748" s="46">
        <f t="shared" si="243"/>
        <v>42.092148070854471</v>
      </c>
      <c r="AF748" s="46">
        <f t="shared" si="244"/>
        <v>-248.53983307386889</v>
      </c>
      <c r="AG748" s="47">
        <f t="shared" si="245"/>
        <v>9673.6616535854409</v>
      </c>
      <c r="AH748" s="45" t="str">
        <f t="shared" si="249"/>
        <v>-248.53983,42.09215,09674</v>
      </c>
      <c r="AI748" s="44">
        <f t="shared" si="251"/>
        <v>1021.3443045678093</v>
      </c>
    </row>
    <row r="749" spans="1:35" ht="18" customHeight="1" x14ac:dyDescent="0.25">
      <c r="A749" s="36">
        <f t="shared" si="246"/>
        <v>0.74813658564814822</v>
      </c>
      <c r="B749" s="42">
        <f t="shared" si="231"/>
        <v>42.092148067157282</v>
      </c>
      <c r="C749" s="43">
        <f t="shared" si="232"/>
        <v>111.4601695502282</v>
      </c>
      <c r="D749" s="18">
        <f t="shared" si="233"/>
        <v>9.6506217186606591</v>
      </c>
      <c r="E749" s="21" t="str">
        <f t="shared" si="234"/>
        <v>Umbra</v>
      </c>
      <c r="F749" s="23">
        <f>IF($E749&lt;&gt;"Umbra",fracil2($S$2,$S$3,$S$4,$A749,$Q$2,$O$3,$Q$4,$U749,$V749,$W749),0)</f>
        <v>0</v>
      </c>
      <c r="G749" s="19">
        <f t="shared" si="235"/>
        <v>69.300615548961687</v>
      </c>
      <c r="H749" s="19">
        <f t="shared" si="236"/>
        <v>-4.3247547306610787</v>
      </c>
      <c r="I749" s="19">
        <f t="shared" si="237"/>
        <v>-3.1167367812661837</v>
      </c>
      <c r="J749" s="28">
        <f t="shared" si="238"/>
        <v>5.0696348080632534E-3</v>
      </c>
      <c r="K749" s="24">
        <f t="shared" si="239"/>
        <v>1048.6236918746113</v>
      </c>
      <c r="L749" s="32">
        <f t="shared" si="240"/>
        <v>0.55900816255899521</v>
      </c>
      <c r="M749" s="35">
        <f t="shared" si="241"/>
        <v>13.15163421561115</v>
      </c>
      <c r="O749" s="29">
        <f t="shared" si="242"/>
        <v>1046.5848476897363</v>
      </c>
      <c r="T749" s="48">
        <v>0.74813658564814822</v>
      </c>
      <c r="U749" s="29">
        <v>-1358.2455918442533</v>
      </c>
      <c r="V749" s="29">
        <v>4548.8531117102948</v>
      </c>
      <c r="W749" s="29">
        <v>4259.6723383285562</v>
      </c>
      <c r="X749" s="4">
        <v>-0.3268294991718026</v>
      </c>
      <c r="Y749" s="4">
        <v>-0.11540628678954894</v>
      </c>
      <c r="Z749" s="4">
        <v>-1.542309576172108E-2</v>
      </c>
      <c r="AA749" s="3">
        <f t="shared" si="247"/>
        <v>0.34694957045991304</v>
      </c>
      <c r="AB749" s="3">
        <f t="shared" si="250"/>
        <v>3.6716623101184474E-3</v>
      </c>
      <c r="AC749" s="3">
        <f t="shared" si="248"/>
        <v>2.3031640673370341E-2</v>
      </c>
      <c r="AD749" s="48"/>
      <c r="AE749" s="46">
        <f t="shared" si="243"/>
        <v>42.092148067157282</v>
      </c>
      <c r="AF749" s="46">
        <f t="shared" si="244"/>
        <v>-248.53983044977178</v>
      </c>
      <c r="AG749" s="47">
        <f t="shared" si="245"/>
        <v>9650.6217186606591</v>
      </c>
      <c r="AH749" s="45" t="str">
        <f t="shared" si="249"/>
        <v>-248.53983,42.09215,09651</v>
      </c>
      <c r="AI749" s="44">
        <f t="shared" si="251"/>
        <v>1021.3444944384053</v>
      </c>
    </row>
    <row r="750" spans="1:35" ht="18" customHeight="1" x14ac:dyDescent="0.25">
      <c r="A750" s="36">
        <f t="shared" si="246"/>
        <v>0.74814822916666668</v>
      </c>
      <c r="B750" s="42">
        <f t="shared" si="231"/>
        <v>42.092148063448519</v>
      </c>
      <c r="C750" s="43">
        <f t="shared" si="232"/>
        <v>111.46016985201817</v>
      </c>
      <c r="D750" s="18">
        <f t="shared" si="233"/>
        <v>9.6274927047961683</v>
      </c>
      <c r="E750" s="21" t="str">
        <f t="shared" si="234"/>
        <v>Umbra</v>
      </c>
      <c r="F750" s="23">
        <f>IF($E750&lt;&gt;"Umbra",fracil2($S$2,$S$3,$S$4,$A750,$Q$2,$O$3,$Q$4,$U750,$V750,$W750),0)</f>
        <v>0</v>
      </c>
      <c r="G750" s="19">
        <f t="shared" si="235"/>
        <v>69.300619997203285</v>
      </c>
      <c r="H750" s="19">
        <f t="shared" si="236"/>
        <v>-4.326013482526327</v>
      </c>
      <c r="I750" s="19">
        <f t="shared" si="237"/>
        <v>-3.117995533131432</v>
      </c>
      <c r="J750" s="28">
        <f t="shared" si="238"/>
        <v>5.0679952160446514E-3</v>
      </c>
      <c r="K750" s="24">
        <f t="shared" si="239"/>
        <v>1048.6216387010095</v>
      </c>
      <c r="L750" s="32">
        <f t="shared" si="240"/>
        <v>0.55902250633448869</v>
      </c>
      <c r="M750" s="35">
        <f t="shared" si="241"/>
        <v>13.150786800071145</v>
      </c>
      <c r="O750" s="29">
        <f t="shared" si="242"/>
        <v>1046.5848718618854</v>
      </c>
      <c r="T750" s="48">
        <v>0.74814822916666668</v>
      </c>
      <c r="U750" s="29">
        <v>-1358.5743983362406</v>
      </c>
      <c r="V750" s="29">
        <v>4548.7370080100509</v>
      </c>
      <c r="W750" s="29">
        <v>4259.6568340669128</v>
      </c>
      <c r="X750" s="4">
        <v>-0.3268274744658981</v>
      </c>
      <c r="Y750" s="4">
        <v>-0.11540424833111124</v>
      </c>
      <c r="Z750" s="4">
        <v>-1.5398911344806242E-2</v>
      </c>
      <c r="AA750" s="3">
        <f t="shared" si="247"/>
        <v>0.3469459108697367</v>
      </c>
      <c r="AB750" s="3">
        <f t="shared" si="250"/>
        <v>3.6535142214234647E-3</v>
      </c>
      <c r="AC750" s="3">
        <f t="shared" si="248"/>
        <v>2.2995599354752524E-2</v>
      </c>
      <c r="AD750" s="48"/>
      <c r="AE750" s="46">
        <f t="shared" si="243"/>
        <v>42.092148063448519</v>
      </c>
      <c r="AF750" s="46">
        <f t="shared" si="244"/>
        <v>-248.53983014798183</v>
      </c>
      <c r="AG750" s="47">
        <f t="shared" si="245"/>
        <v>9627.4927047961683</v>
      </c>
      <c r="AH750" s="45" t="str">
        <f t="shared" si="249"/>
        <v>-248.53983,42.09215,09627</v>
      </c>
      <c r="AI750" s="44">
        <f t="shared" si="251"/>
        <v>1021.3444944384053</v>
      </c>
    </row>
    <row r="751" spans="1:35" ht="18" customHeight="1" x14ac:dyDescent="0.25">
      <c r="A751" s="36">
        <f t="shared" si="246"/>
        <v>0.74815978009259254</v>
      </c>
      <c r="B751" s="42">
        <f t="shared" si="231"/>
        <v>42.092148059780506</v>
      </c>
      <c r="C751" s="43">
        <f t="shared" si="232"/>
        <v>111.46016691083869</v>
      </c>
      <c r="D751" s="18">
        <f t="shared" si="233"/>
        <v>9.6046011919961529</v>
      </c>
      <c r="E751" s="21" t="str">
        <f t="shared" si="234"/>
        <v>Umbra</v>
      </c>
      <c r="F751" s="23">
        <f>IF($E751&lt;&gt;"Umbra",fracil2($S$2,$S$3,$S$4,$A751,$Q$2,$O$3,$Q$4,$U751,$V751,$W751),0)</f>
        <v>0</v>
      </c>
      <c r="G751" s="19">
        <f t="shared" si="235"/>
        <v>69.300621102342987</v>
      </c>
      <c r="H751" s="19">
        <f t="shared" si="236"/>
        <v>-4.3272580409710919</v>
      </c>
      <c r="I751" s="19">
        <f t="shared" si="237"/>
        <v>-3.1192400915761969</v>
      </c>
      <c r="J751" s="28">
        <f t="shared" si="238"/>
        <v>5.06637756746751E-3</v>
      </c>
      <c r="K751" s="24">
        <f t="shared" si="239"/>
        <v>1048.6193465387637</v>
      </c>
      <c r="L751" s="32">
        <f t="shared" si="240"/>
        <v>0.55903673343206761</v>
      </c>
      <c r="M751" s="35">
        <f t="shared" si="241"/>
        <v>13.149951368250518</v>
      </c>
      <c r="O751" s="29">
        <f t="shared" si="242"/>
        <v>1046.5846352895926</v>
      </c>
      <c r="T751" s="48">
        <v>0.74815978009259254</v>
      </c>
      <c r="U751" s="29">
        <v>-1358.900334571096</v>
      </c>
      <c r="V751" s="29">
        <v>4548.6219190681522</v>
      </c>
      <c r="W751" s="29">
        <v>4259.6414890115293</v>
      </c>
      <c r="X751" s="4">
        <v>-0.32682543783009271</v>
      </c>
      <c r="Y751" s="4">
        <v>-0.11540234099399652</v>
      </c>
      <c r="Z751" s="4">
        <v>-1.5375043897329977E-2</v>
      </c>
      <c r="AA751" s="3">
        <f t="shared" si="247"/>
        <v>0.34694229937349996</v>
      </c>
      <c r="AB751" s="3">
        <f t="shared" si="250"/>
        <v>3.6345212958307878E-3</v>
      </c>
      <c r="AC751" s="3">
        <f t="shared" si="248"/>
        <v>2.2960030519157456E-2</v>
      </c>
      <c r="AD751" s="48"/>
      <c r="AE751" s="46">
        <f t="shared" si="243"/>
        <v>42.092148059780506</v>
      </c>
      <c r="AF751" s="46">
        <f t="shared" si="244"/>
        <v>-248.53983308916131</v>
      </c>
      <c r="AG751" s="47">
        <f t="shared" si="245"/>
        <v>9604.6011919961529</v>
      </c>
      <c r="AH751" s="45" t="str">
        <f t="shared" si="249"/>
        <v>-248.53983,42.09215,09605</v>
      </c>
      <c r="AI751" s="44">
        <f t="shared" si="251"/>
        <v>1021.3447629559768</v>
      </c>
    </row>
    <row r="752" spans="1:35" ht="18" customHeight="1" x14ac:dyDescent="0.25">
      <c r="A752" s="36">
        <f t="shared" si="246"/>
        <v>0.74817128472222227</v>
      </c>
      <c r="B752" s="42">
        <f t="shared" si="231"/>
        <v>42.092148056130171</v>
      </c>
      <c r="C752" s="43">
        <f t="shared" si="232"/>
        <v>111.46016997810491</v>
      </c>
      <c r="D752" s="18">
        <f t="shared" si="233"/>
        <v>9.5818037765766348</v>
      </c>
      <c r="E752" s="21" t="str">
        <f t="shared" si="234"/>
        <v>Umbra</v>
      </c>
      <c r="F752" s="23">
        <f>IF($E752&lt;&gt;"Umbra",fracil2($S$2,$S$3,$S$4,$A752,$Q$2,$O$3,$Q$4,$U752,$V752,$W752),0)</f>
        <v>0</v>
      </c>
      <c r="G752" s="19">
        <f t="shared" si="235"/>
        <v>69.300628305856648</v>
      </c>
      <c r="H752" s="19">
        <f t="shared" si="236"/>
        <v>-4.3284998439834519</v>
      </c>
      <c r="I752" s="19">
        <f t="shared" si="237"/>
        <v>-3.1204818945885568</v>
      </c>
      <c r="J752" s="28">
        <f t="shared" si="238"/>
        <v>5.064771028365206E-3</v>
      </c>
      <c r="K752" s="24">
        <f t="shared" si="239"/>
        <v>1048.6175465545273</v>
      </c>
      <c r="L752" s="32">
        <f t="shared" si="240"/>
        <v>0.55905089662948992</v>
      </c>
      <c r="M752" s="35">
        <f t="shared" si="241"/>
        <v>13.149113260947622</v>
      </c>
      <c r="O752" s="29">
        <f t="shared" si="242"/>
        <v>1046.5848818166191</v>
      </c>
      <c r="T752" s="48">
        <v>0.74817128472222227</v>
      </c>
      <c r="U752" s="29">
        <v>-1359.2254315034731</v>
      </c>
      <c r="V752" s="29">
        <v>4548.5071276059898</v>
      </c>
      <c r="W752" s="29">
        <v>4259.6262070334305</v>
      </c>
      <c r="X752" s="4">
        <v>-0.32682337724465071</v>
      </c>
      <c r="Y752" s="4">
        <v>-0.11540055028363125</v>
      </c>
      <c r="Z752" s="4">
        <v>-1.5351342260969493E-2</v>
      </c>
      <c r="AA752" s="3">
        <f t="shared" si="247"/>
        <v>0.34693871307275237</v>
      </c>
      <c r="AB752" s="3">
        <f t="shared" si="250"/>
        <v>3.6237844667682028E-3</v>
      </c>
      <c r="AC752" s="3">
        <f t="shared" si="248"/>
        <v>2.2924708897658897E-2</v>
      </c>
      <c r="AD752" s="48"/>
      <c r="AE752" s="46">
        <f t="shared" si="243"/>
        <v>42.092148056130171</v>
      </c>
      <c r="AF752" s="46">
        <f t="shared" si="244"/>
        <v>-248.53983002189509</v>
      </c>
      <c r="AG752" s="47">
        <f t="shared" si="245"/>
        <v>9581.8037765766348</v>
      </c>
      <c r="AH752" s="45" t="str">
        <f t="shared" si="249"/>
        <v>-248.53983,42.09215,09582</v>
      </c>
      <c r="AI752" s="44">
        <f t="shared" si="251"/>
        <v>1021.345014131166</v>
      </c>
    </row>
    <row r="753" spans="1:35" ht="18" customHeight="1" x14ac:dyDescent="0.25">
      <c r="A753" s="36">
        <f t="shared" si="246"/>
        <v>0.74818293981481476</v>
      </c>
      <c r="B753" s="42">
        <f t="shared" si="231"/>
        <v>42.092148052443235</v>
      </c>
      <c r="C753" s="43">
        <f t="shared" si="232"/>
        <v>111.46017001639319</v>
      </c>
      <c r="D753" s="18">
        <f t="shared" si="233"/>
        <v>9.5587607858560659</v>
      </c>
      <c r="E753" s="21" t="str">
        <f t="shared" si="234"/>
        <v>Umbra</v>
      </c>
      <c r="F753" s="23">
        <f>IF($E753&lt;&gt;"Umbra",fracil2($S$2,$S$3,$S$4,$A753,$Q$2,$O$3,$Q$4,$U753,$V753,$W753),0)</f>
        <v>0</v>
      </c>
      <c r="G753" s="19">
        <f t="shared" si="235"/>
        <v>69.30063247055368</v>
      </c>
      <c r="H753" s="19">
        <f t="shared" si="236"/>
        <v>-4.3297538258254553</v>
      </c>
      <c r="I753" s="19">
        <f t="shared" si="237"/>
        <v>-3.1217358764305603</v>
      </c>
      <c r="J753" s="28">
        <f t="shared" si="238"/>
        <v>5.0631521938104629E-3</v>
      </c>
      <c r="K753" s="24">
        <f t="shared" si="239"/>
        <v>1048.6154814143376</v>
      </c>
      <c r="L753" s="32">
        <f t="shared" si="240"/>
        <v>0.55906524237348276</v>
      </c>
      <c r="M753" s="35">
        <f t="shared" si="241"/>
        <v>13.148269226579309</v>
      </c>
      <c r="O753" s="29">
        <f t="shared" si="242"/>
        <v>1046.5848848029036</v>
      </c>
      <c r="T753" s="48">
        <v>0.74818293981481476</v>
      </c>
      <c r="U753" s="29">
        <v>-1359.5545380518997</v>
      </c>
      <c r="V753" s="29">
        <v>4548.3909213678926</v>
      </c>
      <c r="W753" s="29">
        <v>4259.6107604370591</v>
      </c>
      <c r="X753" s="4">
        <v>-0.32682126205845069</v>
      </c>
      <c r="Y753" s="4">
        <v>-0.11539884929408496</v>
      </c>
      <c r="Z753" s="4">
        <v>-1.5327452725573711E-2</v>
      </c>
      <c r="AA753" s="3">
        <f t="shared" si="247"/>
        <v>0.34693509848231285</v>
      </c>
      <c r="AB753" s="3">
        <f t="shared" si="250"/>
        <v>3.6053486433270084E-3</v>
      </c>
      <c r="AC753" s="3">
        <f t="shared" si="248"/>
        <v>2.2889107370521175E-2</v>
      </c>
      <c r="AD753" s="48"/>
      <c r="AE753" s="46">
        <f t="shared" si="243"/>
        <v>42.092148052443235</v>
      </c>
      <c r="AF753" s="46">
        <f t="shared" si="244"/>
        <v>-248.53982998360681</v>
      </c>
      <c r="AG753" s="47">
        <f t="shared" si="245"/>
        <v>9558.7607858560659</v>
      </c>
      <c r="AH753" s="45" t="str">
        <f t="shared" si="249"/>
        <v>-248.53983,42.09215,09559</v>
      </c>
      <c r="AI753" s="44">
        <f t="shared" si="251"/>
        <v>1021.345014131166</v>
      </c>
    </row>
    <row r="754" spans="1:35" ht="18" customHeight="1" x14ac:dyDescent="0.25">
      <c r="A754" s="36">
        <f t="shared" si="246"/>
        <v>0.74819454861111112</v>
      </c>
      <c r="B754" s="42">
        <f t="shared" si="231"/>
        <v>42.092148048781091</v>
      </c>
      <c r="C754" s="43">
        <f t="shared" si="232"/>
        <v>111.46016799497116</v>
      </c>
      <c r="D754" s="18">
        <f t="shared" si="233"/>
        <v>9.5358561715011092</v>
      </c>
      <c r="E754" s="21" t="str">
        <f t="shared" si="234"/>
        <v>Umbra</v>
      </c>
      <c r="F754" s="23">
        <f>IF($E754&lt;&gt;"Umbra",fracil2($S$2,$S$3,$S$4,$A754,$Q$2,$O$3,$Q$4,$U754,$V754,$W754),0)</f>
        <v>0</v>
      </c>
      <c r="G754" s="19">
        <f t="shared" si="235"/>
        <v>69.300634514182278</v>
      </c>
      <c r="H754" s="19">
        <f t="shared" si="236"/>
        <v>-4.330999473783943</v>
      </c>
      <c r="I754" s="19">
        <f t="shared" si="237"/>
        <v>-3.122981524389048</v>
      </c>
      <c r="J754" s="28">
        <f t="shared" si="238"/>
        <v>5.0615481861626191E-3</v>
      </c>
      <c r="K754" s="24">
        <f t="shared" si="239"/>
        <v>1048.613263538354</v>
      </c>
      <c r="L754" s="32">
        <f t="shared" si="240"/>
        <v>0.55907952799785077</v>
      </c>
      <c r="M754" s="35">
        <f t="shared" si="241"/>
        <v>13.147432342049271</v>
      </c>
      <c r="O754" s="29">
        <f t="shared" si="242"/>
        <v>1046.5847221822951</v>
      </c>
      <c r="T754" s="48">
        <v>0.74819454861111112</v>
      </c>
      <c r="U754" s="29">
        <v>-1359.8821741111037</v>
      </c>
      <c r="V754" s="29">
        <v>4548.2752352452617</v>
      </c>
      <c r="W754" s="29">
        <v>4259.5954065998685</v>
      </c>
      <c r="X754" s="4">
        <v>-0.32681912644606215</v>
      </c>
      <c r="Y754" s="4">
        <v>-0.11539726989630994</v>
      </c>
      <c r="Z754" s="4">
        <v>-1.5303776425962357E-2</v>
      </c>
      <c r="AA754" s="3">
        <f t="shared" si="247"/>
        <v>0.34693151612873802</v>
      </c>
      <c r="AB754" s="3">
        <f t="shared" si="250"/>
        <v>3.5874061254318294E-3</v>
      </c>
      <c r="AC754" s="3">
        <f t="shared" si="248"/>
        <v>2.2853823731741604E-2</v>
      </c>
      <c r="AD754" s="48"/>
      <c r="AE754" s="46">
        <f t="shared" si="243"/>
        <v>42.092148048781091</v>
      </c>
      <c r="AF754" s="46">
        <f t="shared" si="244"/>
        <v>-248.53983200502884</v>
      </c>
      <c r="AG754" s="47">
        <f t="shared" si="245"/>
        <v>9535.8561715011092</v>
      </c>
      <c r="AH754" s="45" t="str">
        <f t="shared" si="249"/>
        <v>-248.53983,42.09215,09536</v>
      </c>
      <c r="AI754" s="44">
        <f t="shared" si="251"/>
        <v>1021.3451785639253</v>
      </c>
    </row>
    <row r="755" spans="1:35" ht="18" customHeight="1" x14ac:dyDescent="0.25">
      <c r="A755" s="36">
        <f t="shared" si="246"/>
        <v>0.74820605324074074</v>
      </c>
      <c r="B755" s="42">
        <f t="shared" si="231"/>
        <v>42.092148045158659</v>
      </c>
      <c r="C755" s="43">
        <f t="shared" si="232"/>
        <v>111.46016743304104</v>
      </c>
      <c r="D755" s="18">
        <f t="shared" si="233"/>
        <v>9.513184074232413</v>
      </c>
      <c r="E755" s="21" t="str">
        <f t="shared" si="234"/>
        <v>Umbra</v>
      </c>
      <c r="F755" s="23">
        <f>IF($E755&lt;&gt;"Umbra",fracil2($S$2,$S$3,$S$4,$A755,$Q$2,$O$3,$Q$4,$U755,$V755,$W755),0)</f>
        <v>0</v>
      </c>
      <c r="G755" s="19">
        <f t="shared" si="235"/>
        <v>69.300638001617884</v>
      </c>
      <c r="H755" s="19">
        <f t="shared" si="236"/>
        <v>-4.3322330464201437</v>
      </c>
      <c r="I755" s="19">
        <f t="shared" si="237"/>
        <v>-3.1242150970252487</v>
      </c>
      <c r="J755" s="28">
        <f t="shared" si="238"/>
        <v>5.0599650514782648E-3</v>
      </c>
      <c r="K755" s="24">
        <f t="shared" si="239"/>
        <v>1048.6111843965803</v>
      </c>
      <c r="L755" s="32">
        <f t="shared" si="240"/>
        <v>0.55909368073290111</v>
      </c>
      <c r="M755" s="35">
        <f t="shared" si="241"/>
        <v>13.146602477891189</v>
      </c>
      <c r="O755" s="29">
        <f t="shared" si="242"/>
        <v>1046.5846769106579</v>
      </c>
      <c r="T755" s="48">
        <v>0.74820605324074074</v>
      </c>
      <c r="U755" s="29">
        <v>-1360.2069809004954</v>
      </c>
      <c r="V755" s="29">
        <v>4548.1605488766127</v>
      </c>
      <c r="W755" s="29">
        <v>4259.5802086279655</v>
      </c>
      <c r="X755" s="4">
        <v>-0.32681698091873912</v>
      </c>
      <c r="Y755" s="4">
        <v>-0.11539581270619897</v>
      </c>
      <c r="Z755" s="4">
        <v>-1.5280405984229231E-2</v>
      </c>
      <c r="AA755" s="3">
        <f t="shared" si="247"/>
        <v>0.34692798015439241</v>
      </c>
      <c r="AB755" s="3">
        <f t="shared" si="250"/>
        <v>3.5731135116258716E-3</v>
      </c>
      <c r="AC755" s="3">
        <f t="shared" si="248"/>
        <v>2.2818996008353194E-2</v>
      </c>
      <c r="AD755" s="48"/>
      <c r="AE755" s="46">
        <f t="shared" si="243"/>
        <v>42.092148045158659</v>
      </c>
      <c r="AF755" s="46">
        <f t="shared" si="244"/>
        <v>-248.53983256695898</v>
      </c>
      <c r="AG755" s="47">
        <f t="shared" si="245"/>
        <v>9513.184074232413</v>
      </c>
      <c r="AH755" s="45" t="str">
        <f t="shared" si="249"/>
        <v>-248.53983,42.09215,09513</v>
      </c>
      <c r="AI755" s="44">
        <f t="shared" si="251"/>
        <v>1021.3451785639253</v>
      </c>
    </row>
    <row r="756" spans="1:35" ht="18" customHeight="1" x14ac:dyDescent="0.25">
      <c r="A756" s="36">
        <f t="shared" si="246"/>
        <v>0.74821759259259257</v>
      </c>
      <c r="B756" s="42">
        <f t="shared" si="231"/>
        <v>42.092148041530614</v>
      </c>
      <c r="C756" s="43">
        <f t="shared" si="232"/>
        <v>111.46017015821087</v>
      </c>
      <c r="D756" s="18">
        <f t="shared" si="233"/>
        <v>9.4904603637187392</v>
      </c>
      <c r="E756" s="21" t="str">
        <f t="shared" si="234"/>
        <v>Umbra</v>
      </c>
      <c r="F756" s="23">
        <f>IF($E756&lt;&gt;"Umbra",fracil2($S$2,$S$3,$S$4,$A756,$Q$2,$O$3,$Q$4,$U756,$V756,$W756),0)</f>
        <v>0</v>
      </c>
      <c r="G756" s="19">
        <f t="shared" si="235"/>
        <v>69.300644843810815</v>
      </c>
      <c r="H756" s="19">
        <f t="shared" si="236"/>
        <v>-4.3334707224213327</v>
      </c>
      <c r="I756" s="19">
        <f t="shared" si="237"/>
        <v>-3.1254527730264376</v>
      </c>
      <c r="J756" s="28">
        <f t="shared" si="238"/>
        <v>5.0583828754225792E-3</v>
      </c>
      <c r="K756" s="24">
        <f t="shared" si="239"/>
        <v>1048.6093654789611</v>
      </c>
      <c r="L756" s="32">
        <f t="shared" si="240"/>
        <v>0.55910787061557954</v>
      </c>
      <c r="M756" s="35">
        <f t="shared" si="241"/>
        <v>13.14576736963517</v>
      </c>
      <c r="O756" s="29">
        <f t="shared" si="242"/>
        <v>1046.5848959325544</v>
      </c>
      <c r="T756" s="48">
        <v>0.74821759259259257</v>
      </c>
      <c r="U756" s="29">
        <v>-1360.533023103357</v>
      </c>
      <c r="V756" s="29">
        <v>4548.0454269346947</v>
      </c>
      <c r="W756" s="29">
        <v>4259.5649760579572</v>
      </c>
      <c r="X756" s="4">
        <v>-0.32681479850009582</v>
      </c>
      <c r="Y756" s="4">
        <v>-0.11539445969537684</v>
      </c>
      <c r="Z756" s="4">
        <v>-1.525704914771211E-2</v>
      </c>
      <c r="AA756" s="3">
        <f t="shared" si="247"/>
        <v>0.34692444623540425</v>
      </c>
      <c r="AB756" s="3">
        <f t="shared" si="250"/>
        <v>3.5602768233806478E-3</v>
      </c>
      <c r="AC756" s="3">
        <f t="shared" si="248"/>
        <v>2.2784188670046779E-2</v>
      </c>
      <c r="AD756" s="48"/>
      <c r="AE756" s="46">
        <f t="shared" si="243"/>
        <v>42.092148041530614</v>
      </c>
      <c r="AF756" s="46">
        <f t="shared" si="244"/>
        <v>-248.53982984178913</v>
      </c>
      <c r="AG756" s="47">
        <f t="shared" si="245"/>
        <v>9490.4603637187392</v>
      </c>
      <c r="AH756" s="45" t="str">
        <f t="shared" si="249"/>
        <v>-248.53983,42.09215,09490</v>
      </c>
      <c r="AI756" s="44">
        <f t="shared" si="251"/>
        <v>1021.3454111069639</v>
      </c>
    </row>
    <row r="757" spans="1:35" ht="18" customHeight="1" x14ac:dyDescent="0.25">
      <c r="A757" s="36">
        <f t="shared" si="246"/>
        <v>0.74822918981481479</v>
      </c>
      <c r="B757" s="42">
        <f t="shared" si="231"/>
        <v>42.092148037894844</v>
      </c>
      <c r="C757" s="43">
        <f t="shared" si="232"/>
        <v>111.4601704830221</v>
      </c>
      <c r="D757" s="18">
        <f t="shared" si="233"/>
        <v>9.4676707672160774</v>
      </c>
      <c r="E757" s="21" t="str">
        <f t="shared" si="234"/>
        <v>Umbra</v>
      </c>
      <c r="F757" s="23">
        <f>IF($E757&lt;&gt;"Umbra",fracil2($S$2,$S$3,$S$4,$A757,$Q$2,$O$3,$Q$4,$U757,$V757,$W757),0)</f>
        <v>0</v>
      </c>
      <c r="G757" s="19">
        <f t="shared" si="235"/>
        <v>69.300649254805791</v>
      </c>
      <c r="H757" s="19">
        <f t="shared" si="236"/>
        <v>-4.3347110466276497</v>
      </c>
      <c r="I757" s="19">
        <f t="shared" si="237"/>
        <v>-3.1266930972327547</v>
      </c>
      <c r="J757" s="28">
        <f t="shared" si="238"/>
        <v>5.0568009879571269E-3</v>
      </c>
      <c r="K757" s="24">
        <f t="shared" si="239"/>
        <v>1048.6073480924972</v>
      </c>
      <c r="L757" s="32">
        <f t="shared" si="240"/>
        <v>0.55912212877488321</v>
      </c>
      <c r="M757" s="35">
        <f t="shared" si="241"/>
        <v>13.144932275957036</v>
      </c>
      <c r="O757" s="29">
        <f t="shared" si="242"/>
        <v>1046.5849219575134</v>
      </c>
      <c r="T757" s="48">
        <v>0.74822918981481479</v>
      </c>
      <c r="U757" s="29">
        <v>-1360.8605094094464</v>
      </c>
      <c r="V757" s="29">
        <v>4547.929795620511</v>
      </c>
      <c r="W757" s="29">
        <v>4259.5496993222887</v>
      </c>
      <c r="X757" s="4">
        <v>-0.32681257785736045</v>
      </c>
      <c r="Y757" s="4">
        <v>-0.11539320983218786</v>
      </c>
      <c r="Z757" s="4">
        <v>-1.5233690804980573E-2</v>
      </c>
      <c r="AA757" s="3">
        <f t="shared" si="247"/>
        <v>0.34692091210633352</v>
      </c>
      <c r="AB757" s="3">
        <f t="shared" si="250"/>
        <v>3.5427281772363972E-3</v>
      </c>
      <c r="AC757" s="3">
        <f t="shared" si="248"/>
        <v>2.2749379197555809E-2</v>
      </c>
      <c r="AD757" s="48"/>
      <c r="AE757" s="46">
        <f t="shared" si="243"/>
        <v>42.092148037894844</v>
      </c>
      <c r="AF757" s="46">
        <f t="shared" si="244"/>
        <v>-248.5398295169779</v>
      </c>
      <c r="AG757" s="47">
        <f t="shared" si="245"/>
        <v>9467.6707672160774</v>
      </c>
      <c r="AH757" s="45" t="str">
        <f t="shared" si="249"/>
        <v>-248.53983,42.09215,09468</v>
      </c>
      <c r="AI757" s="44">
        <f t="shared" si="251"/>
        <v>1021.3454111069639</v>
      </c>
    </row>
    <row r="758" spans="1:35" ht="18" customHeight="1" x14ac:dyDescent="0.25">
      <c r="A758" s="36">
        <f t="shared" si="246"/>
        <v>0.748240787037037</v>
      </c>
      <c r="B758" s="42">
        <f t="shared" si="231"/>
        <v>42.09214803426751</v>
      </c>
      <c r="C758" s="43">
        <f t="shared" si="232"/>
        <v>111.46017030248164</v>
      </c>
      <c r="D758" s="18">
        <f t="shared" si="233"/>
        <v>9.4449187551545037</v>
      </c>
      <c r="E758" s="21" t="str">
        <f t="shared" si="234"/>
        <v>Umbra</v>
      </c>
      <c r="F758" s="23">
        <f>IF($E758&lt;&gt;"Umbra",fracil2($S$2,$S$3,$S$4,$A758,$Q$2,$O$3,$Q$4,$U758,$V758,$W758),0)</f>
        <v>0</v>
      </c>
      <c r="G758" s="19">
        <f t="shared" si="235"/>
        <v>69.300653144755799</v>
      </c>
      <c r="H758" s="19">
        <f t="shared" si="236"/>
        <v>-4.3359491320885599</v>
      </c>
      <c r="I758" s="19">
        <f t="shared" si="237"/>
        <v>-3.1279311826936649</v>
      </c>
      <c r="J758" s="28">
        <f t="shared" si="238"/>
        <v>5.0552263931847681E-3</v>
      </c>
      <c r="K758" s="24">
        <f t="shared" si="239"/>
        <v>1048.6052939232645</v>
      </c>
      <c r="L758" s="32">
        <f t="shared" si="240"/>
        <v>0.55913638315430447</v>
      </c>
      <c r="M758" s="35">
        <f t="shared" si="241"/>
        <v>13.144099060365635</v>
      </c>
      <c r="O758" s="29">
        <f t="shared" si="242"/>
        <v>1046.5849073507313</v>
      </c>
      <c r="T758" s="48">
        <v>0.748240787037037</v>
      </c>
      <c r="U758" s="29">
        <v>-1361.1879539662109</v>
      </c>
      <c r="V758" s="29">
        <v>4547.8141794548765</v>
      </c>
      <c r="W758" s="29">
        <v>4259.5344477811086</v>
      </c>
      <c r="X758" s="4">
        <v>-0.32681032930599191</v>
      </c>
      <c r="Y758" s="4">
        <v>-0.11539206795332939</v>
      </c>
      <c r="Z758" s="4">
        <v>-1.5210436150127331E-2</v>
      </c>
      <c r="AA758" s="3">
        <f t="shared" si="247"/>
        <v>0.34691739370563962</v>
      </c>
      <c r="AB758" s="3">
        <f t="shared" si="250"/>
        <v>3.5269907609326635E-3</v>
      </c>
      <c r="AC758" s="3">
        <f t="shared" si="248"/>
        <v>2.2714724354811321E-2</v>
      </c>
      <c r="AD758" s="48"/>
      <c r="AE758" s="46">
        <f t="shared" si="243"/>
        <v>42.09214803426751</v>
      </c>
      <c r="AF758" s="46">
        <f t="shared" si="244"/>
        <v>-248.53982969751837</v>
      </c>
      <c r="AG758" s="47">
        <f t="shared" si="245"/>
        <v>9444.9187551545037</v>
      </c>
      <c r="AH758" s="45" t="str">
        <f t="shared" si="249"/>
        <v>-248.53983,42.09215,09445</v>
      </c>
      <c r="AI758" s="44">
        <f t="shared" si="251"/>
        <v>1021.3454111069639</v>
      </c>
    </row>
    <row r="759" spans="1:35" ht="18" customHeight="1" x14ac:dyDescent="0.25">
      <c r="A759" s="36">
        <f t="shared" si="246"/>
        <v>0.74825245370370375</v>
      </c>
      <c r="B759" s="42">
        <f t="shared" si="231"/>
        <v>42.092148030629488</v>
      </c>
      <c r="C759" s="43">
        <f t="shared" si="232"/>
        <v>111.46016687961699</v>
      </c>
      <c r="D759" s="18">
        <f t="shared" si="233"/>
        <v>9.4220830726872009</v>
      </c>
      <c r="E759" s="21" t="str">
        <f t="shared" si="234"/>
        <v>Umbra</v>
      </c>
      <c r="F759" s="23">
        <f>IF($E759&lt;&gt;"Umbra",fracil2($S$2,$S$3,$S$4,$A759,$Q$2,$O$3,$Q$4,$U759,$V759,$W759),0)</f>
        <v>0</v>
      </c>
      <c r="G759" s="19">
        <f t="shared" si="235"/>
        <v>69.300653749771783</v>
      </c>
      <c r="H759" s="19">
        <f t="shared" si="236"/>
        <v>-4.3371905045264878</v>
      </c>
      <c r="I759" s="19">
        <f t="shared" si="237"/>
        <v>-3.1291725551315928</v>
      </c>
      <c r="J759" s="28">
        <f t="shared" si="238"/>
        <v>5.0536508601943938E-3</v>
      </c>
      <c r="K759" s="24">
        <f t="shared" si="239"/>
        <v>1048.6029719817841</v>
      </c>
      <c r="L759" s="32">
        <f t="shared" si="240"/>
        <v>0.55915072039927505</v>
      </c>
      <c r="M759" s="35">
        <f t="shared" si="241"/>
        <v>13.143266062765358</v>
      </c>
      <c r="O759" s="29">
        <f t="shared" si="242"/>
        <v>1046.5846320501216</v>
      </c>
      <c r="T759" s="48">
        <v>0.74825245370370375</v>
      </c>
      <c r="U759" s="29">
        <v>-1361.5171034754715</v>
      </c>
      <c r="V759" s="29">
        <v>4547.6979615861565</v>
      </c>
      <c r="W759" s="29">
        <v>4259.5191401526854</v>
      </c>
      <c r="X759" s="4">
        <v>-0.32680804084294962</v>
      </c>
      <c r="Y759" s="4">
        <v>-0.11539102798129992</v>
      </c>
      <c r="Z759" s="4">
        <v>-1.5187161146932589E-2</v>
      </c>
      <c r="AA759" s="3">
        <f t="shared" si="247"/>
        <v>0.3469138722534616</v>
      </c>
      <c r="AB759" s="3">
        <f t="shared" si="250"/>
        <v>3.5090534037723929E-3</v>
      </c>
      <c r="AC759" s="3">
        <f t="shared" si="248"/>
        <v>2.2680039298912283E-2</v>
      </c>
      <c r="AD759" s="48"/>
      <c r="AE759" s="46">
        <f t="shared" si="243"/>
        <v>42.092148030629488</v>
      </c>
      <c r="AF759" s="46">
        <f t="shared" si="244"/>
        <v>-248.53983312038301</v>
      </c>
      <c r="AG759" s="47">
        <f t="shared" si="245"/>
        <v>9422.0830726872009</v>
      </c>
      <c r="AH759" s="45" t="str">
        <f t="shared" si="249"/>
        <v>-248.53983,42.09215,09422</v>
      </c>
      <c r="AI759" s="44">
        <f t="shared" si="251"/>
        <v>1021.3457113187352</v>
      </c>
    </row>
    <row r="760" spans="1:35" ht="18" customHeight="1" x14ac:dyDescent="0.25">
      <c r="A760" s="36">
        <f t="shared" si="246"/>
        <v>0.74826388888888884</v>
      </c>
      <c r="B760" s="42">
        <f t="shared" si="231"/>
        <v>42.092148027067104</v>
      </c>
      <c r="C760" s="43">
        <f t="shared" si="232"/>
        <v>111.46016873342278</v>
      </c>
      <c r="D760" s="18">
        <f t="shared" si="233"/>
        <v>9.3997061387071881</v>
      </c>
      <c r="E760" s="21" t="str">
        <f t="shared" si="234"/>
        <v>Umbra</v>
      </c>
      <c r="F760" s="23">
        <f>IF($E760&lt;&gt;"Umbra",fracil2($S$2,$S$3,$S$4,$A760,$Q$2,$O$3,$Q$4,$U760,$V760,$W760),0)</f>
        <v>0</v>
      </c>
      <c r="G760" s="19">
        <f t="shared" si="235"/>
        <v>69.300659643081246</v>
      </c>
      <c r="H760" s="19">
        <f t="shared" si="236"/>
        <v>-4.3384089856106849</v>
      </c>
      <c r="I760" s="19">
        <f t="shared" si="237"/>
        <v>-3.1303910362157898</v>
      </c>
      <c r="J760" s="28">
        <f t="shared" si="238"/>
        <v>5.0521112485823827E-3</v>
      </c>
      <c r="K760" s="24">
        <f t="shared" si="239"/>
        <v>1048.6011160109088</v>
      </c>
      <c r="L760" s="32">
        <f t="shared" si="240"/>
        <v>0.55916476677496207</v>
      </c>
      <c r="M760" s="35">
        <f t="shared" si="241"/>
        <v>13.142444494485503</v>
      </c>
      <c r="O760" s="29">
        <f t="shared" si="242"/>
        <v>1046.5847810131211</v>
      </c>
      <c r="T760" s="48">
        <v>0.74826388888888884</v>
      </c>
      <c r="U760" s="29">
        <v>-1361.8401274246992</v>
      </c>
      <c r="V760" s="29">
        <v>4547.5839067328834</v>
      </c>
      <c r="W760" s="29">
        <v>4259.5041400410746</v>
      </c>
      <c r="X760" s="4">
        <v>-0.32680576724926597</v>
      </c>
      <c r="Y760" s="4">
        <v>-0.11539011314181492</v>
      </c>
      <c r="Z760" s="4">
        <v>-1.5164418107509918E-2</v>
      </c>
      <c r="AA760" s="3">
        <f t="shared" si="247"/>
        <v>0.3469104312280068</v>
      </c>
      <c r="AB760" s="3">
        <f t="shared" si="250"/>
        <v>3.4982508161177628E-3</v>
      </c>
      <c r="AC760" s="3">
        <f t="shared" si="248"/>
        <v>2.2646147097579738E-2</v>
      </c>
      <c r="AD760" s="48"/>
      <c r="AE760" s="46">
        <f t="shared" si="243"/>
        <v>42.092148027067104</v>
      </c>
      <c r="AF760" s="46">
        <f t="shared" si="244"/>
        <v>-248.53983126657721</v>
      </c>
      <c r="AG760" s="47">
        <f t="shared" si="245"/>
        <v>9399.7061387071881</v>
      </c>
      <c r="AH760" s="45" t="str">
        <f t="shared" si="249"/>
        <v>-248.53983,42.09215,09400</v>
      </c>
      <c r="AI760" s="44">
        <f t="shared" si="251"/>
        <v>1021.3458757514945</v>
      </c>
    </row>
    <row r="761" spans="1:35" ht="18" customHeight="1" x14ac:dyDescent="0.25">
      <c r="A761" s="36">
        <f t="shared" si="246"/>
        <v>0.74827547453703713</v>
      </c>
      <c r="B761" s="42">
        <f t="shared" si="231"/>
        <v>42.092148023468496</v>
      </c>
      <c r="C761" s="43">
        <f t="shared" si="232"/>
        <v>111.46016743214967</v>
      </c>
      <c r="D761" s="18">
        <f t="shared" si="233"/>
        <v>9.3770860848908342</v>
      </c>
      <c r="E761" s="21" t="str">
        <f t="shared" si="234"/>
        <v>Umbra</v>
      </c>
      <c r="F761" s="23">
        <f>IF($E761&lt;&gt;"Umbra",fracil2($S$2,$S$3,$S$4,$A761,$Q$2,$O$3,$Q$4,$U761,$V761,$W761),0)</f>
        <v>0</v>
      </c>
      <c r="G761" s="19">
        <f t="shared" si="235"/>
        <v>69.300662368801866</v>
      </c>
      <c r="H761" s="19">
        <f t="shared" si="236"/>
        <v>-4.3396394652642112</v>
      </c>
      <c r="I761" s="19">
        <f t="shared" si="237"/>
        <v>-3.1316215158693161</v>
      </c>
      <c r="J761" s="28">
        <f t="shared" si="238"/>
        <v>5.050559619752845E-3</v>
      </c>
      <c r="K761" s="24">
        <f t="shared" si="239"/>
        <v>1048.5989849900957</v>
      </c>
      <c r="L761" s="32">
        <f t="shared" si="240"/>
        <v>0.55917899555856365</v>
      </c>
      <c r="M761" s="35">
        <f t="shared" si="241"/>
        <v>13.141617214804077</v>
      </c>
      <c r="O761" s="29">
        <f t="shared" si="242"/>
        <v>1046.5846762964541</v>
      </c>
      <c r="T761" s="48">
        <v>0.74827547453703713</v>
      </c>
      <c r="U761" s="29">
        <v>-1362.1671507121266</v>
      </c>
      <c r="V761" s="29">
        <v>4547.4684398294339</v>
      </c>
      <c r="W761" s="29">
        <v>4259.4889769571791</v>
      </c>
      <c r="X761" s="4">
        <v>-0.32680343812504686</v>
      </c>
      <c r="Y761" s="4">
        <v>-0.11538929162793796</v>
      </c>
      <c r="Z761" s="4">
        <v>-1.5141491233738803E-2</v>
      </c>
      <c r="AA761" s="3">
        <f t="shared" si="247"/>
        <v>0.34690696238261065</v>
      </c>
      <c r="AB761" s="3">
        <f t="shared" si="250"/>
        <v>3.4807174869209397E-3</v>
      </c>
      <c r="AC761" s="3">
        <f t="shared" si="248"/>
        <v>2.2611981049986886E-2</v>
      </c>
      <c r="AD761" s="48"/>
      <c r="AE761" s="46">
        <f t="shared" si="243"/>
        <v>42.092148023468496</v>
      </c>
      <c r="AF761" s="46">
        <f t="shared" si="244"/>
        <v>-248.53983256785034</v>
      </c>
      <c r="AG761" s="47">
        <f t="shared" si="245"/>
        <v>9377.0860848908342</v>
      </c>
      <c r="AH761" s="45" t="str">
        <f t="shared" si="249"/>
        <v>-248.53983,42.09215,09377</v>
      </c>
      <c r="AI761" s="44">
        <f t="shared" si="251"/>
        <v>1021.3459706867925</v>
      </c>
    </row>
    <row r="762" spans="1:35" ht="18" customHeight="1" x14ac:dyDescent="0.25">
      <c r="A762" s="36">
        <f t="shared" si="246"/>
        <v>0.74828712962962962</v>
      </c>
      <c r="B762" s="42">
        <f t="shared" si="231"/>
        <v>42.092148019854356</v>
      </c>
      <c r="C762" s="43">
        <f t="shared" si="232"/>
        <v>111.46016874751406</v>
      </c>
      <c r="D762" s="18">
        <f t="shared" si="233"/>
        <v>9.354350735803564</v>
      </c>
      <c r="E762" s="21" t="str">
        <f t="shared" si="234"/>
        <v>Umbra</v>
      </c>
      <c r="F762" s="23">
        <f>IF($E762&lt;&gt;"Umbra",fracil2($S$2,$S$3,$S$4,$A762,$Q$2,$O$3,$Q$4,$U762,$V762,$W762),0)</f>
        <v>0</v>
      </c>
      <c r="G762" s="19">
        <f t="shared" si="235"/>
        <v>69.300667778302838</v>
      </c>
      <c r="H762" s="19">
        <f t="shared" si="236"/>
        <v>-4.3408772495177539</v>
      </c>
      <c r="I762" s="19">
        <f t="shared" si="237"/>
        <v>-3.1328593001228588</v>
      </c>
      <c r="J762" s="28">
        <f t="shared" si="238"/>
        <v>5.0490045842061845E-3</v>
      </c>
      <c r="K762" s="24">
        <f t="shared" si="239"/>
        <v>1048.5970545710577</v>
      </c>
      <c r="L762" s="32">
        <f t="shared" si="240"/>
        <v>0.55919330439129267</v>
      </c>
      <c r="M762" s="35">
        <f t="shared" si="241"/>
        <v>13.140783040560875</v>
      </c>
      <c r="O762" s="29">
        <f t="shared" si="242"/>
        <v>1046.584781965694</v>
      </c>
      <c r="T762" s="48">
        <v>0.74828712962962962</v>
      </c>
      <c r="U762" s="29">
        <v>-1362.4963371056529</v>
      </c>
      <c r="V762" s="29">
        <v>4547.3522091063551</v>
      </c>
      <c r="W762" s="29">
        <v>4259.4737365867059</v>
      </c>
      <c r="X762" s="4">
        <v>-0.32680106545685006</v>
      </c>
      <c r="Y762" s="4">
        <v>-0.11538857195880345</v>
      </c>
      <c r="Z762" s="4">
        <v>-1.511851292290505E-2</v>
      </c>
      <c r="AA762" s="3">
        <f t="shared" si="247"/>
        <v>0.34690348564899781</v>
      </c>
      <c r="AB762" s="3">
        <f t="shared" si="250"/>
        <v>3.4677298505250854E-3</v>
      </c>
      <c r="AC762" s="3">
        <f t="shared" si="248"/>
        <v>2.2577738459160543E-2</v>
      </c>
      <c r="AD762" s="48"/>
      <c r="AE762" s="46">
        <f t="shared" si="243"/>
        <v>42.092148019854356</v>
      </c>
      <c r="AF762" s="46">
        <f t="shared" si="244"/>
        <v>-248.53983125248595</v>
      </c>
      <c r="AG762" s="47">
        <f t="shared" si="245"/>
        <v>9354.350735803564</v>
      </c>
      <c r="AH762" s="45" t="str">
        <f t="shared" si="249"/>
        <v>-248.53983,42.09215,09354</v>
      </c>
      <c r="AI762" s="44">
        <f t="shared" si="251"/>
        <v>1021.3461049455775</v>
      </c>
    </row>
    <row r="763" spans="1:35" ht="18" customHeight="1" x14ac:dyDescent="0.25">
      <c r="A763" s="36">
        <f t="shared" si="246"/>
        <v>0.74829871527777769</v>
      </c>
      <c r="B763" s="42">
        <f t="shared" si="231"/>
        <v>42.092148016271487</v>
      </c>
      <c r="C763" s="43">
        <f t="shared" si="232"/>
        <v>111.46016792784319</v>
      </c>
      <c r="D763" s="18">
        <f t="shared" si="233"/>
        <v>9.3317964620864586</v>
      </c>
      <c r="E763" s="21" t="str">
        <f t="shared" si="234"/>
        <v>Umbra</v>
      </c>
      <c r="F763" s="23">
        <f>IF($E763&lt;&gt;"Umbra",fracil2($S$2,$S$3,$S$4,$A763,$Q$2,$O$3,$Q$4,$U763,$V763,$W763),0)</f>
        <v>0</v>
      </c>
      <c r="G763" s="19">
        <f t="shared" si="235"/>
        <v>69.300670982430404</v>
      </c>
      <c r="H763" s="19">
        <f t="shared" si="236"/>
        <v>-4.3421043477881023</v>
      </c>
      <c r="I763" s="19">
        <f t="shared" si="237"/>
        <v>-3.1340863983932072</v>
      </c>
      <c r="J763" s="28">
        <f t="shared" si="238"/>
        <v>5.0474665991895578E-3</v>
      </c>
      <c r="K763" s="24">
        <f t="shared" si="239"/>
        <v>1048.5949691431067</v>
      </c>
      <c r="L763" s="32">
        <f t="shared" si="240"/>
        <v>0.55920752505259474</v>
      </c>
      <c r="M763" s="35">
        <f t="shared" si="241"/>
        <v>13.139957656770282</v>
      </c>
      <c r="O763" s="29">
        <f t="shared" si="242"/>
        <v>1046.5847159718269</v>
      </c>
      <c r="T763" s="48">
        <v>0.74829871527777769</v>
      </c>
      <c r="U763" s="29">
        <v>-1362.8233933648537</v>
      </c>
      <c r="V763" s="29">
        <v>4547.2367303265391</v>
      </c>
      <c r="W763" s="29">
        <v>4259.4586175981576</v>
      </c>
      <c r="X763" s="4">
        <v>-0.32679868067774026</v>
      </c>
      <c r="Y763" s="4">
        <v>-0.11538796177417739</v>
      </c>
      <c r="Z763" s="4">
        <v>-1.5095781217244189E-2</v>
      </c>
      <c r="AA763" s="3">
        <f t="shared" si="247"/>
        <v>0.34690004615979741</v>
      </c>
      <c r="AB763" s="3">
        <f t="shared" si="250"/>
        <v>3.4510653917563259E-3</v>
      </c>
      <c r="AC763" s="3">
        <f t="shared" si="248"/>
        <v>2.2543863470781973E-2</v>
      </c>
      <c r="AD763" s="48"/>
      <c r="AE763" s="46">
        <f t="shared" si="243"/>
        <v>42.092148016271487</v>
      </c>
      <c r="AF763" s="46">
        <f t="shared" si="244"/>
        <v>-248.5398320721568</v>
      </c>
      <c r="AG763" s="47">
        <f t="shared" si="245"/>
        <v>9331.7964620864586</v>
      </c>
      <c r="AH763" s="45" t="str">
        <f t="shared" si="249"/>
        <v>-248.53983,42.09215,09332</v>
      </c>
      <c r="AI763" s="44">
        <f t="shared" si="251"/>
        <v>1021.3461049455775</v>
      </c>
    </row>
    <row r="764" spans="1:35" ht="18" customHeight="1" x14ac:dyDescent="0.25">
      <c r="A764" s="36">
        <f t="shared" si="246"/>
        <v>0.7483103703703704</v>
      </c>
      <c r="B764" s="42">
        <f t="shared" si="231"/>
        <v>42.092148012671949</v>
      </c>
      <c r="C764" s="43">
        <f t="shared" si="232"/>
        <v>111.46017072476879</v>
      </c>
      <c r="D764" s="18">
        <f t="shared" si="233"/>
        <v>9.3091216756210997</v>
      </c>
      <c r="E764" s="21" t="str">
        <f t="shared" si="234"/>
        <v>Umbra</v>
      </c>
      <c r="F764" s="23">
        <f>IF($E764&lt;&gt;"Umbra",fracil2($S$2,$S$3,$S$4,$A764,$Q$2,$O$3,$Q$4,$U764,$V764,$W764),0)</f>
        <v>0</v>
      </c>
      <c r="G764" s="19">
        <f t="shared" si="235"/>
        <v>69.300677888995139</v>
      </c>
      <c r="H764" s="19">
        <f t="shared" si="236"/>
        <v>-4.3433394256058762</v>
      </c>
      <c r="I764" s="19">
        <f t="shared" si="237"/>
        <v>-3.1353214762109811</v>
      </c>
      <c r="J764" s="28">
        <f t="shared" si="238"/>
        <v>5.0459247502838388E-3</v>
      </c>
      <c r="K764" s="24">
        <f t="shared" si="239"/>
        <v>1048.5931642723147</v>
      </c>
      <c r="L764" s="32">
        <f t="shared" si="240"/>
        <v>0.55922182525946573</v>
      </c>
      <c r="M764" s="35">
        <f t="shared" si="241"/>
        <v>13.139124171716466</v>
      </c>
      <c r="O764" s="29">
        <f t="shared" si="242"/>
        <v>1046.5849407638475</v>
      </c>
      <c r="T764" s="48">
        <v>0.7483103703703704</v>
      </c>
      <c r="U764" s="29">
        <v>-1363.1526908550015</v>
      </c>
      <c r="V764" s="29">
        <v>4547.1204599084722</v>
      </c>
      <c r="W764" s="29">
        <v>4259.4434178255324</v>
      </c>
      <c r="X764" s="4">
        <v>-0.32679625189737366</v>
      </c>
      <c r="Y764" s="4">
        <v>-0.11538745286416091</v>
      </c>
      <c r="Z764" s="4">
        <v>-1.5072992244115121E-2</v>
      </c>
      <c r="AA764" s="3">
        <f t="shared" si="247"/>
        <v>0.34689659789026733</v>
      </c>
      <c r="AB764" s="3">
        <f t="shared" si="250"/>
        <v>3.4391343475334403E-3</v>
      </c>
      <c r="AC764" s="3">
        <f t="shared" si="248"/>
        <v>2.2509903250309833E-2</v>
      </c>
      <c r="AD764" s="48"/>
      <c r="AE764" s="46">
        <f t="shared" si="243"/>
        <v>42.092148012671949</v>
      </c>
      <c r="AF764" s="46">
        <f t="shared" si="244"/>
        <v>-248.53982927523123</v>
      </c>
      <c r="AG764" s="47">
        <f t="shared" si="245"/>
        <v>9309.1216756210997</v>
      </c>
      <c r="AH764" s="45" t="str">
        <f t="shared" si="249"/>
        <v>-248.53983,42.09215,09309</v>
      </c>
      <c r="AI764" s="44">
        <f t="shared" si="251"/>
        <v>1021.3463172273575</v>
      </c>
    </row>
    <row r="765" spans="1:35" ht="18" customHeight="1" x14ac:dyDescent="0.25">
      <c r="A765" s="36">
        <f t="shared" si="246"/>
        <v>0.74832179398148158</v>
      </c>
      <c r="B765" s="42">
        <f t="shared" si="231"/>
        <v>42.092148009153803</v>
      </c>
      <c r="C765" s="43">
        <f t="shared" si="232"/>
        <v>111.46017098057794</v>
      </c>
      <c r="D765" s="18">
        <f t="shared" si="233"/>
        <v>9.2869437596646094</v>
      </c>
      <c r="E765" s="21" t="str">
        <f t="shared" si="234"/>
        <v>Umbra</v>
      </c>
      <c r="F765" s="23">
        <f>IF($E765&lt;&gt;"Umbra",fracil2($S$2,$S$3,$S$4,$A765,$Q$2,$O$3,$Q$4,$U765,$V765,$W765),0)</f>
        <v>0</v>
      </c>
      <c r="G765" s="19">
        <f t="shared" si="235"/>
        <v>69.30068212034773</v>
      </c>
      <c r="H765" s="19">
        <f t="shared" si="236"/>
        <v>-4.3445464725282212</v>
      </c>
      <c r="I765" s="19">
        <f t="shared" si="237"/>
        <v>-3.1365285231333262</v>
      </c>
      <c r="J765" s="28">
        <f t="shared" si="238"/>
        <v>5.0444212073393439E-3</v>
      </c>
      <c r="K765" s="24">
        <f t="shared" si="239"/>
        <v>1048.5911999831208</v>
      </c>
      <c r="L765" s="32">
        <f t="shared" si="240"/>
        <v>0.55923583882557393</v>
      </c>
      <c r="M765" s="35">
        <f t="shared" si="241"/>
        <v>13.138311458561176</v>
      </c>
      <c r="O765" s="29">
        <f t="shared" si="242"/>
        <v>1046.5849612437476</v>
      </c>
      <c r="T765" s="48">
        <v>0.74832179398148158</v>
      </c>
      <c r="U765" s="29">
        <v>-1363.4752513972335</v>
      </c>
      <c r="V765" s="29">
        <v>4547.00656781821</v>
      </c>
      <c r="W765" s="29">
        <v>4259.4285511243334</v>
      </c>
      <c r="X765" s="4">
        <v>-0.32679384632149361</v>
      </c>
      <c r="Y765" s="4">
        <v>-0.11538705543492282</v>
      </c>
      <c r="Z765" s="4">
        <v>-1.50507639020083E-2</v>
      </c>
      <c r="AA765" s="3">
        <f t="shared" si="247"/>
        <v>0.34689323436696184</v>
      </c>
      <c r="AB765" s="3">
        <f t="shared" si="250"/>
        <v>3.4224916591198643E-3</v>
      </c>
      <c r="AC765" s="3">
        <f t="shared" si="248"/>
        <v>2.2476778589492048E-2</v>
      </c>
      <c r="AD765" s="48"/>
      <c r="AE765" s="46">
        <f t="shared" si="243"/>
        <v>42.092148009153803</v>
      </c>
      <c r="AF765" s="46">
        <f t="shared" si="244"/>
        <v>-248.53982901942206</v>
      </c>
      <c r="AG765" s="47">
        <f t="shared" si="245"/>
        <v>9286.9437596646094</v>
      </c>
      <c r="AH765" s="45" t="str">
        <f t="shared" si="249"/>
        <v>-248.53983,42.09215,09287</v>
      </c>
      <c r="AI765" s="44">
        <f t="shared" si="251"/>
        <v>1021.3463172273575</v>
      </c>
    </row>
    <row r="766" spans="1:35" ht="18" customHeight="1" x14ac:dyDescent="0.25">
      <c r="A766" s="36">
        <f t="shared" si="246"/>
        <v>0.74833340277777782</v>
      </c>
      <c r="B766" s="42">
        <f t="shared" si="231"/>
        <v>42.092148005588257</v>
      </c>
      <c r="C766" s="43">
        <f t="shared" si="232"/>
        <v>111.46016920995567</v>
      </c>
      <c r="D766" s="18">
        <f t="shared" si="233"/>
        <v>9.2644506770693624</v>
      </c>
      <c r="E766" s="21" t="str">
        <f t="shared" si="234"/>
        <v>Umbra</v>
      </c>
      <c r="F766" s="23">
        <f>IF($E766&lt;&gt;"Umbra",fracil2($S$2,$S$3,$S$4,$A766,$Q$2,$O$3,$Q$4,$U766,$V766,$W766),0)</f>
        <v>0</v>
      </c>
      <c r="G766" s="19">
        <f t="shared" si="235"/>
        <v>69.300684345715069</v>
      </c>
      <c r="H766" s="19">
        <f t="shared" si="236"/>
        <v>-4.3457698826286446</v>
      </c>
      <c r="I766" s="19">
        <f t="shared" si="237"/>
        <v>-3.1377519332337496</v>
      </c>
      <c r="J766" s="28">
        <f t="shared" si="238"/>
        <v>5.042900818811728E-3</v>
      </c>
      <c r="K766" s="24">
        <f t="shared" si="239"/>
        <v>1048.5890449887086</v>
      </c>
      <c r="L766" s="32">
        <f t="shared" si="240"/>
        <v>0.55925007668685145</v>
      </c>
      <c r="M766" s="35">
        <f t="shared" si="241"/>
        <v>13.137489246397831</v>
      </c>
      <c r="O766" s="29">
        <f t="shared" si="242"/>
        <v>1046.5848187906847</v>
      </c>
      <c r="T766" s="48">
        <v>0.74833340277777782</v>
      </c>
      <c r="U766" s="29">
        <v>-1363.8028796356452</v>
      </c>
      <c r="V766" s="29">
        <v>4546.8908858759105</v>
      </c>
      <c r="W766" s="29">
        <v>4259.4134731551585</v>
      </c>
      <c r="X766" s="4">
        <v>-0.32679137628260452</v>
      </c>
      <c r="Y766" s="4">
        <v>-0.11538675350262162</v>
      </c>
      <c r="Z766" s="4">
        <v>-1.5028281363378252E-2</v>
      </c>
      <c r="AA766" s="3">
        <f t="shared" si="247"/>
        <v>0.34688983227718051</v>
      </c>
      <c r="AB766" s="3">
        <f t="shared" si="250"/>
        <v>3.4063990307953837E-3</v>
      </c>
      <c r="AC766" s="3">
        <f t="shared" si="248"/>
        <v>2.2443275231149522E-2</v>
      </c>
      <c r="AD766" s="48"/>
      <c r="AE766" s="46">
        <f t="shared" si="243"/>
        <v>42.092148005588257</v>
      </c>
      <c r="AF766" s="46">
        <f t="shared" si="244"/>
        <v>-248.53983079004433</v>
      </c>
      <c r="AG766" s="47">
        <f t="shared" si="245"/>
        <v>9264.4506770693624</v>
      </c>
      <c r="AH766" s="45" t="str">
        <f t="shared" si="249"/>
        <v>-248.53983,42.09215,09264</v>
      </c>
      <c r="AI766" s="44">
        <f t="shared" si="251"/>
        <v>1021.3464121626555</v>
      </c>
    </row>
    <row r="767" spans="1:35" ht="18" customHeight="1" x14ac:dyDescent="0.25">
      <c r="A767" s="36">
        <f t="shared" si="246"/>
        <v>0.7483449537037038</v>
      </c>
      <c r="B767" s="42">
        <f t="shared" si="231"/>
        <v>42.092148002046379</v>
      </c>
      <c r="C767" s="43">
        <f t="shared" si="232"/>
        <v>111.46016963231212</v>
      </c>
      <c r="D767" s="18">
        <f t="shared" si="233"/>
        <v>9.2420913218729766</v>
      </c>
      <c r="E767" s="21" t="str">
        <f t="shared" si="234"/>
        <v>Umbra</v>
      </c>
      <c r="F767" s="23">
        <f>IF($E767&lt;&gt;"Umbra",fracil2($S$2,$S$3,$S$4,$A767,$Q$2,$O$3,$Q$4,$U767,$V767,$W767),0)</f>
        <v>0</v>
      </c>
      <c r="G767" s="19">
        <f t="shared" si="235"/>
        <v>69.300688779086897</v>
      </c>
      <c r="H767" s="19">
        <f t="shared" si="236"/>
        <v>-4.3469868782376526</v>
      </c>
      <c r="I767" s="19">
        <f t="shared" si="237"/>
        <v>-3.1389689288427576</v>
      </c>
      <c r="J767" s="28">
        <f t="shared" si="238"/>
        <v>5.0413938308537911E-3</v>
      </c>
      <c r="K767" s="24">
        <f t="shared" si="239"/>
        <v>1048.5870788026757</v>
      </c>
      <c r="L767" s="32">
        <f t="shared" si="240"/>
        <v>0.55926423866644415</v>
      </c>
      <c r="M767" s="35">
        <f t="shared" si="241"/>
        <v>13.136669693516327</v>
      </c>
      <c r="O767" s="29">
        <f t="shared" si="242"/>
        <v>1046.5848526609475</v>
      </c>
      <c r="T767" s="48">
        <v>0.7483449537037038</v>
      </c>
      <c r="U767" s="29">
        <v>-1364.1290430090723</v>
      </c>
      <c r="V767" s="29">
        <v>4546.7757205373382</v>
      </c>
      <c r="W767" s="29">
        <v>4259.3984848287546</v>
      </c>
      <c r="X767" s="4">
        <v>-0.32678889019564661</v>
      </c>
      <c r="Y767" s="4">
        <v>-0.11538655597590949</v>
      </c>
      <c r="Z767" s="4">
        <v>-1.5005995621014139E-2</v>
      </c>
      <c r="AA767" s="3">
        <f t="shared" si="247"/>
        <v>0.34688645975284471</v>
      </c>
      <c r="AB767" s="3">
        <f t="shared" si="250"/>
        <v>3.3934877653253029E-3</v>
      </c>
      <c r="AC767" s="3">
        <f t="shared" si="248"/>
        <v>2.2410065243204658E-2</v>
      </c>
      <c r="AD767" s="48"/>
      <c r="AE767" s="46">
        <f t="shared" si="243"/>
        <v>42.092148002046379</v>
      </c>
      <c r="AF767" s="46">
        <f t="shared" si="244"/>
        <v>-248.5398303676879</v>
      </c>
      <c r="AG767" s="47">
        <f t="shared" si="245"/>
        <v>9242.0913218729766</v>
      </c>
      <c r="AH767" s="45" t="str">
        <f t="shared" si="249"/>
        <v>-248.53983,42.09215,09242</v>
      </c>
      <c r="AI767" s="44">
        <f t="shared" si="251"/>
        <v>1021.3464121626555</v>
      </c>
    </row>
    <row r="768" spans="1:35" ht="18" customHeight="1" x14ac:dyDescent="0.25">
      <c r="A768" s="36">
        <f t="shared" si="246"/>
        <v>0.74835646990740745</v>
      </c>
      <c r="B768" s="42">
        <f t="shared" si="231"/>
        <v>42.092147998522314</v>
      </c>
      <c r="C768" s="43">
        <f t="shared" si="232"/>
        <v>111.46017084853474</v>
      </c>
      <c r="D768" s="18">
        <f t="shared" si="233"/>
        <v>9.2198278874648167</v>
      </c>
      <c r="E768" s="21" t="str">
        <f t="shared" si="234"/>
        <v>Umbra</v>
      </c>
      <c r="F768" s="23">
        <f>IF($E768&lt;&gt;"Umbra",fracil2($S$2,$S$3,$S$4,$A768,$Q$2,$O$3,$Q$4,$U768,$V768,$W768),0)</f>
        <v>0</v>
      </c>
      <c r="G768" s="19">
        <f t="shared" si="235"/>
        <v>69.300694003263928</v>
      </c>
      <c r="H768" s="19">
        <f t="shared" si="236"/>
        <v>-4.3481989687989957</v>
      </c>
      <c r="I768" s="19">
        <f t="shared" si="237"/>
        <v>-3.1401810194041007</v>
      </c>
      <c r="J768" s="28">
        <f t="shared" si="238"/>
        <v>5.0398974895491128E-3</v>
      </c>
      <c r="K768" s="24">
        <f t="shared" si="239"/>
        <v>1048.5851855128881</v>
      </c>
      <c r="L768" s="32">
        <f t="shared" si="240"/>
        <v>0.55927835388302016</v>
      </c>
      <c r="M768" s="35">
        <f t="shared" si="241"/>
        <v>13.135852836582194</v>
      </c>
      <c r="O768" s="29">
        <f t="shared" si="242"/>
        <v>1046.5849503611175</v>
      </c>
      <c r="T768" s="48">
        <v>0.74835646990740745</v>
      </c>
      <c r="U768" s="29">
        <v>-1364.4542856554424</v>
      </c>
      <c r="V768" s="29">
        <v>4546.6608795693037</v>
      </c>
      <c r="W768" s="29">
        <v>4259.3835608019226</v>
      </c>
      <c r="X768" s="4">
        <v>-0.32678638534044652</v>
      </c>
      <c r="Y768" s="4">
        <v>-0.11538645751403476</v>
      </c>
      <c r="Z768" s="4">
        <v>-1.4983864785917563E-2</v>
      </c>
      <c r="AA768" s="3">
        <f t="shared" si="247"/>
        <v>0.34688311060850974</v>
      </c>
      <c r="AB768" s="3">
        <f t="shared" si="250"/>
        <v>3.3800495591270888E-3</v>
      </c>
      <c r="AC768" s="3">
        <f t="shared" si="248"/>
        <v>2.2377086201057883E-2</v>
      </c>
      <c r="AD768" s="48"/>
      <c r="AE768" s="46">
        <f t="shared" si="243"/>
        <v>42.092147998522314</v>
      </c>
      <c r="AF768" s="46">
        <f t="shared" si="244"/>
        <v>-248.53982915146526</v>
      </c>
      <c r="AG768" s="47">
        <f t="shared" si="245"/>
        <v>9219.8278874648167</v>
      </c>
      <c r="AH768" s="45" t="str">
        <f t="shared" si="249"/>
        <v>-248.53983,42.09215,09220</v>
      </c>
      <c r="AI768" s="44">
        <f t="shared" si="251"/>
        <v>1021.3465070979535</v>
      </c>
    </row>
    <row r="769" spans="1:35" ht="18" customHeight="1" x14ac:dyDescent="0.25">
      <c r="A769" s="36">
        <f t="shared" si="246"/>
        <v>0.7483680787037037</v>
      </c>
      <c r="B769" s="42">
        <f t="shared" si="231"/>
        <v>42.092147994981254</v>
      </c>
      <c r="C769" s="43">
        <f t="shared" si="232"/>
        <v>111.4601677700261</v>
      </c>
      <c r="D769" s="18">
        <f t="shared" si="233"/>
        <v>9.1974416286248015</v>
      </c>
      <c r="E769" s="21" t="str">
        <f t="shared" si="234"/>
        <v>Umbra</v>
      </c>
      <c r="F769" s="23">
        <f>IF($E769&lt;&gt;"Umbra",fracil2($S$2,$S$3,$S$4,$A769,$Q$2,$O$3,$Q$4,$U769,$V769,$W769),0)</f>
        <v>0</v>
      </c>
      <c r="G769" s="19">
        <f t="shared" si="235"/>
        <v>69.300694878425716</v>
      </c>
      <c r="H769" s="19">
        <f t="shared" si="236"/>
        <v>-4.3494160683137473</v>
      </c>
      <c r="I769" s="19">
        <f t="shared" si="237"/>
        <v>-3.1413981189188522</v>
      </c>
      <c r="J769" s="28">
        <f t="shared" si="238"/>
        <v>5.0383975078716736E-3</v>
      </c>
      <c r="K769" s="24">
        <f t="shared" si="239"/>
        <v>1048.5829363126927</v>
      </c>
      <c r="L769" s="32">
        <f t="shared" si="240"/>
        <v>0.55929258086369094</v>
      </c>
      <c r="M769" s="35">
        <f t="shared" si="241"/>
        <v>13.135035830141508</v>
      </c>
      <c r="O769" s="29">
        <f t="shared" si="242"/>
        <v>1046.5847027502912</v>
      </c>
      <c r="T769" s="48">
        <v>0.7483680787037037</v>
      </c>
      <c r="U769" s="29">
        <v>-1364.7818041323544</v>
      </c>
      <c r="V769" s="29">
        <v>4546.5452341752425</v>
      </c>
      <c r="W769" s="29">
        <v>4259.3685544414066</v>
      </c>
      <c r="X769" s="4">
        <v>-0.32678383657006871</v>
      </c>
      <c r="Y769" s="4">
        <v>-0.11538645888396622</v>
      </c>
      <c r="Z769" s="4">
        <v>-1.4961672987419888E-2</v>
      </c>
      <c r="AA769" s="3">
        <f t="shared" si="247"/>
        <v>0.34687975206952781</v>
      </c>
      <c r="AB769" s="3">
        <f t="shared" si="250"/>
        <v>3.3623160520547691E-3</v>
      </c>
      <c r="AC769" s="3">
        <f t="shared" si="248"/>
        <v>2.2344016417237954E-2</v>
      </c>
      <c r="AD769" s="48"/>
      <c r="AE769" s="46">
        <f t="shared" si="243"/>
        <v>42.092147994981254</v>
      </c>
      <c r="AF769" s="46">
        <f t="shared" si="244"/>
        <v>-248.53983222997391</v>
      </c>
      <c r="AG769" s="47">
        <f t="shared" si="245"/>
        <v>9197.4416286248015</v>
      </c>
      <c r="AH769" s="45" t="str">
        <f t="shared" si="249"/>
        <v>-248.53983,42.09215,09197</v>
      </c>
      <c r="AI769" s="44">
        <f t="shared" si="251"/>
        <v>1021.3467582731427</v>
      </c>
    </row>
    <row r="770" spans="1:35" ht="18" customHeight="1" x14ac:dyDescent="0.25">
      <c r="A770" s="36">
        <f t="shared" si="246"/>
        <v>0.74837973379629619</v>
      </c>
      <c r="B770" s="42">
        <f t="shared" si="231"/>
        <v>42.092147991430714</v>
      </c>
      <c r="C770" s="43">
        <f t="shared" si="232"/>
        <v>111.46016834107414</v>
      </c>
      <c r="D770" s="18">
        <f t="shared" si="233"/>
        <v>9.1749798657583597</v>
      </c>
      <c r="E770" s="21" t="str">
        <f t="shared" si="234"/>
        <v>Umbra</v>
      </c>
      <c r="F770" s="23">
        <f>IF($E770&lt;&gt;"Umbra",fracil2($S$2,$S$3,$S$4,$A770,$Q$2,$O$3,$Q$4,$U770,$V770,$W770),0)</f>
        <v>0</v>
      </c>
      <c r="G770" s="19">
        <f t="shared" si="235"/>
        <v>69.300699481506555</v>
      </c>
      <c r="H770" s="19">
        <f t="shared" si="236"/>
        <v>-4.3506387092472485</v>
      </c>
      <c r="I770" s="19">
        <f t="shared" si="237"/>
        <v>-3.1426207598523535</v>
      </c>
      <c r="J770" s="28">
        <f t="shared" si="238"/>
        <v>5.0368966601840271E-3</v>
      </c>
      <c r="K770" s="24">
        <f t="shared" si="239"/>
        <v>1048.5809743493287</v>
      </c>
      <c r="L770" s="32">
        <f t="shared" si="240"/>
        <v>0.55930685894520193</v>
      </c>
      <c r="M770" s="35">
        <f t="shared" si="241"/>
        <v>13.134212338827757</v>
      </c>
      <c r="O770" s="29">
        <f t="shared" si="242"/>
        <v>1046.5847485756294</v>
      </c>
      <c r="T770" s="48">
        <v>0.74837973379629619</v>
      </c>
      <c r="U770" s="29">
        <v>-1365.110912597461</v>
      </c>
      <c r="V770" s="29">
        <v>4546.4290263971452</v>
      </c>
      <c r="W770" s="29">
        <v>4259.3534974678769</v>
      </c>
      <c r="X770" s="4">
        <v>-0.32678124872564834</v>
      </c>
      <c r="Y770" s="4">
        <v>-0.11538656185058489</v>
      </c>
      <c r="Z770" s="4">
        <v>-1.4939468353450966E-2</v>
      </c>
      <c r="AA770" s="3">
        <f t="shared" si="247"/>
        <v>0.34687639136885157</v>
      </c>
      <c r="AB770" s="3">
        <f t="shared" si="250"/>
        <v>3.3508865629558755E-3</v>
      </c>
      <c r="AC770" s="3">
        <f t="shared" si="248"/>
        <v>2.2310927612046449E-2</v>
      </c>
      <c r="AD770" s="48"/>
      <c r="AE770" s="46">
        <f t="shared" si="243"/>
        <v>42.092147991430714</v>
      </c>
      <c r="AF770" s="46">
        <f t="shared" si="244"/>
        <v>-248.53983165892586</v>
      </c>
      <c r="AG770" s="47">
        <f t="shared" si="245"/>
        <v>9174.9798657583597</v>
      </c>
      <c r="AH770" s="45" t="str">
        <f t="shared" si="249"/>
        <v>-248.53983,42.09215,09175</v>
      </c>
      <c r="AI770" s="44">
        <f t="shared" si="251"/>
        <v>1021.3467582731427</v>
      </c>
    </row>
    <row r="771" spans="1:35" ht="18" customHeight="1" x14ac:dyDescent="0.25">
      <c r="A771" s="36">
        <f t="shared" si="246"/>
        <v>0.74839121527777774</v>
      </c>
      <c r="B771" s="42">
        <f t="shared" si="231"/>
        <v>42.092147987941154</v>
      </c>
      <c r="C771" s="43">
        <f t="shared" si="232"/>
        <v>111.46016837914685</v>
      </c>
      <c r="D771" s="18">
        <f t="shared" si="233"/>
        <v>9.1528880291125461</v>
      </c>
      <c r="E771" s="21" t="str">
        <f t="shared" si="234"/>
        <v>Umbra</v>
      </c>
      <c r="F771" s="23">
        <f>IF($E771&lt;&gt;"Umbra",fracil2($S$2,$S$3,$S$4,$A771,$Q$2,$O$3,$Q$4,$U771,$V771,$W771),0)</f>
        <v>0</v>
      </c>
      <c r="G771" s="19">
        <f t="shared" si="235"/>
        <v>69.30070347592013</v>
      </c>
      <c r="H771" s="19">
        <f t="shared" si="236"/>
        <v>-4.3518410140974364</v>
      </c>
      <c r="I771" s="19">
        <f t="shared" si="237"/>
        <v>-3.1438230647025414</v>
      </c>
      <c r="J771" s="28">
        <f t="shared" si="238"/>
        <v>5.03542487783659E-3</v>
      </c>
      <c r="K771" s="24">
        <f t="shared" si="239"/>
        <v>1048.5790030559785</v>
      </c>
      <c r="L771" s="32">
        <f t="shared" si="240"/>
        <v>0.55932092084554463</v>
      </c>
      <c r="M771" s="35">
        <f t="shared" si="241"/>
        <v>13.133402929790506</v>
      </c>
      <c r="O771" s="29">
        <f t="shared" si="242"/>
        <v>1046.5847515495125</v>
      </c>
      <c r="T771" s="48">
        <v>0.74839121527777774</v>
      </c>
      <c r="U771" s="29">
        <v>-1365.4350751876937</v>
      </c>
      <c r="V771" s="29">
        <v>4546.314563946311</v>
      </c>
      <c r="W771" s="29">
        <v>4259.3386884701622</v>
      </c>
      <c r="X771" s="4">
        <v>-0.32677867368753089</v>
      </c>
      <c r="Y771" s="4">
        <v>-0.11538676244539529</v>
      </c>
      <c r="Z771" s="4">
        <v>-1.4917690058014185E-2</v>
      </c>
      <c r="AA771" s="3">
        <f t="shared" si="247"/>
        <v>0.34687309495156704</v>
      </c>
      <c r="AB771" s="3">
        <f t="shared" si="250"/>
        <v>3.3362332710961265E-3</v>
      </c>
      <c r="AC771" s="3">
        <f t="shared" si="248"/>
        <v>2.2278474229417519E-2</v>
      </c>
      <c r="AD771" s="48"/>
      <c r="AE771" s="46">
        <f t="shared" si="243"/>
        <v>42.092147987941154</v>
      </c>
      <c r="AF771" s="46">
        <f t="shared" si="244"/>
        <v>-248.53983162085314</v>
      </c>
      <c r="AG771" s="47">
        <f t="shared" si="245"/>
        <v>9152.8880291125461</v>
      </c>
      <c r="AH771" s="45" t="str">
        <f t="shared" si="249"/>
        <v>-248.53983,42.09215,09153</v>
      </c>
      <c r="AI771" s="44">
        <f t="shared" si="251"/>
        <v>1021.3467582731427</v>
      </c>
    </row>
    <row r="772" spans="1:35" ht="18" customHeight="1" x14ac:dyDescent="0.25">
      <c r="A772" s="36">
        <f t="shared" si="246"/>
        <v>0.74840277777777775</v>
      </c>
      <c r="B772" s="42">
        <f t="shared" si="231"/>
        <v>42.09214798443449</v>
      </c>
      <c r="C772" s="43">
        <f t="shared" si="232"/>
        <v>111.46016839162327</v>
      </c>
      <c r="D772" s="18">
        <f t="shared" si="233"/>
        <v>9.1306729410780463</v>
      </c>
      <c r="E772" s="21" t="str">
        <f t="shared" si="234"/>
        <v>Umbra</v>
      </c>
      <c r="F772" s="23">
        <f>IF($E772&lt;&gt;"Umbra",fracil2($S$2,$S$3,$S$4,$A772,$Q$2,$O$3,$Q$4,$U772,$V772,$W772),0)</f>
        <v>0</v>
      </c>
      <c r="G772" s="19">
        <f t="shared" si="235"/>
        <v>69.300707466365253</v>
      </c>
      <c r="H772" s="19">
        <f t="shared" si="236"/>
        <v>-4.3530500211333418</v>
      </c>
      <c r="I772" s="19">
        <f t="shared" si="237"/>
        <v>-3.1450320717384468</v>
      </c>
      <c r="J772" s="28">
        <f t="shared" si="238"/>
        <v>5.0339490520991967E-3</v>
      </c>
      <c r="K772" s="24">
        <f t="shared" si="239"/>
        <v>1048.5770191547158</v>
      </c>
      <c r="L772" s="32">
        <f t="shared" si="240"/>
        <v>0.55933507823508533</v>
      </c>
      <c r="M772" s="35">
        <f t="shared" si="241"/>
        <v>13.132589019541408</v>
      </c>
      <c r="O772" s="29">
        <f t="shared" si="242"/>
        <v>1046.5847524649505</v>
      </c>
      <c r="T772" s="48">
        <v>0.74840277777777775</v>
      </c>
      <c r="U772" s="29">
        <v>-1365.7615206151781</v>
      </c>
      <c r="V772" s="29">
        <v>4546.1992942554907</v>
      </c>
      <c r="W772" s="29">
        <v>4259.3237968525564</v>
      </c>
      <c r="X772" s="4">
        <v>-0.32677605514507396</v>
      </c>
      <c r="Y772" s="4">
        <v>-0.11538706117839596</v>
      </c>
      <c r="Z772" s="4">
        <v>-1.4895848731820927E-2</v>
      </c>
      <c r="AA772" s="3">
        <f t="shared" si="247"/>
        <v>0.34686978884446629</v>
      </c>
      <c r="AB772" s="3">
        <f t="shared" si="250"/>
        <v>3.3224338023490891E-3</v>
      </c>
      <c r="AC772" s="3">
        <f t="shared" si="248"/>
        <v>2.2245927023337532E-2</v>
      </c>
      <c r="AD772" s="48"/>
      <c r="AE772" s="46">
        <f t="shared" si="243"/>
        <v>42.09214798443449</v>
      </c>
      <c r="AF772" s="46">
        <f t="shared" si="244"/>
        <v>-248.53983160837674</v>
      </c>
      <c r="AG772" s="47">
        <f t="shared" si="245"/>
        <v>9130.6729410780463</v>
      </c>
      <c r="AH772" s="45" t="str">
        <f t="shared" si="249"/>
        <v>-248.53983,42.09215,09131</v>
      </c>
      <c r="AI772" s="44">
        <f t="shared" si="251"/>
        <v>1021.3467582731427</v>
      </c>
    </row>
    <row r="773" spans="1:35" ht="18" customHeight="1" x14ac:dyDescent="0.25">
      <c r="A773" s="36">
        <f t="shared" si="246"/>
        <v>0.74841438657407411</v>
      </c>
      <c r="B773" s="42">
        <f t="shared" si="231"/>
        <v>42.092147980919471</v>
      </c>
      <c r="C773" s="43">
        <f t="shared" si="232"/>
        <v>111.46017085329539</v>
      </c>
      <c r="D773" s="18">
        <f t="shared" si="233"/>
        <v>9.1083885723091953</v>
      </c>
      <c r="E773" s="21" t="str">
        <f t="shared" si="234"/>
        <v>Umbra</v>
      </c>
      <c r="F773" s="23">
        <f>IF($E773&lt;&gt;"Umbra",fracil2($S$2,$S$3,$S$4,$A773,$Q$2,$O$3,$Q$4,$U773,$V773,$W773),0)</f>
        <v>0</v>
      </c>
      <c r="G773" s="19">
        <f t="shared" si="235"/>
        <v>69.300713961926732</v>
      </c>
      <c r="H773" s="19">
        <f t="shared" si="236"/>
        <v>-4.3542637602255487</v>
      </c>
      <c r="I773" s="19">
        <f t="shared" si="237"/>
        <v>-3.1462458108306537</v>
      </c>
      <c r="J773" s="28">
        <f t="shared" si="238"/>
        <v>5.0324727225260915E-3</v>
      </c>
      <c r="K773" s="24">
        <f t="shared" si="239"/>
        <v>1048.5752265046003</v>
      </c>
      <c r="L773" s="32">
        <f t="shared" si="240"/>
        <v>0.55934928733173195</v>
      </c>
      <c r="M773" s="35">
        <f t="shared" si="241"/>
        <v>13.131770072418181</v>
      </c>
      <c r="O773" s="29">
        <f t="shared" si="242"/>
        <v>1046.5849503035956</v>
      </c>
      <c r="T773" s="48">
        <v>0.74841438657407411</v>
      </c>
      <c r="U773" s="29">
        <v>-1366.0894620514712</v>
      </c>
      <c r="V773" s="29">
        <v>4546.0834950313747</v>
      </c>
      <c r="W773" s="29">
        <v>4259.3088587936581</v>
      </c>
      <c r="X773" s="4">
        <v>-0.32677339883212952</v>
      </c>
      <c r="Y773" s="4">
        <v>-0.11538745936132436</v>
      </c>
      <c r="Z773" s="4">
        <v>-1.4873998925394516E-2</v>
      </c>
      <c r="AA773" s="3">
        <f t="shared" si="247"/>
        <v>0.34686648123765995</v>
      </c>
      <c r="AB773" s="3">
        <f t="shared" si="250"/>
        <v>3.310458104003594E-3</v>
      </c>
      <c r="AC773" s="3">
        <f t="shared" si="248"/>
        <v>2.2213367284112995E-2</v>
      </c>
      <c r="AD773" s="48"/>
      <c r="AE773" s="46">
        <f t="shared" si="243"/>
        <v>42.092147980919471</v>
      </c>
      <c r="AF773" s="46">
        <f t="shared" si="244"/>
        <v>-248.53982914670462</v>
      </c>
      <c r="AG773" s="47">
        <f t="shared" si="245"/>
        <v>9108.3885723091953</v>
      </c>
      <c r="AH773" s="45" t="str">
        <f t="shared" si="249"/>
        <v>-248.53983,42.09215,09108</v>
      </c>
      <c r="AI773" s="44">
        <f t="shared" si="251"/>
        <v>1021.3469705549227</v>
      </c>
    </row>
    <row r="774" spans="1:35" ht="18" customHeight="1" x14ac:dyDescent="0.25">
      <c r="A774" s="36">
        <f t="shared" si="246"/>
        <v>0.74842601851851853</v>
      </c>
      <c r="B774" s="42">
        <f t="shared" ref="B774:B837" si="252">latitude($U774,$V774,$W774)</f>
        <v>42.092147977406263</v>
      </c>
      <c r="C774" s="43">
        <f t="shared" ref="C774:C837" si="253">longitude($S$2,$S$3,$S$4,$A774,$U774,$V774)</f>
        <v>111.46017186831828</v>
      </c>
      <c r="D774" s="18">
        <f t="shared" ref="D774:D837" si="254">altitude($U774,$V774,$W774)</f>
        <v>9.0861002035599086</v>
      </c>
      <c r="E774" s="21" t="str">
        <f t="shared" ref="E774:E837" si="255">illum2($S$2,$S$3,$S$4,$A774,$U774,$V774,$W774)</f>
        <v>Umbra</v>
      </c>
      <c r="F774" s="23">
        <f>IF($E774&lt;&gt;"Umbra",fracil2($S$2,$S$3,$S$4,$A774,$Q$2,$O$3,$Q$4,$U774,$V774,$W774),0)</f>
        <v>0</v>
      </c>
      <c r="G774" s="19">
        <f t="shared" ref="G774:G837" si="256">azimuth($S$2,$S$3,$S$4,$A774,$Q$2,$O$3,$Q$4,$U774,$V774,$W774)</f>
        <v>69.300718985871455</v>
      </c>
      <c r="H774" s="19">
        <f t="shared" ref="H774:H837" si="257">elev($S$2,$S$3,$S$4,$A774,$Q$2,$O$3,$Q$4,$U774,$V774,$W774)</f>
        <v>-4.3554771560088774</v>
      </c>
      <c r="I774" s="19">
        <f t="shared" ref="I774:I837" si="258">elev($S$2,$S$3,$S$4,$A774,$Q$2,$O$3,$Q$4,$U774,$V774,$W774)+DEGREES(ACOS($Q$3/$Q$4))</f>
        <v>-3.1474592066139824</v>
      </c>
      <c r="J774" s="28">
        <f t="shared" ref="J774:J837" si="259">vang($S$2,$S$3,$S$4,$A774,$Q$2,$O$3,$Q$4,$U774,$V774,$W774,$X774,$Y774,$Z774)</f>
        <v>5.0310005814952746E-3</v>
      </c>
      <c r="K774" s="24">
        <f t="shared" ref="K774:K837" si="260">slant_rng($S$2,$S$3,$S$4,$A774,$Q$2,$O$3,$Q$4,$U774,$V774,$W774)</f>
        <v>1048.5733176225399</v>
      </c>
      <c r="L774" s="32">
        <f t="shared" ref="L774:L837" si="261">radec2("ra",$S$2,$S$3,$S$4,$A774,$Q$2,$O$3,$Q$4,$U774,$V774,$W774)/24</f>
        <v>0.55936352170036929</v>
      </c>
      <c r="M774" s="35">
        <f t="shared" ref="M774:M837" si="262">radec2("dec",$S$2,$S$3,$S$4,$A774,$Q$2,$O$3,$Q$4,$U774,$V774,$W774)</f>
        <v>13.130952436051995</v>
      </c>
      <c r="O774" s="29">
        <f t="shared" ref="O774:O837" si="263">DEGREES(ACOS(SIN(RADIANS($B774))*SIN(RADIANS($O$2))+COS(RADIANS($B774))*COS(RADIANS($O$2))*COS(RADIANS($C774-$O$3))))*111.2</f>
        <v>1046.5850318269079</v>
      </c>
      <c r="T774" s="48">
        <v>0.74842601851851853</v>
      </c>
      <c r="U774" s="29">
        <v>-1366.4179412130886</v>
      </c>
      <c r="V774" s="29">
        <v>4545.9675045323338</v>
      </c>
      <c r="W774" s="29">
        <v>4259.293918053625</v>
      </c>
      <c r="X774" s="4">
        <v>-0.32677071183478645</v>
      </c>
      <c r="Y774" s="4">
        <v>-0.11538795809087356</v>
      </c>
      <c r="Z774" s="4">
        <v>-1.4852206615686411E-2</v>
      </c>
      <c r="AA774" s="3">
        <f t="shared" si="247"/>
        <v>0.34686318199940058</v>
      </c>
      <c r="AB774" s="3">
        <f t="shared" si="250"/>
        <v>3.2951656105970448E-3</v>
      </c>
      <c r="AC774" s="3">
        <f t="shared" si="248"/>
        <v>2.2180893328165651E-2</v>
      </c>
      <c r="AD774" s="48"/>
      <c r="AE774" s="46">
        <f t="shared" ref="AE774:AE837" si="264">$B774</f>
        <v>42.092147977406263</v>
      </c>
      <c r="AF774" s="46">
        <f t="shared" ref="AF774:AF837" si="265">$C774-360</f>
        <v>-248.5398281316817</v>
      </c>
      <c r="AG774" s="47">
        <f t="shared" ref="AG774:AG837" si="266">$D774*1000</f>
        <v>9086.1002035599086</v>
      </c>
      <c r="AH774" s="45" t="str">
        <f t="shared" si="249"/>
        <v>-248.53983,42.09215,09086</v>
      </c>
      <c r="AI774" s="44">
        <f t="shared" si="251"/>
        <v>1021.3471048137077</v>
      </c>
    </row>
    <row r="775" spans="1:35" ht="18" customHeight="1" x14ac:dyDescent="0.25">
      <c r="A775" s="36">
        <f t="shared" ref="A775:A838" si="267">$T775+$S$5/86400</f>
        <v>0.74843755787037036</v>
      </c>
      <c r="B775" s="42">
        <f t="shared" si="252"/>
        <v>42.092147973932661</v>
      </c>
      <c r="C775" s="43">
        <f t="shared" si="253"/>
        <v>111.46016816537511</v>
      </c>
      <c r="D775" s="18">
        <f t="shared" si="254"/>
        <v>9.0640464171701751</v>
      </c>
      <c r="E775" s="21" t="str">
        <f t="shared" si="255"/>
        <v>Umbra</v>
      </c>
      <c r="F775" s="23">
        <f>IF($E775&lt;&gt;"Umbra",fracil2($S$2,$S$3,$S$4,$A775,$Q$2,$O$3,$Q$4,$U775,$V775,$W775),0)</f>
        <v>0</v>
      </c>
      <c r="G775" s="19">
        <f t="shared" si="256"/>
        <v>69.30071916605921</v>
      </c>
      <c r="H775" s="19">
        <f t="shared" si="257"/>
        <v>-4.3566759467988847</v>
      </c>
      <c r="I775" s="19">
        <f t="shared" si="258"/>
        <v>-3.1486579974039897</v>
      </c>
      <c r="J775" s="28">
        <f t="shared" si="259"/>
        <v>5.0295483035060892E-3</v>
      </c>
      <c r="K775" s="24">
        <f t="shared" si="260"/>
        <v>1048.5710507199558</v>
      </c>
      <c r="L775" s="32">
        <f t="shared" si="261"/>
        <v>0.5593776413758097</v>
      </c>
      <c r="M775" s="35">
        <f t="shared" si="262"/>
        <v>13.13014817274111</v>
      </c>
      <c r="O775" s="29">
        <f t="shared" si="263"/>
        <v>1046.5847340111625</v>
      </c>
      <c r="T775" s="48">
        <v>0.74843755787037036</v>
      </c>
      <c r="U775" s="29">
        <v>-1366.7434345961324</v>
      </c>
      <c r="V775" s="29">
        <v>4545.8525668657849</v>
      </c>
      <c r="W775" s="29">
        <v>4259.2791345632741</v>
      </c>
      <c r="X775" s="4">
        <v>-0.32676802434205132</v>
      </c>
      <c r="Y775" s="4">
        <v>-0.11538854722484281</v>
      </c>
      <c r="Z775" s="4">
        <v>-1.4830701058350722E-2</v>
      </c>
      <c r="AA775" s="3">
        <f t="shared" ref="AA775:AA838" si="268">SQRT($X775*$X775+$Y775*$Y775+$Z775*$Z775)</f>
        <v>0.34685992598879073</v>
      </c>
      <c r="AB775" s="3">
        <f t="shared" si="250"/>
        <v>3.2778887178888721E-3</v>
      </c>
      <c r="AC775" s="3">
        <f t="shared" ref="AC775:AC838" si="269">vrel($S$2,$S$3,$S$4,$A775,$B775,$C775,$U775,$V775,$W775,$X775,$Y775,$Z775)</f>
        <v>2.2148846780328395E-2</v>
      </c>
      <c r="AD775" s="48"/>
      <c r="AE775" s="46">
        <f t="shared" si="264"/>
        <v>42.092147973932661</v>
      </c>
      <c r="AF775" s="46">
        <f t="shared" si="265"/>
        <v>-248.53983183462489</v>
      </c>
      <c r="AG775" s="47">
        <f t="shared" si="266"/>
        <v>9064.0464171701751</v>
      </c>
      <c r="AH775" s="45" t="str">
        <f t="shared" ref="AH775:AH838" si="270">CONCATENATE(TEXT($AF775,"00.00000"),",",TEXT($AE775,"00.00000"),",",TEXT($AG775,"00000"))</f>
        <v>-248.53983,42.09215,09064</v>
      </c>
      <c r="AI775" s="44">
        <f t="shared" si="251"/>
        <v>1021.347405025479</v>
      </c>
    </row>
    <row r="776" spans="1:35" ht="18" customHeight="1" x14ac:dyDescent="0.25">
      <c r="A776" s="36">
        <f t="shared" si="267"/>
        <v>0.74844910879629634</v>
      </c>
      <c r="B776" s="42">
        <f t="shared" si="252"/>
        <v>42.092147970458029</v>
      </c>
      <c r="C776" s="43">
        <f t="shared" si="253"/>
        <v>111.46017027493261</v>
      </c>
      <c r="D776" s="18">
        <f t="shared" si="254"/>
        <v>9.0419716939895807</v>
      </c>
      <c r="E776" s="21" t="str">
        <f t="shared" si="255"/>
        <v>Umbra</v>
      </c>
      <c r="F776" s="23">
        <f>IF($E776&lt;&gt;"Umbra",fracil2($S$2,$S$3,$S$4,$A776,$Q$2,$O$3,$Q$4,$U776,$V776,$W776),0)</f>
        <v>0</v>
      </c>
      <c r="G776" s="19">
        <f t="shared" si="256"/>
        <v>69.300725265750742</v>
      </c>
      <c r="H776" s="19">
        <f t="shared" si="257"/>
        <v>-4.3578781518521765</v>
      </c>
      <c r="I776" s="19">
        <f t="shared" si="258"/>
        <v>-3.1498602024572815</v>
      </c>
      <c r="J776" s="28">
        <f t="shared" si="259"/>
        <v>5.0280983939030412E-3</v>
      </c>
      <c r="K776" s="24">
        <f t="shared" si="260"/>
        <v>1048.5692498676117</v>
      </c>
      <c r="L776" s="32">
        <f t="shared" si="261"/>
        <v>0.5593917686406279</v>
      </c>
      <c r="M776" s="35">
        <f t="shared" si="262"/>
        <v>13.129337229554732</v>
      </c>
      <c r="O776" s="29">
        <f t="shared" si="263"/>
        <v>1046.5849035396436</v>
      </c>
      <c r="T776" s="48">
        <v>0.74844910879629634</v>
      </c>
      <c r="U776" s="29">
        <v>-1367.0697066498547</v>
      </c>
      <c r="V776" s="29">
        <v>4545.7373526468027</v>
      </c>
      <c r="W776" s="29">
        <v>4259.2643370383876</v>
      </c>
      <c r="X776" s="4">
        <v>-0.32676530550381216</v>
      </c>
      <c r="Y776" s="4">
        <v>-0.11538923258159256</v>
      </c>
      <c r="Z776" s="4">
        <v>-1.480923260967861E-2</v>
      </c>
      <c r="AA776" s="3">
        <f t="shared" si="268"/>
        <v>0.34685667536787601</v>
      </c>
      <c r="AB776" s="3">
        <f t="shared" ref="AB776:AB839" si="271">-($AC776-$AC775)/(($A776-$A775)*86400)*1000/9.806</f>
        <v>3.2689434176927843E-3</v>
      </c>
      <c r="AC776" s="3">
        <f t="shared" si="269"/>
        <v>2.2116855631692675E-2</v>
      </c>
      <c r="AD776" s="48"/>
      <c r="AE776" s="46">
        <f t="shared" si="264"/>
        <v>42.092147970458029</v>
      </c>
      <c r="AF776" s="46">
        <f t="shared" si="265"/>
        <v>-248.53982972506739</v>
      </c>
      <c r="AG776" s="47">
        <f t="shared" si="266"/>
        <v>9041.9716939895807</v>
      </c>
      <c r="AH776" s="45" t="str">
        <f t="shared" si="270"/>
        <v>-248.53983,42.09215,09042</v>
      </c>
      <c r="AI776" s="44">
        <f t="shared" ref="AI776:AI839" si="272">IFERROR(ACOS(SIN(RADIANS($B775))*SIN(RADIANS($B776))+COS(RADIANS($B775))*COS(RADIANS($B776))*COS(RADIANS($C775-$C776)))*6371,0)+AI775</f>
        <v>1021.3475694582384</v>
      </c>
    </row>
    <row r="777" spans="1:35" ht="18" customHeight="1" x14ac:dyDescent="0.25">
      <c r="A777" s="36">
        <f t="shared" si="267"/>
        <v>0.74846074074074076</v>
      </c>
      <c r="B777" s="42">
        <f t="shared" si="252"/>
        <v>42.092147966968255</v>
      </c>
      <c r="C777" s="43">
        <f t="shared" si="253"/>
        <v>111.46017043320931</v>
      </c>
      <c r="D777" s="18">
        <f t="shared" si="254"/>
        <v>9.0197847638628446</v>
      </c>
      <c r="E777" s="21" t="str">
        <f t="shared" si="255"/>
        <v>Umbra</v>
      </c>
      <c r="F777" s="23">
        <f>IF($E777&lt;&gt;"Umbra",fracil2($S$2,$S$3,$S$4,$A777,$Q$2,$O$3,$Q$4,$U777,$V777,$W777),0)</f>
        <v>0</v>
      </c>
      <c r="G777" s="19">
        <f t="shared" si="256"/>
        <v>69.300729399607192</v>
      </c>
      <c r="H777" s="19">
        <f t="shared" si="257"/>
        <v>-4.3590857060068711</v>
      </c>
      <c r="I777" s="19">
        <f t="shared" si="258"/>
        <v>-3.151067756611976</v>
      </c>
      <c r="J777" s="28">
        <f t="shared" si="259"/>
        <v>5.0266454559356882E-3</v>
      </c>
      <c r="K777" s="24">
        <f t="shared" si="260"/>
        <v>1048.5672825358392</v>
      </c>
      <c r="L777" s="32">
        <f t="shared" si="261"/>
        <v>0.55940599225112708</v>
      </c>
      <c r="M777" s="35">
        <f t="shared" si="262"/>
        <v>13.128524144549372</v>
      </c>
      <c r="O777" s="29">
        <f t="shared" si="263"/>
        <v>1046.584916178324</v>
      </c>
      <c r="T777" s="48">
        <v>0.74846074074074076</v>
      </c>
      <c r="U777" s="29">
        <v>-1367.3981106831768</v>
      </c>
      <c r="V777" s="29">
        <v>4545.6213838637841</v>
      </c>
      <c r="W777" s="29">
        <v>4259.249464297136</v>
      </c>
      <c r="X777" s="4">
        <v>-0.32676254334567295</v>
      </c>
      <c r="Y777" s="4">
        <v>-0.11539001938140868</v>
      </c>
      <c r="Z777" s="4">
        <v>-1.4787714459485162E-2</v>
      </c>
      <c r="AA777" s="3">
        <f t="shared" si="268"/>
        <v>0.34685341688602395</v>
      </c>
      <c r="AB777" s="3">
        <f t="shared" si="271"/>
        <v>3.2536794765718963E-3</v>
      </c>
      <c r="AC777" s="3">
        <f t="shared" si="269"/>
        <v>2.2084790522840732E-2</v>
      </c>
      <c r="AD777" s="48"/>
      <c r="AE777" s="46">
        <f t="shared" si="264"/>
        <v>42.092147966968255</v>
      </c>
      <c r="AF777" s="46">
        <f t="shared" si="265"/>
        <v>-248.53982956679067</v>
      </c>
      <c r="AG777" s="47">
        <f t="shared" si="266"/>
        <v>9019.7847638628446</v>
      </c>
      <c r="AH777" s="45" t="str">
        <f t="shared" si="270"/>
        <v>-248.53983,42.09215,09020</v>
      </c>
      <c r="AI777" s="44">
        <f t="shared" si="272"/>
        <v>1021.3475694582384</v>
      </c>
    </row>
    <row r="778" spans="1:35" ht="18" customHeight="1" x14ac:dyDescent="0.25">
      <c r="A778" s="36">
        <f t="shared" si="267"/>
        <v>0.7484723148148148</v>
      </c>
      <c r="B778" s="42">
        <f t="shared" si="252"/>
        <v>42.09214796350431</v>
      </c>
      <c r="C778" s="43">
        <f t="shared" si="253"/>
        <v>111.4601691471845</v>
      </c>
      <c r="D778" s="18">
        <f t="shared" si="254"/>
        <v>8.997747779940255</v>
      </c>
      <c r="E778" s="21" t="str">
        <f t="shared" si="255"/>
        <v>Umbra</v>
      </c>
      <c r="F778" s="23">
        <f>IF($E778&lt;&gt;"Umbra",fracil2($S$2,$S$3,$S$4,$A778,$Q$2,$O$3,$Q$4,$U778,$V778,$W778),0)</f>
        <v>0</v>
      </c>
      <c r="G778" s="19">
        <f t="shared" si="256"/>
        <v>69.300732036674773</v>
      </c>
      <c r="H778" s="19">
        <f t="shared" si="257"/>
        <v>-4.3602845403456287</v>
      </c>
      <c r="I778" s="19">
        <f t="shared" si="258"/>
        <v>-3.1522665909507337</v>
      </c>
      <c r="J778" s="28">
        <f t="shared" si="259"/>
        <v>5.0252065833882083E-3</v>
      </c>
      <c r="K778" s="24">
        <f t="shared" si="260"/>
        <v>1048.5652128924996</v>
      </c>
      <c r="L778" s="32">
        <f t="shared" si="261"/>
        <v>0.55942014213000746</v>
      </c>
      <c r="M778" s="35">
        <f t="shared" si="262"/>
        <v>13.127718007997073</v>
      </c>
      <c r="O778" s="29">
        <f t="shared" si="263"/>
        <v>1046.5848126910423</v>
      </c>
      <c r="T778" s="48">
        <v>0.7484723148148148</v>
      </c>
      <c r="U778" s="29">
        <v>-1367.7247652213489</v>
      </c>
      <c r="V778" s="29">
        <v>4545.5060310678937</v>
      </c>
      <c r="W778" s="29">
        <v>4259.2346920707023</v>
      </c>
      <c r="X778" s="4">
        <v>-0.32675977070664369</v>
      </c>
      <c r="Y778" s="4">
        <v>-0.11539089760202341</v>
      </c>
      <c r="Z778" s="4">
        <v>-1.4766400257479639E-2</v>
      </c>
      <c r="AA778" s="3">
        <f t="shared" si="268"/>
        <v>0.3468501889551498</v>
      </c>
      <c r="AB778" s="3">
        <f t="shared" si="271"/>
        <v>3.2389450873382196E-3</v>
      </c>
      <c r="AC778" s="3">
        <f t="shared" si="269"/>
        <v>2.2053029427314391E-2</v>
      </c>
      <c r="AD778" s="48"/>
      <c r="AE778" s="46">
        <f t="shared" si="264"/>
        <v>42.09214796350431</v>
      </c>
      <c r="AF778" s="46">
        <f t="shared" si="265"/>
        <v>-248.5398308528155</v>
      </c>
      <c r="AG778" s="47">
        <f t="shared" si="266"/>
        <v>8997.747779940255</v>
      </c>
      <c r="AH778" s="45" t="str">
        <f t="shared" si="270"/>
        <v>-248.53983,42.09215,08998</v>
      </c>
      <c r="AI778" s="44">
        <f t="shared" si="272"/>
        <v>1021.3475694582384</v>
      </c>
    </row>
    <row r="779" spans="1:35" ht="18" customHeight="1" x14ac:dyDescent="0.25">
      <c r="A779" s="36">
        <f t="shared" si="267"/>
        <v>0.74848380787037039</v>
      </c>
      <c r="B779" s="42">
        <f t="shared" si="252"/>
        <v>42.092147960069809</v>
      </c>
      <c r="C779" s="43">
        <f t="shared" si="253"/>
        <v>111.46017058413895</v>
      </c>
      <c r="D779" s="18">
        <f t="shared" si="254"/>
        <v>8.9758821541017824</v>
      </c>
      <c r="E779" s="21" t="str">
        <f t="shared" si="255"/>
        <v>Umbra</v>
      </c>
      <c r="F779" s="23">
        <f>IF($E779&lt;&gt;"Umbra",fracil2($S$2,$S$3,$S$4,$A779,$Q$2,$O$3,$Q$4,$U779,$V779,$W779),0)</f>
        <v>0</v>
      </c>
      <c r="G779" s="19">
        <f t="shared" si="256"/>
        <v>69.300737414412723</v>
      </c>
      <c r="H779" s="19">
        <f t="shared" si="257"/>
        <v>-4.3614751158984459</v>
      </c>
      <c r="I779" s="19">
        <f t="shared" si="258"/>
        <v>-3.1534571665035509</v>
      </c>
      <c r="J779" s="28">
        <f t="shared" si="259"/>
        <v>5.0237827377717899E-3</v>
      </c>
      <c r="K779" s="24">
        <f t="shared" si="260"/>
        <v>1048.5633779815205</v>
      </c>
      <c r="L779" s="32">
        <f t="shared" si="261"/>
        <v>0.55943418798136402</v>
      </c>
      <c r="M779" s="35">
        <f t="shared" si="262"/>
        <v>13.126915374695288</v>
      </c>
      <c r="O779" s="29">
        <f t="shared" si="263"/>
        <v>1046.584928141019</v>
      </c>
      <c r="T779" s="48">
        <v>0.74848380787037039</v>
      </c>
      <c r="U779" s="29">
        <v>-1368.049342688432</v>
      </c>
      <c r="V779" s="29">
        <v>4545.3914098670557</v>
      </c>
      <c r="W779" s="29">
        <v>4259.2200347123053</v>
      </c>
      <c r="X779" s="4">
        <v>-0.32675699135405789</v>
      </c>
      <c r="Y779" s="4">
        <v>-0.11539186277183126</v>
      </c>
      <c r="Z779" s="4">
        <v>-1.4745308011685294E-2</v>
      </c>
      <c r="AA779" s="3">
        <f t="shared" si="268"/>
        <v>0.34684699436649075</v>
      </c>
      <c r="AB779" s="3">
        <f t="shared" si="271"/>
        <v>3.2278006381292572E-3</v>
      </c>
      <c r="AC779" s="3">
        <f t="shared" si="269"/>
        <v>2.2021599176948205E-2</v>
      </c>
      <c r="AD779" s="48"/>
      <c r="AE779" s="46">
        <f t="shared" si="264"/>
        <v>42.092147960069809</v>
      </c>
      <c r="AF779" s="46">
        <f t="shared" si="265"/>
        <v>-248.53982941586105</v>
      </c>
      <c r="AG779" s="47">
        <f t="shared" si="266"/>
        <v>8975.8821541017824</v>
      </c>
      <c r="AH779" s="45" t="str">
        <f t="shared" si="270"/>
        <v>-248.53983,42.09215,08976</v>
      </c>
      <c r="AI779" s="44">
        <f t="shared" si="272"/>
        <v>1021.3477338909977</v>
      </c>
    </row>
    <row r="780" spans="1:35" ht="18" customHeight="1" x14ac:dyDescent="0.25">
      <c r="A780" s="36">
        <f t="shared" si="267"/>
        <v>0.74849545138888895</v>
      </c>
      <c r="B780" s="42">
        <f t="shared" si="252"/>
        <v>42.09214795660106</v>
      </c>
      <c r="C780" s="43">
        <f t="shared" si="253"/>
        <v>111.46016819616145</v>
      </c>
      <c r="D780" s="18">
        <f t="shared" si="254"/>
        <v>8.9537822822439921</v>
      </c>
      <c r="E780" s="21" t="str">
        <f t="shared" si="255"/>
        <v>Umbra</v>
      </c>
      <c r="F780" s="23">
        <f>IF($E780&lt;&gt;"Umbra",fracil2($S$2,$S$3,$S$4,$A780,$Q$2,$O$3,$Q$4,$U780,$V780,$W780),0)</f>
        <v>0</v>
      </c>
      <c r="G780" s="19">
        <f t="shared" si="256"/>
        <v>69.300738941242088</v>
      </c>
      <c r="H780" s="19">
        <f t="shared" si="257"/>
        <v>-4.362676952179382</v>
      </c>
      <c r="I780" s="19">
        <f t="shared" si="258"/>
        <v>-3.154659002784487</v>
      </c>
      <c r="J780" s="28">
        <f t="shared" si="259"/>
        <v>5.0223479783737465E-3</v>
      </c>
      <c r="K780" s="24">
        <f t="shared" si="260"/>
        <v>1048.5612150245231</v>
      </c>
      <c r="L780" s="32">
        <f t="shared" si="261"/>
        <v>0.55944841597082429</v>
      </c>
      <c r="M780" s="35">
        <f t="shared" si="262"/>
        <v>13.126108029030274</v>
      </c>
      <c r="O780" s="29">
        <f t="shared" si="263"/>
        <v>1046.5847360529806</v>
      </c>
      <c r="T780" s="48">
        <v>0.74849545138888895</v>
      </c>
      <c r="U780" s="29">
        <v>-1368.377865994129</v>
      </c>
      <c r="V780" s="29">
        <v>4545.2753932129172</v>
      </c>
      <c r="W780" s="29">
        <v>4259.2052203301264</v>
      </c>
      <c r="X780" s="4">
        <v>-0.32675415328698521</v>
      </c>
      <c r="Y780" s="4">
        <v>-0.11539293422003499</v>
      </c>
      <c r="Z780" s="4">
        <v>-1.4724047668096431E-2</v>
      </c>
      <c r="AA780" s="3">
        <f t="shared" si="268"/>
        <v>0.34684377396449878</v>
      </c>
      <c r="AB780" s="3">
        <f t="shared" si="271"/>
        <v>3.2114712781573683E-3</v>
      </c>
      <c r="AC780" s="3">
        <f t="shared" si="269"/>
        <v>2.1989918539470341E-2</v>
      </c>
      <c r="AD780" s="48"/>
      <c r="AE780" s="46">
        <f t="shared" si="264"/>
        <v>42.09214795660106</v>
      </c>
      <c r="AF780" s="46">
        <f t="shared" si="265"/>
        <v>-248.53983180383855</v>
      </c>
      <c r="AG780" s="47">
        <f t="shared" si="266"/>
        <v>8953.7822822439921</v>
      </c>
      <c r="AH780" s="45" t="str">
        <f t="shared" si="270"/>
        <v>-248.53983,42.09215,08954</v>
      </c>
      <c r="AI780" s="44">
        <f t="shared" si="272"/>
        <v>1021.3479237615936</v>
      </c>
    </row>
    <row r="781" spans="1:35" ht="18" customHeight="1" x14ac:dyDescent="0.25">
      <c r="A781" s="36">
        <f t="shared" si="267"/>
        <v>0.74850695601851847</v>
      </c>
      <c r="B781" s="42">
        <f t="shared" si="252"/>
        <v>42.092147953178092</v>
      </c>
      <c r="C781" s="43">
        <f t="shared" si="253"/>
        <v>111.46016939796758</v>
      </c>
      <c r="D781" s="18">
        <f t="shared" si="254"/>
        <v>8.9319585849834766</v>
      </c>
      <c r="E781" s="21" t="str">
        <f t="shared" si="255"/>
        <v>Umbra</v>
      </c>
      <c r="F781" s="23">
        <f>IF($E781&lt;&gt;"Umbra",fracil2($S$2,$S$3,$S$4,$A781,$Q$2,$O$3,$Q$4,$U781,$V781,$W781),0)</f>
        <v>0</v>
      </c>
      <c r="G781" s="19">
        <f t="shared" si="256"/>
        <v>69.300744072171796</v>
      </c>
      <c r="H781" s="19">
        <f t="shared" si="257"/>
        <v>-4.3638651628024654</v>
      </c>
      <c r="I781" s="19">
        <f t="shared" si="258"/>
        <v>-3.1558472134075704</v>
      </c>
      <c r="J781" s="28">
        <f t="shared" si="259"/>
        <v>5.0209349191149945E-3</v>
      </c>
      <c r="K781" s="24">
        <f t="shared" si="260"/>
        <v>1048.5593658497623</v>
      </c>
      <c r="L781" s="32">
        <f t="shared" si="261"/>
        <v>0.55946246884906481</v>
      </c>
      <c r="M781" s="35">
        <f t="shared" si="262"/>
        <v>13.125307147956928</v>
      </c>
      <c r="O781" s="29">
        <f t="shared" si="263"/>
        <v>1046.5848325965369</v>
      </c>
      <c r="T781" s="48">
        <v>0.74850695601851847</v>
      </c>
      <c r="U781" s="29">
        <v>-1368.7027462444687</v>
      </c>
      <c r="V781" s="29">
        <v>4545.1606609879536</v>
      </c>
      <c r="W781" s="29">
        <v>4259.1905910784571</v>
      </c>
      <c r="X781" s="4">
        <v>-0.32675132246963728</v>
      </c>
      <c r="Y781" s="4">
        <v>-0.1153940857663829</v>
      </c>
      <c r="Z781" s="4">
        <v>-1.4703108996602177E-2</v>
      </c>
      <c r="AA781" s="3">
        <f t="shared" si="268"/>
        <v>0.34684060197687666</v>
      </c>
      <c r="AB781" s="3">
        <f t="shared" si="271"/>
        <v>3.2010547198078202E-3</v>
      </c>
      <c r="AC781" s="3">
        <f t="shared" si="269"/>
        <v>2.1958717334143722E-2</v>
      </c>
      <c r="AD781" s="48"/>
      <c r="AE781" s="46">
        <f t="shared" si="264"/>
        <v>42.092147953178092</v>
      </c>
      <c r="AF781" s="46">
        <f t="shared" si="265"/>
        <v>-248.53983060203242</v>
      </c>
      <c r="AG781" s="47">
        <f t="shared" si="266"/>
        <v>8931.9585849834766</v>
      </c>
      <c r="AH781" s="45" t="str">
        <f t="shared" si="270"/>
        <v>-248.53983,42.09215,08932</v>
      </c>
      <c r="AI781" s="44">
        <f t="shared" si="272"/>
        <v>1021.3479237615936</v>
      </c>
    </row>
    <row r="782" spans="1:35" ht="18" customHeight="1" x14ac:dyDescent="0.25">
      <c r="A782" s="36">
        <f t="shared" si="267"/>
        <v>0.74851850694444444</v>
      </c>
      <c r="B782" s="42">
        <f t="shared" si="252"/>
        <v>42.092147949749759</v>
      </c>
      <c r="C782" s="43">
        <f t="shared" si="253"/>
        <v>111.46016920841424</v>
      </c>
      <c r="D782" s="18">
        <f t="shared" si="254"/>
        <v>8.9100855649639925</v>
      </c>
      <c r="E782" s="21" t="str">
        <f t="shared" si="255"/>
        <v>Umbra</v>
      </c>
      <c r="F782" s="23">
        <f>IF($E782&lt;&gt;"Umbra",fracil2($S$2,$S$3,$S$4,$A782,$Q$2,$O$3,$Q$4,$U782,$V782,$W782),0)</f>
        <v>0</v>
      </c>
      <c r="G782" s="19">
        <f t="shared" si="256"/>
        <v>69.30074779587558</v>
      </c>
      <c r="H782" s="19">
        <f t="shared" si="257"/>
        <v>-4.3650555194747236</v>
      </c>
      <c r="I782" s="19">
        <f t="shared" si="258"/>
        <v>-3.1570375700798285</v>
      </c>
      <c r="J782" s="28">
        <f t="shared" si="259"/>
        <v>5.0195227352287097E-3</v>
      </c>
      <c r="K782" s="24">
        <f t="shared" si="260"/>
        <v>1048.5574008331998</v>
      </c>
      <c r="L782" s="32">
        <f t="shared" si="261"/>
        <v>0.55947657538187234</v>
      </c>
      <c r="M782" s="35">
        <f t="shared" si="262"/>
        <v>13.124505860310265</v>
      </c>
      <c r="O782" s="29">
        <f t="shared" si="263"/>
        <v>1046.5848172700789</v>
      </c>
      <c r="T782" s="48">
        <v>0.74851850694444444</v>
      </c>
      <c r="U782" s="29">
        <v>-1369.0288218439323</v>
      </c>
      <c r="V782" s="29">
        <v>4545.0455044221917</v>
      </c>
      <c r="W782" s="29">
        <v>4259.1759287640698</v>
      </c>
      <c r="X782" s="4">
        <v>-0.32674845701871635</v>
      </c>
      <c r="Y782" s="4">
        <v>-0.11539533341612761</v>
      </c>
      <c r="Z782" s="4">
        <v>-1.4682179095346776E-2</v>
      </c>
      <c r="AA782" s="3">
        <f t="shared" si="268"/>
        <v>0.34683743096920638</v>
      </c>
      <c r="AB782" s="3">
        <f t="shared" si="271"/>
        <v>3.1868793165450598E-3</v>
      </c>
      <c r="AC782" s="3">
        <f t="shared" si="269"/>
        <v>2.1927529296642708E-2</v>
      </c>
      <c r="AD782" s="48"/>
      <c r="AE782" s="46">
        <f t="shared" si="264"/>
        <v>42.092147949749759</v>
      </c>
      <c r="AF782" s="46">
        <f t="shared" si="265"/>
        <v>-248.53983079158576</v>
      </c>
      <c r="AG782" s="47">
        <f t="shared" si="266"/>
        <v>8910.0855649639925</v>
      </c>
      <c r="AH782" s="45" t="str">
        <f t="shared" si="270"/>
        <v>-248.53983,42.09215,08910</v>
      </c>
      <c r="AI782" s="44">
        <f t="shared" si="272"/>
        <v>1021.3479237615936</v>
      </c>
    </row>
    <row r="783" spans="1:35" ht="18" customHeight="1" x14ac:dyDescent="0.25">
      <c r="A783" s="36">
        <f t="shared" si="267"/>
        <v>0.74853010416666665</v>
      </c>
      <c r="B783" s="42">
        <f t="shared" si="252"/>
        <v>42.092147946313098</v>
      </c>
      <c r="C783" s="43">
        <f t="shared" si="253"/>
        <v>111.46017117828571</v>
      </c>
      <c r="D783" s="18">
        <f t="shared" si="254"/>
        <v>8.8881448504653235</v>
      </c>
      <c r="E783" s="21" t="str">
        <f t="shared" si="255"/>
        <v>Umbra</v>
      </c>
      <c r="F783" s="23">
        <f>IF($E783&lt;&gt;"Umbra",fracil2($S$2,$S$3,$S$4,$A783,$Q$2,$O$3,$Q$4,$U783,$V783,$W783),0)</f>
        <v>0</v>
      </c>
      <c r="G783" s="19">
        <f t="shared" si="256"/>
        <v>69.300753729489188</v>
      </c>
      <c r="H783" s="19">
        <f t="shared" si="257"/>
        <v>-4.3662504066728589</v>
      </c>
      <c r="I783" s="19">
        <f t="shared" si="258"/>
        <v>-3.1582324572779639</v>
      </c>
      <c r="J783" s="28">
        <f t="shared" si="259"/>
        <v>5.0181099832097373E-3</v>
      </c>
      <c r="K783" s="24">
        <f t="shared" si="260"/>
        <v>1048.555603902339</v>
      </c>
      <c r="L783" s="32">
        <f t="shared" si="261"/>
        <v>0.55949073375502456</v>
      </c>
      <c r="M783" s="35">
        <f t="shared" si="262"/>
        <v>13.123699889480434</v>
      </c>
      <c r="O783" s="29">
        <f t="shared" si="263"/>
        <v>1046.5849755682877</v>
      </c>
      <c r="T783" s="48">
        <v>0.74853010416666665</v>
      </c>
      <c r="U783" s="29">
        <v>-1369.3563704203257</v>
      </c>
      <c r="V783" s="29">
        <v>4544.9298253409543</v>
      </c>
      <c r="W783" s="29">
        <v>4259.1612210716994</v>
      </c>
      <c r="X783" s="4">
        <v>-0.32674555465422828</v>
      </c>
      <c r="Y783" s="4">
        <v>-0.1153966777418076</v>
      </c>
      <c r="Z783" s="4">
        <v>-1.4661239677159498E-2</v>
      </c>
      <c r="AA783" s="3">
        <f t="shared" si="268"/>
        <v>0.34683425821134939</v>
      </c>
      <c r="AB783" s="3">
        <f t="shared" si="271"/>
        <v>3.1755904160241685E-3</v>
      </c>
      <c r="AC783" s="3">
        <f t="shared" si="269"/>
        <v>2.1896327177343956E-2</v>
      </c>
      <c r="AD783" s="48"/>
      <c r="AE783" s="46">
        <f t="shared" si="264"/>
        <v>42.092147946313098</v>
      </c>
      <c r="AF783" s="46">
        <f t="shared" si="265"/>
        <v>-248.53982882171431</v>
      </c>
      <c r="AG783" s="47">
        <f t="shared" si="266"/>
        <v>8888.1448504653235</v>
      </c>
      <c r="AH783" s="45" t="str">
        <f t="shared" si="270"/>
        <v>-248.53983,42.09215,08888</v>
      </c>
      <c r="AI783" s="44">
        <f t="shared" si="272"/>
        <v>1021.348088194353</v>
      </c>
    </row>
    <row r="784" spans="1:35" ht="18" customHeight="1" x14ac:dyDescent="0.25">
      <c r="A784" s="36">
        <f t="shared" si="267"/>
        <v>0.74854173611111108</v>
      </c>
      <c r="B784" s="42">
        <f t="shared" si="252"/>
        <v>42.092147942874327</v>
      </c>
      <c r="C784" s="43">
        <f t="shared" si="253"/>
        <v>111.46017210347257</v>
      </c>
      <c r="D784" s="18">
        <f t="shared" si="254"/>
        <v>8.8661753245460204</v>
      </c>
      <c r="E784" s="21" t="str">
        <f t="shared" si="255"/>
        <v>Umbra</v>
      </c>
      <c r="F784" s="23">
        <f>IF($E784&lt;&gt;"Umbra",fracil2($S$2,$S$3,$S$4,$A784,$Q$2,$O$3,$Q$4,$U784,$V784,$W784),0)</f>
        <v>0</v>
      </c>
      <c r="G784" s="19">
        <f t="shared" si="256"/>
        <v>69.300758605035995</v>
      </c>
      <c r="H784" s="19">
        <f t="shared" si="257"/>
        <v>-4.3674464588779305</v>
      </c>
      <c r="I784" s="19">
        <f t="shared" si="258"/>
        <v>-3.1594285094830354</v>
      </c>
      <c r="J784" s="28">
        <f t="shared" si="259"/>
        <v>5.0166994590457002E-3</v>
      </c>
      <c r="K784" s="24">
        <f t="shared" si="260"/>
        <v>1048.5537208442825</v>
      </c>
      <c r="L784" s="32">
        <f t="shared" si="261"/>
        <v>0.55950493142632363</v>
      </c>
      <c r="M784" s="35">
        <f t="shared" si="262"/>
        <v>13.122893911673247</v>
      </c>
      <c r="O784" s="29">
        <f t="shared" si="263"/>
        <v>1046.5850498703533</v>
      </c>
      <c r="T784" s="48">
        <v>0.74854173611111108</v>
      </c>
      <c r="U784" s="29">
        <v>-1369.6848146036532</v>
      </c>
      <c r="V784" s="29">
        <v>4544.8138275254942</v>
      </c>
      <c r="W784" s="29">
        <v>4259.1464940661417</v>
      </c>
      <c r="X784" s="4">
        <v>-0.3267426199490725</v>
      </c>
      <c r="Y784" s="4">
        <v>-0.11539811820392533</v>
      </c>
      <c r="Z784" s="4">
        <v>-1.4640329374591724E-2</v>
      </c>
      <c r="AA784" s="3">
        <f t="shared" si="268"/>
        <v>0.34683108946631025</v>
      </c>
      <c r="AB784" s="3">
        <f t="shared" si="271"/>
        <v>3.161698533963875E-3</v>
      </c>
      <c r="AC784" s="3">
        <f t="shared" si="269"/>
        <v>2.1865168543440842E-2</v>
      </c>
      <c r="AD784" s="48"/>
      <c r="AE784" s="46">
        <f t="shared" si="264"/>
        <v>42.092147942874327</v>
      </c>
      <c r="AF784" s="46">
        <f t="shared" si="265"/>
        <v>-248.53982789652741</v>
      </c>
      <c r="AG784" s="47">
        <f t="shared" si="266"/>
        <v>8866.1753245460204</v>
      </c>
      <c r="AH784" s="45" t="str">
        <f t="shared" si="270"/>
        <v>-248.53983,42.09215,08866</v>
      </c>
      <c r="AI784" s="44">
        <f t="shared" si="272"/>
        <v>1021.348088194353</v>
      </c>
    </row>
    <row r="785" spans="1:35" ht="18" customHeight="1" x14ac:dyDescent="0.25">
      <c r="A785" s="36">
        <f t="shared" si="267"/>
        <v>0.74855335648148147</v>
      </c>
      <c r="B785" s="42">
        <f t="shared" si="252"/>
        <v>42.092147939447536</v>
      </c>
      <c r="C785" s="43">
        <f t="shared" si="253"/>
        <v>111.46017143534256</v>
      </c>
      <c r="D785" s="18">
        <f t="shared" si="254"/>
        <v>8.8442672153651074</v>
      </c>
      <c r="E785" s="21" t="str">
        <f t="shared" si="255"/>
        <v>Umbra</v>
      </c>
      <c r="F785" s="23">
        <f>IF($E785&lt;&gt;"Umbra",fracil2($S$2,$S$3,$S$4,$A785,$Q$2,$O$3,$Q$4,$U785,$V785,$W785),0)</f>
        <v>0</v>
      </c>
      <c r="G785" s="19">
        <f t="shared" si="256"/>
        <v>69.300761847985854</v>
      </c>
      <c r="H785" s="19">
        <f t="shared" si="257"/>
        <v>-4.3686385519305659</v>
      </c>
      <c r="I785" s="19">
        <f t="shared" si="258"/>
        <v>-3.1606206025356709</v>
      </c>
      <c r="J785" s="28">
        <f t="shared" si="259"/>
        <v>5.0152968834742398E-3</v>
      </c>
      <c r="K785" s="24">
        <f t="shared" si="260"/>
        <v>1048.5517155757082</v>
      </c>
      <c r="L785" s="32">
        <f t="shared" si="261"/>
        <v>0.55951911217075057</v>
      </c>
      <c r="M785" s="35">
        <f t="shared" si="262"/>
        <v>13.122091789616896</v>
      </c>
      <c r="O785" s="29">
        <f t="shared" si="263"/>
        <v>1046.5849960647793</v>
      </c>
      <c r="T785" s="48">
        <v>0.74855335648148147</v>
      </c>
      <c r="U785" s="29">
        <v>-1370.0128045065032</v>
      </c>
      <c r="V785" s="29">
        <v>4544.6979876156929</v>
      </c>
      <c r="W785" s="29">
        <v>4259.131808230748</v>
      </c>
      <c r="X785" s="4">
        <v>-0.326739665441661</v>
      </c>
      <c r="Y785" s="4">
        <v>-0.11539964722184863</v>
      </c>
      <c r="Z785" s="4">
        <v>-1.4619532565196764E-2</v>
      </c>
      <c r="AA785" s="3">
        <f t="shared" si="268"/>
        <v>0.34682793757752634</v>
      </c>
      <c r="AB785" s="3">
        <f t="shared" si="271"/>
        <v>3.1476599562740692E-3</v>
      </c>
      <c r="AC785" s="3">
        <f t="shared" si="269"/>
        <v>2.1834179126095438E-2</v>
      </c>
      <c r="AD785" s="48"/>
      <c r="AE785" s="46">
        <f t="shared" si="264"/>
        <v>42.092147939447536</v>
      </c>
      <c r="AF785" s="46">
        <f t="shared" si="265"/>
        <v>-248.53982856465745</v>
      </c>
      <c r="AG785" s="47">
        <f t="shared" si="266"/>
        <v>8844.2672153651074</v>
      </c>
      <c r="AH785" s="45" t="str">
        <f t="shared" si="270"/>
        <v>-248.53983,42.09215,08844</v>
      </c>
      <c r="AI785" s="44">
        <f t="shared" si="272"/>
        <v>1021.348088194353</v>
      </c>
    </row>
    <row r="786" spans="1:35" ht="18" customHeight="1" x14ac:dyDescent="0.25">
      <c r="A786" s="36">
        <f t="shared" si="267"/>
        <v>0.74856497685185186</v>
      </c>
      <c r="B786" s="42">
        <f t="shared" si="252"/>
        <v>42.092147936029889</v>
      </c>
      <c r="C786" s="43">
        <f t="shared" si="253"/>
        <v>111.46016864543851</v>
      </c>
      <c r="D786" s="18">
        <f t="shared" si="254"/>
        <v>8.8224012442115054</v>
      </c>
      <c r="E786" s="21" t="str">
        <f t="shared" si="255"/>
        <v>Umbra</v>
      </c>
      <c r="F786" s="23">
        <f>IF($E786&lt;&gt;"Umbra",fracil2($S$2,$S$3,$S$4,$A786,$Q$2,$O$3,$Q$4,$U786,$V786,$W786),0)</f>
        <v>0</v>
      </c>
      <c r="G786" s="19">
        <f t="shared" si="256"/>
        <v>69.300762923948312</v>
      </c>
      <c r="H786" s="19">
        <f t="shared" si="257"/>
        <v>-4.3698275296260238</v>
      </c>
      <c r="I786" s="19">
        <f t="shared" si="258"/>
        <v>-3.1618095802311288</v>
      </c>
      <c r="J786" s="28">
        <f t="shared" si="259"/>
        <v>5.0139010196497942E-3</v>
      </c>
      <c r="K786" s="24">
        <f t="shared" si="260"/>
        <v>1048.549543877321</v>
      </c>
      <c r="L786" s="32">
        <f t="shared" si="261"/>
        <v>0.55953329040538891</v>
      </c>
      <c r="M786" s="35">
        <f t="shared" si="262"/>
        <v>13.121293352769571</v>
      </c>
      <c r="O786" s="29">
        <f t="shared" si="263"/>
        <v>1046.584771661797</v>
      </c>
      <c r="T786" s="48">
        <v>0.74856497685185186</v>
      </c>
      <c r="U786" s="29">
        <v>-1370.3406255219559</v>
      </c>
      <c r="V786" s="29">
        <v>4544.582204724019</v>
      </c>
      <c r="W786" s="29">
        <v>4259.1171506422816</v>
      </c>
      <c r="X786" s="4">
        <v>-0.32673668873352951</v>
      </c>
      <c r="Y786" s="4">
        <v>-0.11540126542432884</v>
      </c>
      <c r="Z786" s="4">
        <v>-1.4598830498918322E-2</v>
      </c>
      <c r="AA786" s="3">
        <f t="shared" si="268"/>
        <v>0.3468247996871387</v>
      </c>
      <c r="AB786" s="3">
        <f t="shared" si="271"/>
        <v>3.1333102628423011E-3</v>
      </c>
      <c r="AC786" s="3">
        <f t="shared" si="269"/>
        <v>2.1803330984696202E-2</v>
      </c>
      <c r="AD786" s="48"/>
      <c r="AE786" s="46">
        <f t="shared" si="264"/>
        <v>42.092147936029889</v>
      </c>
      <c r="AF786" s="46">
        <f t="shared" si="265"/>
        <v>-248.5398313545615</v>
      </c>
      <c r="AG786" s="47">
        <f t="shared" si="266"/>
        <v>8822.4012442115054</v>
      </c>
      <c r="AH786" s="45" t="str">
        <f t="shared" si="270"/>
        <v>-248.53983,42.09215,08822</v>
      </c>
      <c r="AI786" s="44">
        <f t="shared" si="272"/>
        <v>1021.3483207373915</v>
      </c>
    </row>
    <row r="787" spans="1:35" ht="18" customHeight="1" x14ac:dyDescent="0.25">
      <c r="A787" s="36">
        <f t="shared" si="267"/>
        <v>0.74857637731481486</v>
      </c>
      <c r="B787" s="42">
        <f t="shared" si="252"/>
        <v>42.092147932681108</v>
      </c>
      <c r="C787" s="43">
        <f t="shared" si="253"/>
        <v>111.46016960794361</v>
      </c>
      <c r="D787" s="18">
        <f t="shared" si="254"/>
        <v>8.8009598632916095</v>
      </c>
      <c r="E787" s="21" t="str">
        <f t="shared" si="255"/>
        <v>Umbra</v>
      </c>
      <c r="F787" s="23">
        <f>IF($E787&lt;&gt;"Umbra",fracil2($S$2,$S$3,$S$4,$A787,$Q$2,$O$3,$Q$4,$U787,$V787,$W787),0)</f>
        <v>0</v>
      </c>
      <c r="G787" s="19">
        <f t="shared" si="256"/>
        <v>69.300767742940522</v>
      </c>
      <c r="H787" s="19">
        <f t="shared" si="257"/>
        <v>-4.3709948650260442</v>
      </c>
      <c r="I787" s="19">
        <f t="shared" si="258"/>
        <v>-3.1629769156311491</v>
      </c>
      <c r="J787" s="28">
        <f t="shared" si="259"/>
        <v>5.0125358916678422E-3</v>
      </c>
      <c r="K787" s="24">
        <f t="shared" si="260"/>
        <v>1048.5477122061463</v>
      </c>
      <c r="L787" s="32">
        <f t="shared" si="261"/>
        <v>0.55954719497943917</v>
      </c>
      <c r="M787" s="35">
        <f t="shared" si="262"/>
        <v>13.120506656696346</v>
      </c>
      <c r="O787" s="29">
        <f t="shared" si="263"/>
        <v>1046.58484896662</v>
      </c>
      <c r="T787" s="48">
        <v>0.74857637731481486</v>
      </c>
      <c r="U787" s="29">
        <v>-1370.6625291661187</v>
      </c>
      <c r="V787" s="29">
        <v>4544.4685091307874</v>
      </c>
      <c r="W787" s="29">
        <v>4259.1027776729379</v>
      </c>
      <c r="X787" s="4">
        <v>-0.32673374240460956</v>
      </c>
      <c r="Y787" s="4">
        <v>-0.11540294274684185</v>
      </c>
      <c r="Z787" s="4">
        <v>-1.4578584590475141E-2</v>
      </c>
      <c r="AA787" s="3">
        <f t="shared" si="268"/>
        <v>0.34682173050288279</v>
      </c>
      <c r="AB787" s="3">
        <f t="shared" si="271"/>
        <v>3.1233639138758913E-3</v>
      </c>
      <c r="AC787" s="3">
        <f t="shared" si="269"/>
        <v>2.177316269375474E-2</v>
      </c>
      <c r="AD787" s="48"/>
      <c r="AE787" s="46">
        <f t="shared" si="264"/>
        <v>42.092147932681108</v>
      </c>
      <c r="AF787" s="46">
        <f t="shared" si="265"/>
        <v>-248.53983039205639</v>
      </c>
      <c r="AG787" s="47">
        <f t="shared" si="266"/>
        <v>8800.9598632916095</v>
      </c>
      <c r="AH787" s="45" t="str">
        <f t="shared" si="270"/>
        <v>-248.53983,42.09215,08801</v>
      </c>
      <c r="AI787" s="44">
        <f t="shared" si="272"/>
        <v>1021.3484156726895</v>
      </c>
    </row>
    <row r="788" spans="1:35" ht="18" customHeight="1" x14ac:dyDescent="0.25">
      <c r="A788" s="36">
        <f t="shared" si="267"/>
        <v>0.74858797453703707</v>
      </c>
      <c r="B788" s="42">
        <f t="shared" si="252"/>
        <v>42.092147929281069</v>
      </c>
      <c r="C788" s="43">
        <f t="shared" si="253"/>
        <v>111.46017145336755</v>
      </c>
      <c r="D788" s="18">
        <f t="shared" si="254"/>
        <v>8.779174391847846</v>
      </c>
      <c r="E788" s="21" t="str">
        <f t="shared" si="255"/>
        <v>Umbra</v>
      </c>
      <c r="F788" s="23">
        <f>IF($E788&lt;&gt;"Umbra",fracil2($S$2,$S$3,$S$4,$A788,$Q$2,$O$3,$Q$4,$U788,$V788,$W788),0)</f>
        <v>0</v>
      </c>
      <c r="G788" s="19">
        <f t="shared" si="256"/>
        <v>69.300773522155765</v>
      </c>
      <c r="H788" s="19">
        <f t="shared" si="257"/>
        <v>-4.3721812757231824</v>
      </c>
      <c r="I788" s="19">
        <f t="shared" si="258"/>
        <v>-3.1641633263282873</v>
      </c>
      <c r="J788" s="28">
        <f t="shared" si="259"/>
        <v>5.0111527091155871E-3</v>
      </c>
      <c r="K788" s="24">
        <f t="shared" si="260"/>
        <v>1048.5459213489955</v>
      </c>
      <c r="L788" s="32">
        <f t="shared" si="261"/>
        <v>0.55956133557332455</v>
      </c>
      <c r="M788" s="35">
        <f t="shared" si="262"/>
        <v>13.119706444678775</v>
      </c>
      <c r="O788" s="29">
        <f t="shared" si="263"/>
        <v>1046.5849972597543</v>
      </c>
      <c r="T788" s="48">
        <v>0.74858797453703707</v>
      </c>
      <c r="U788" s="29">
        <v>-1370.9900532780498</v>
      </c>
      <c r="V788" s="29">
        <v>4544.3528256044974</v>
      </c>
      <c r="W788" s="29">
        <v>4259.088174046894</v>
      </c>
      <c r="X788" s="4">
        <v>-0.32673072096376726</v>
      </c>
      <c r="Y788" s="4">
        <v>-0.11540473884284054</v>
      </c>
      <c r="Z788" s="4">
        <v>-1.4558068786473956E-2</v>
      </c>
      <c r="AA788" s="3">
        <f t="shared" si="268"/>
        <v>0.34681861993797142</v>
      </c>
      <c r="AB788" s="3">
        <f t="shared" si="271"/>
        <v>3.1112938247767974E-3</v>
      </c>
      <c r="AC788" s="3">
        <f t="shared" si="269"/>
        <v>2.1742592327814506E-2</v>
      </c>
      <c r="AD788" s="48"/>
      <c r="AE788" s="46">
        <f t="shared" si="264"/>
        <v>42.092147929281069</v>
      </c>
      <c r="AF788" s="46">
        <f t="shared" si="265"/>
        <v>-248.53982854663246</v>
      </c>
      <c r="AG788" s="47">
        <f t="shared" si="266"/>
        <v>8779.174391847846</v>
      </c>
      <c r="AH788" s="45" t="str">
        <f t="shared" si="270"/>
        <v>-248.53983,42.09215,08779</v>
      </c>
      <c r="AI788" s="44">
        <f t="shared" si="272"/>
        <v>1021.3485801054488</v>
      </c>
    </row>
    <row r="789" spans="1:35" ht="18" customHeight="1" x14ac:dyDescent="0.25">
      <c r="A789" s="36">
        <f t="shared" si="267"/>
        <v>0.74859962962962967</v>
      </c>
      <c r="B789" s="42">
        <f t="shared" si="252"/>
        <v>42.092147925874627</v>
      </c>
      <c r="C789" s="43">
        <f t="shared" si="253"/>
        <v>111.46016940417169</v>
      </c>
      <c r="D789" s="18">
        <f t="shared" si="254"/>
        <v>8.7573313183684149</v>
      </c>
      <c r="E789" s="21" t="str">
        <f t="shared" si="255"/>
        <v>Umbra</v>
      </c>
      <c r="F789" s="23">
        <f>IF($E789&lt;&gt;"Umbra",fracil2($S$2,$S$3,$S$4,$A789,$Q$2,$O$3,$Q$4,$U789,$V789,$W789),0)</f>
        <v>0</v>
      </c>
      <c r="G789" s="19">
        <f t="shared" si="256"/>
        <v>69.300775347916399</v>
      </c>
      <c r="H789" s="19">
        <f t="shared" si="257"/>
        <v>-4.3733693094431239</v>
      </c>
      <c r="I789" s="19">
        <f t="shared" si="258"/>
        <v>-3.1653513600482288</v>
      </c>
      <c r="J789" s="28">
        <f t="shared" si="259"/>
        <v>5.0097700258232396E-3</v>
      </c>
      <c r="K789" s="24">
        <f t="shared" si="260"/>
        <v>1048.5438126047134</v>
      </c>
      <c r="L789" s="32">
        <f t="shared" si="261"/>
        <v>0.55957554516145502</v>
      </c>
      <c r="M789" s="35">
        <f t="shared" si="262"/>
        <v>13.118908061131535</v>
      </c>
      <c r="O789" s="29">
        <f t="shared" si="263"/>
        <v>1046.5848324124436</v>
      </c>
      <c r="T789" s="48">
        <v>0.74859962962962967</v>
      </c>
      <c r="U789" s="29">
        <v>-1371.3189034178497</v>
      </c>
      <c r="V789" s="29">
        <v>4544.2366707800129</v>
      </c>
      <c r="W789" s="29">
        <v>4259.0735318082443</v>
      </c>
      <c r="X789" s="4">
        <v>-0.32672766344882459</v>
      </c>
      <c r="Y789" s="4">
        <v>-0.11540663234051578</v>
      </c>
      <c r="Z789" s="4">
        <v>-1.4537554131407074E-2</v>
      </c>
      <c r="AA789" s="3">
        <f t="shared" si="268"/>
        <v>0.34681550906934794</v>
      </c>
      <c r="AB789" s="3">
        <f t="shared" si="271"/>
        <v>3.0956633607562298E-3</v>
      </c>
      <c r="AC789" s="3">
        <f t="shared" si="269"/>
        <v>2.1712023760374503E-2</v>
      </c>
      <c r="AD789" s="48"/>
      <c r="AE789" s="46">
        <f t="shared" si="264"/>
        <v>42.092147925874627</v>
      </c>
      <c r="AF789" s="46">
        <f t="shared" si="265"/>
        <v>-248.53983059582831</v>
      </c>
      <c r="AG789" s="47">
        <f t="shared" si="266"/>
        <v>8757.3313183684149</v>
      </c>
      <c r="AH789" s="45" t="str">
        <f t="shared" si="270"/>
        <v>-248.53983,42.09215,08757</v>
      </c>
      <c r="AI789" s="44">
        <f t="shared" si="272"/>
        <v>1021.3487445382082</v>
      </c>
    </row>
    <row r="790" spans="1:35" ht="18" customHeight="1" x14ac:dyDescent="0.25">
      <c r="A790" s="36">
        <f t="shared" si="267"/>
        <v>0.74861118055555564</v>
      </c>
      <c r="B790" s="42">
        <f t="shared" si="252"/>
        <v>42.092147922504488</v>
      </c>
      <c r="C790" s="43">
        <f t="shared" si="253"/>
        <v>111.46016901017796</v>
      </c>
      <c r="D790" s="18">
        <f t="shared" si="254"/>
        <v>8.7357053091182024</v>
      </c>
      <c r="E790" s="21" t="str">
        <f t="shared" si="255"/>
        <v>Umbra</v>
      </c>
      <c r="F790" s="23">
        <f>IF($E790&lt;&gt;"Umbra",fracil2($S$2,$S$3,$S$4,$A790,$Q$2,$O$3,$Q$4,$U790,$V790,$W790),0)</f>
        <v>0</v>
      </c>
      <c r="G790" s="19">
        <f t="shared" si="256"/>
        <v>69.300778819415541</v>
      </c>
      <c r="H790" s="19">
        <f t="shared" si="257"/>
        <v>-4.3745461781161845</v>
      </c>
      <c r="I790" s="19">
        <f t="shared" si="258"/>
        <v>-3.1665282287212895</v>
      </c>
      <c r="J790" s="28">
        <f t="shared" si="259"/>
        <v>5.0084047634349517E-3</v>
      </c>
      <c r="K790" s="24">
        <f t="shared" si="260"/>
        <v>1048.541856736713</v>
      </c>
      <c r="L790" s="32">
        <f t="shared" si="261"/>
        <v>0.55958962341598351</v>
      </c>
      <c r="M790" s="35">
        <f t="shared" si="262"/>
        <v>13.118115941821118</v>
      </c>
      <c r="O790" s="29">
        <f t="shared" si="263"/>
        <v>1046.5848006497417</v>
      </c>
      <c r="T790" s="48">
        <v>0.74861118055555564</v>
      </c>
      <c r="U790" s="29">
        <v>-1371.6449394492345</v>
      </c>
      <c r="V790" s="29">
        <v>4544.1215069383961</v>
      </c>
      <c r="W790" s="29">
        <v>4259.0590350761622</v>
      </c>
      <c r="X790" s="4">
        <v>-0.32672460906281653</v>
      </c>
      <c r="Y790" s="4">
        <v>-0.11540859687478242</v>
      </c>
      <c r="Z790" s="4">
        <v>-1.4517296521549124E-2</v>
      </c>
      <c r="AA790" s="3">
        <f t="shared" si="268"/>
        <v>0.34681243676971985</v>
      </c>
      <c r="AB790" s="3">
        <f t="shared" si="271"/>
        <v>3.0844330975885901E-3</v>
      </c>
      <c r="AC790" s="3">
        <f t="shared" si="269"/>
        <v>2.1681838301321334E-2</v>
      </c>
      <c r="AD790" s="48"/>
      <c r="AE790" s="46">
        <f t="shared" si="264"/>
        <v>42.092147922504488</v>
      </c>
      <c r="AF790" s="46">
        <f t="shared" si="265"/>
        <v>-248.53983098982204</v>
      </c>
      <c r="AG790" s="47">
        <f t="shared" si="266"/>
        <v>8735.7053091182024</v>
      </c>
      <c r="AH790" s="45" t="str">
        <f t="shared" si="270"/>
        <v>-248.53983,42.09215,08736</v>
      </c>
      <c r="AI790" s="44">
        <f t="shared" si="272"/>
        <v>1021.3487445382082</v>
      </c>
    </row>
    <row r="791" spans="1:35" ht="18" customHeight="1" x14ac:dyDescent="0.25">
      <c r="A791" s="36">
        <f t="shared" si="267"/>
        <v>0.74862283564814813</v>
      </c>
      <c r="B791" s="42">
        <f t="shared" si="252"/>
        <v>42.092147919110211</v>
      </c>
      <c r="C791" s="43">
        <f t="shared" si="253"/>
        <v>111.46017003038698</v>
      </c>
      <c r="D791" s="18">
        <f t="shared" si="254"/>
        <v>8.7139074406823056</v>
      </c>
      <c r="E791" s="21" t="str">
        <f t="shared" si="255"/>
        <v>Umbra</v>
      </c>
      <c r="F791" s="23">
        <f>IF($E791&lt;&gt;"Umbra",fracil2($S$2,$S$3,$S$4,$A791,$Q$2,$O$3,$Q$4,$U791,$V791,$W791),0)</f>
        <v>0</v>
      </c>
      <c r="G791" s="19">
        <f t="shared" si="256"/>
        <v>69.300783761015069</v>
      </c>
      <c r="H791" s="19">
        <f t="shared" si="257"/>
        <v>-4.3757329551352431</v>
      </c>
      <c r="I791" s="19">
        <f t="shared" si="258"/>
        <v>-3.167715005740348</v>
      </c>
      <c r="J791" s="28">
        <f t="shared" si="259"/>
        <v>5.0070323676691805E-3</v>
      </c>
      <c r="K791" s="24">
        <f t="shared" si="260"/>
        <v>1048.5399997569632</v>
      </c>
      <c r="L791" s="32">
        <f t="shared" si="261"/>
        <v>0.55960382438211687</v>
      </c>
      <c r="M791" s="35">
        <f t="shared" si="262"/>
        <v>13.117316078815813</v>
      </c>
      <c r="O791" s="29">
        <f t="shared" si="263"/>
        <v>1046.5848825930152</v>
      </c>
      <c r="T791" s="48">
        <v>0.74862283564814813</v>
      </c>
      <c r="U791" s="29">
        <v>-1371.9740234648898</v>
      </c>
      <c r="V791" s="29">
        <v>4544.0052633474488</v>
      </c>
      <c r="W791" s="29">
        <v>4259.04442314059</v>
      </c>
      <c r="X791" s="4">
        <v>-0.32672150295590008</v>
      </c>
      <c r="Y791" s="4">
        <v>-0.11541066745877572</v>
      </c>
      <c r="Z791" s="4">
        <v>-1.4496931436922858E-2</v>
      </c>
      <c r="AA791" s="3">
        <f t="shared" si="268"/>
        <v>0.34680934773752736</v>
      </c>
      <c r="AB791" s="3">
        <f t="shared" si="271"/>
        <v>3.0730747065481233E-3</v>
      </c>
      <c r="AC791" s="3">
        <f t="shared" si="269"/>
        <v>2.1651492788755188E-2</v>
      </c>
      <c r="AD791" s="48"/>
      <c r="AE791" s="46">
        <f t="shared" si="264"/>
        <v>42.092147919110211</v>
      </c>
      <c r="AF791" s="46">
        <f t="shared" si="265"/>
        <v>-248.53982996961304</v>
      </c>
      <c r="AG791" s="47">
        <f t="shared" si="266"/>
        <v>8713.9074406823056</v>
      </c>
      <c r="AH791" s="45" t="str">
        <f t="shared" si="270"/>
        <v>-248.53983,42.09215,08714</v>
      </c>
      <c r="AI791" s="44">
        <f t="shared" si="272"/>
        <v>1021.3488787969932</v>
      </c>
    </row>
    <row r="792" spans="1:35" ht="18" customHeight="1" x14ac:dyDescent="0.25">
      <c r="A792" s="36">
        <f t="shared" si="267"/>
        <v>0.74863429398148151</v>
      </c>
      <c r="B792" s="42">
        <f t="shared" si="252"/>
        <v>42.092147915781581</v>
      </c>
      <c r="C792" s="43">
        <f t="shared" si="253"/>
        <v>111.46016922540045</v>
      </c>
      <c r="D792" s="18">
        <f t="shared" si="254"/>
        <v>8.6925166733653896</v>
      </c>
      <c r="E792" s="21" t="str">
        <f t="shared" si="255"/>
        <v>Umbra</v>
      </c>
      <c r="F792" s="23">
        <f>IF($E792&lt;&gt;"Umbra",fracil2($S$2,$S$3,$S$4,$A792,$Q$2,$O$3,$Q$4,$U792,$V792,$W792),0)</f>
        <v>0</v>
      </c>
      <c r="G792" s="19">
        <f t="shared" si="256"/>
        <v>69.300786772122592</v>
      </c>
      <c r="H792" s="19">
        <f t="shared" si="257"/>
        <v>-4.3768968691713814</v>
      </c>
      <c r="I792" s="19">
        <f t="shared" si="258"/>
        <v>-3.1688789197764864</v>
      </c>
      <c r="J792" s="28">
        <f t="shared" si="259"/>
        <v>5.0056893697897386E-3</v>
      </c>
      <c r="K792" s="24">
        <f t="shared" si="260"/>
        <v>1048.5380326439436</v>
      </c>
      <c r="L792" s="32">
        <f t="shared" si="261"/>
        <v>0.55961778310276278</v>
      </c>
      <c r="M792" s="35">
        <f t="shared" si="262"/>
        <v>13.116532974992664</v>
      </c>
      <c r="O792" s="29">
        <f t="shared" si="263"/>
        <v>1046.5848177861865</v>
      </c>
      <c r="T792" s="48">
        <v>0.74863429398148151</v>
      </c>
      <c r="U792" s="29">
        <v>-1372.2974075169595</v>
      </c>
      <c r="V792" s="29">
        <v>4543.8910300209382</v>
      </c>
      <c r="W792" s="29">
        <v>4259.030084100481</v>
      </c>
      <c r="X792" s="4">
        <v>-0.32671842826140973</v>
      </c>
      <c r="Y792" s="4">
        <v>-0.1154127869559035</v>
      </c>
      <c r="Z792" s="4">
        <v>-1.447699827328777E-2</v>
      </c>
      <c r="AA792" s="3">
        <f t="shared" si="268"/>
        <v>0.34680632381422843</v>
      </c>
      <c r="AB792" s="3">
        <f t="shared" si="271"/>
        <v>3.0595394980776499E-3</v>
      </c>
      <c r="AC792" s="3">
        <f t="shared" si="269"/>
        <v>2.1621790962880097E-2</v>
      </c>
      <c r="AD792" s="48"/>
      <c r="AE792" s="46">
        <f t="shared" si="264"/>
        <v>42.092147915781581</v>
      </c>
      <c r="AF792" s="46">
        <f t="shared" si="265"/>
        <v>-248.53983077459955</v>
      </c>
      <c r="AG792" s="47">
        <f t="shared" si="266"/>
        <v>8692.5166733653896</v>
      </c>
      <c r="AH792" s="45" t="str">
        <f t="shared" si="270"/>
        <v>-248.53983,42.09215,08693</v>
      </c>
      <c r="AI792" s="44">
        <f t="shared" si="272"/>
        <v>1021.3488787969932</v>
      </c>
    </row>
    <row r="793" spans="1:35" ht="18" customHeight="1" x14ac:dyDescent="0.25">
      <c r="A793" s="36">
        <f t="shared" si="267"/>
        <v>0.74864583333333334</v>
      </c>
      <c r="B793" s="42">
        <f t="shared" si="252"/>
        <v>42.092147912432935</v>
      </c>
      <c r="C793" s="43">
        <f t="shared" si="253"/>
        <v>111.46017275562495</v>
      </c>
      <c r="D793" s="18">
        <f t="shared" si="254"/>
        <v>8.6709819365332805</v>
      </c>
      <c r="E793" s="21" t="str">
        <f t="shared" si="255"/>
        <v>Umbra</v>
      </c>
      <c r="F793" s="23">
        <f>IF($E793&lt;&gt;"Umbra",fracil2($S$2,$S$3,$S$4,$A793,$Q$2,$O$3,$Q$4,$U793,$V793,$W793),0)</f>
        <v>0</v>
      </c>
      <c r="G793" s="19">
        <f t="shared" si="256"/>
        <v>69.300794221212143</v>
      </c>
      <c r="H793" s="19">
        <f t="shared" si="257"/>
        <v>-4.3780703094120712</v>
      </c>
      <c r="I793" s="19">
        <f t="shared" si="258"/>
        <v>-3.1700523600171762</v>
      </c>
      <c r="J793" s="28">
        <f t="shared" si="259"/>
        <v>5.0043407607291771E-3</v>
      </c>
      <c r="K793" s="24">
        <f t="shared" si="260"/>
        <v>1048.5364018053992</v>
      </c>
      <c r="L793" s="32">
        <f t="shared" si="261"/>
        <v>0.55963183486242862</v>
      </c>
      <c r="M793" s="35">
        <f t="shared" si="262"/>
        <v>13.115740187627296</v>
      </c>
      <c r="O793" s="29">
        <f t="shared" si="263"/>
        <v>1046.5851015441337</v>
      </c>
      <c r="T793" s="48">
        <v>0.74864583333333334</v>
      </c>
      <c r="U793" s="29">
        <v>-1372.6234144931245</v>
      </c>
      <c r="V793" s="29">
        <v>4543.7758669056566</v>
      </c>
      <c r="W793" s="29">
        <v>4259.0156485523603</v>
      </c>
      <c r="X793" s="4">
        <v>-0.32671530617290667</v>
      </c>
      <c r="Y793" s="4">
        <v>-0.11541500859071958</v>
      </c>
      <c r="Z793" s="4">
        <v>-1.4456982779201868E-2</v>
      </c>
      <c r="AA793" s="3">
        <f t="shared" si="268"/>
        <v>0.34680328696067769</v>
      </c>
      <c r="AB793" s="3">
        <f t="shared" si="271"/>
        <v>3.0505969508828187E-3</v>
      </c>
      <c r="AC793" s="3">
        <f t="shared" si="269"/>
        <v>2.1591966551640897E-2</v>
      </c>
      <c r="AD793" s="48"/>
      <c r="AE793" s="46">
        <f t="shared" si="264"/>
        <v>42.092147912432935</v>
      </c>
      <c r="AF793" s="46">
        <f t="shared" si="265"/>
        <v>-248.53982724437503</v>
      </c>
      <c r="AG793" s="47">
        <f t="shared" si="266"/>
        <v>8670.9819365332805</v>
      </c>
      <c r="AH793" s="45" t="str">
        <f t="shared" si="270"/>
        <v>-248.53983,42.09215,08671</v>
      </c>
      <c r="AI793" s="44">
        <f t="shared" si="272"/>
        <v>1021.3491790087645</v>
      </c>
    </row>
    <row r="794" spans="1:35" ht="18" customHeight="1" x14ac:dyDescent="0.25">
      <c r="A794" s="36">
        <f t="shared" si="267"/>
        <v>0.74865744212962959</v>
      </c>
      <c r="B794" s="42">
        <f t="shared" si="252"/>
        <v>42.092147909074171</v>
      </c>
      <c r="C794" s="43">
        <f t="shared" si="253"/>
        <v>111.46017243153035</v>
      </c>
      <c r="D794" s="18">
        <f t="shared" si="254"/>
        <v>8.6493675823612648</v>
      </c>
      <c r="E794" s="21" t="str">
        <f t="shared" si="255"/>
        <v>Umbra</v>
      </c>
      <c r="F794" s="23">
        <f>IF($E794&lt;&gt;"Umbra",fracil2($S$2,$S$3,$S$4,$A794,$Q$2,$O$3,$Q$4,$U794,$V794,$W794),0)</f>
        <v>0</v>
      </c>
      <c r="G794" s="19">
        <f t="shared" si="256"/>
        <v>69.300797761812049</v>
      </c>
      <c r="H794" s="19">
        <f t="shared" si="257"/>
        <v>-4.3792465879918039</v>
      </c>
      <c r="I794" s="19">
        <f t="shared" si="258"/>
        <v>-3.1712286385969088</v>
      </c>
      <c r="J794" s="28">
        <f t="shared" si="259"/>
        <v>5.0029911282020358E-3</v>
      </c>
      <c r="K794" s="24">
        <f t="shared" si="260"/>
        <v>1048.5344543615493</v>
      </c>
      <c r="L794" s="32">
        <f t="shared" si="261"/>
        <v>0.55964596972068703</v>
      </c>
      <c r="M794" s="35">
        <f t="shared" si="262"/>
        <v>13.114948380098404</v>
      </c>
      <c r="O794" s="29">
        <f t="shared" si="263"/>
        <v>1046.5850754018486</v>
      </c>
      <c r="T794" s="48">
        <v>0.74865744212962959</v>
      </c>
      <c r="U794" s="29">
        <v>-1372.9510772055794</v>
      </c>
      <c r="V794" s="29">
        <v>4543.6601155066555</v>
      </c>
      <c r="W794" s="29">
        <v>4259.0011596339182</v>
      </c>
      <c r="X794" s="4">
        <v>-0.32671214545120947</v>
      </c>
      <c r="Y794" s="4">
        <v>-0.11541732755107532</v>
      </c>
      <c r="Z794" s="4">
        <v>-1.4436946002875126E-2</v>
      </c>
      <c r="AA794" s="3">
        <f t="shared" si="268"/>
        <v>0.34680024638724583</v>
      </c>
      <c r="AB794" s="3">
        <f t="shared" si="271"/>
        <v>3.0355627943182265E-3</v>
      </c>
      <c r="AC794" s="3">
        <f t="shared" si="269"/>
        <v>2.1562110522693655E-2</v>
      </c>
      <c r="AD794" s="48"/>
      <c r="AE794" s="46">
        <f t="shared" si="264"/>
        <v>42.092147909074171</v>
      </c>
      <c r="AF794" s="46">
        <f t="shared" si="265"/>
        <v>-248.53982756846966</v>
      </c>
      <c r="AG794" s="47">
        <f t="shared" si="266"/>
        <v>8649.3675823612648</v>
      </c>
      <c r="AH794" s="45" t="str">
        <f t="shared" si="270"/>
        <v>-248.53983,42.09215,08649</v>
      </c>
      <c r="AI794" s="44">
        <f t="shared" si="272"/>
        <v>1021.3491790087645</v>
      </c>
    </row>
    <row r="795" spans="1:35" ht="18" customHeight="1" x14ac:dyDescent="0.25">
      <c r="A795" s="36">
        <f t="shared" si="267"/>
        <v>0.74866902777777777</v>
      </c>
      <c r="B795" s="42">
        <f t="shared" si="252"/>
        <v>42.092147905728666</v>
      </c>
      <c r="C795" s="43">
        <f t="shared" si="253"/>
        <v>111.46017273231291</v>
      </c>
      <c r="D795" s="18">
        <f t="shared" si="254"/>
        <v>8.6278229402623765</v>
      </c>
      <c r="E795" s="21" t="str">
        <f t="shared" si="255"/>
        <v>Umbra</v>
      </c>
      <c r="F795" s="23">
        <f>IF($E795&lt;&gt;"Umbra",fracil2($S$2,$S$3,$S$4,$A795,$Q$2,$O$3,$Q$4,$U795,$V795,$W795),0)</f>
        <v>0</v>
      </c>
      <c r="G795" s="19">
        <f t="shared" si="256"/>
        <v>69.300801925912936</v>
      </c>
      <c r="H795" s="19">
        <f t="shared" si="257"/>
        <v>-4.380419319610354</v>
      </c>
      <c r="I795" s="19">
        <f t="shared" si="258"/>
        <v>-3.172401370215459</v>
      </c>
      <c r="J795" s="28">
        <f t="shared" si="259"/>
        <v>5.0016495730859836E-3</v>
      </c>
      <c r="K795" s="24">
        <f t="shared" si="260"/>
        <v>1048.5325638076163</v>
      </c>
      <c r="L795" s="32">
        <f t="shared" si="261"/>
        <v>0.55966007262947348</v>
      </c>
      <c r="M795" s="35">
        <f t="shared" si="262"/>
        <v>13.114158482671533</v>
      </c>
      <c r="O795" s="29">
        <f t="shared" si="263"/>
        <v>1046.5850995020794</v>
      </c>
      <c r="T795" s="48">
        <v>0.74866902777777777</v>
      </c>
      <c r="U795" s="29">
        <v>-1373.2781322072424</v>
      </c>
      <c r="V795" s="29">
        <v>4543.544575306496</v>
      </c>
      <c r="W795" s="29">
        <v>4258.9867174463143</v>
      </c>
      <c r="X795" s="4">
        <v>-0.32670896774304842</v>
      </c>
      <c r="Y795" s="4">
        <v>-0.11541972839720603</v>
      </c>
      <c r="Z795" s="4">
        <v>-1.4417026902666932E-2</v>
      </c>
      <c r="AA795" s="3">
        <f t="shared" si="268"/>
        <v>0.34679722313150851</v>
      </c>
      <c r="AB795" s="3">
        <f t="shared" si="271"/>
        <v>3.023754747284866E-3</v>
      </c>
      <c r="AC795" s="3">
        <f t="shared" si="269"/>
        <v>2.153242993270264E-2</v>
      </c>
      <c r="AD795" s="48"/>
      <c r="AE795" s="46">
        <f t="shared" si="264"/>
        <v>42.092147905728666</v>
      </c>
      <c r="AF795" s="46">
        <f t="shared" si="265"/>
        <v>-248.53982726768709</v>
      </c>
      <c r="AG795" s="47">
        <f t="shared" si="266"/>
        <v>8627.8229402623765</v>
      </c>
      <c r="AH795" s="45" t="str">
        <f t="shared" si="270"/>
        <v>-248.53983,42.09215,08628</v>
      </c>
      <c r="AI795" s="44">
        <f t="shared" si="272"/>
        <v>1021.3491790087645</v>
      </c>
    </row>
    <row r="796" spans="1:35" ht="18" customHeight="1" x14ac:dyDescent="0.25">
      <c r="A796" s="36">
        <f t="shared" si="267"/>
        <v>0.74868069444444441</v>
      </c>
      <c r="B796" s="42">
        <f t="shared" si="252"/>
        <v>42.092147902366662</v>
      </c>
      <c r="C796" s="43">
        <f t="shared" si="253"/>
        <v>111.46017318261492</v>
      </c>
      <c r="D796" s="18">
        <f t="shared" si="254"/>
        <v>8.6061568755994813</v>
      </c>
      <c r="E796" s="21" t="str">
        <f t="shared" si="255"/>
        <v>Umbra</v>
      </c>
      <c r="F796" s="23">
        <f>IF($E796&lt;&gt;"Umbra",fracil2($S$2,$S$3,$S$4,$A796,$Q$2,$O$3,$Q$4,$U796,$V796,$W796),0)</f>
        <v>0</v>
      </c>
      <c r="G796" s="19">
        <f t="shared" si="256"/>
        <v>69.300806263943088</v>
      </c>
      <c r="H796" s="19">
        <f t="shared" si="257"/>
        <v>-4.3815987222932797</v>
      </c>
      <c r="I796" s="19">
        <f t="shared" si="258"/>
        <v>-3.1735807728983847</v>
      </c>
      <c r="J796" s="28">
        <f t="shared" si="259"/>
        <v>5.0003041796797308E-3</v>
      </c>
      <c r="K796" s="24">
        <f t="shared" si="260"/>
        <v>1048.5306749297642</v>
      </c>
      <c r="L796" s="32">
        <f t="shared" si="261"/>
        <v>0.55967427062184705</v>
      </c>
      <c r="M796" s="35">
        <f t="shared" si="262"/>
        <v>13.113363972465796</v>
      </c>
      <c r="O796" s="29">
        <f t="shared" si="263"/>
        <v>1046.5851356237554</v>
      </c>
      <c r="T796" s="48">
        <v>0.74868069444444441</v>
      </c>
      <c r="U796" s="29">
        <v>-1373.6074826225706</v>
      </c>
      <c r="V796" s="29">
        <v>4543.4282205831496</v>
      </c>
      <c r="W796" s="29">
        <v>4258.9721938647745</v>
      </c>
      <c r="X796" s="4">
        <v>-0.32670574499871913</v>
      </c>
      <c r="Y796" s="4">
        <v>-0.11542223190753574</v>
      </c>
      <c r="Z796" s="4">
        <v>-1.439704816113525E-2</v>
      </c>
      <c r="AA796" s="3">
        <f t="shared" si="268"/>
        <v>0.34679419030519976</v>
      </c>
      <c r="AB796" s="3">
        <f t="shared" si="271"/>
        <v>3.0117376133305643E-3</v>
      </c>
      <c r="AC796" s="3">
        <f t="shared" si="269"/>
        <v>2.1502660568874118E-2</v>
      </c>
      <c r="AD796" s="48"/>
      <c r="AE796" s="46">
        <f t="shared" si="264"/>
        <v>42.092147902366662</v>
      </c>
      <c r="AF796" s="46">
        <f t="shared" si="265"/>
        <v>-248.53982681738506</v>
      </c>
      <c r="AG796" s="47">
        <f t="shared" si="266"/>
        <v>8606.1568755994813</v>
      </c>
      <c r="AH796" s="45" t="str">
        <f t="shared" si="270"/>
        <v>-248.53983,42.09215,08606</v>
      </c>
      <c r="AI796" s="44">
        <f t="shared" si="272"/>
        <v>1021.3491790087645</v>
      </c>
    </row>
    <row r="797" spans="1:35" ht="18" customHeight="1" x14ac:dyDescent="0.25">
      <c r="A797" s="36">
        <f t="shared" si="267"/>
        <v>0.74869218749999999</v>
      </c>
      <c r="B797" s="42">
        <f t="shared" si="252"/>
        <v>42.092147899063278</v>
      </c>
      <c r="C797" s="43">
        <f t="shared" si="253"/>
        <v>111.46017126861706</v>
      </c>
      <c r="D797" s="18">
        <f t="shared" si="254"/>
        <v>8.5848546434126547</v>
      </c>
      <c r="E797" s="21" t="str">
        <f t="shared" si="255"/>
        <v>Umbra</v>
      </c>
      <c r="F797" s="23">
        <f>IF($E797&lt;&gt;"Umbra",fracil2($S$2,$S$3,$S$4,$A797,$Q$2,$O$3,$Q$4,$U797,$V797,$W797),0)</f>
        <v>0</v>
      </c>
      <c r="G797" s="19">
        <f t="shared" si="256"/>
        <v>69.300808130555922</v>
      </c>
      <c r="H797" s="19">
        <f t="shared" si="257"/>
        <v>-4.3827574080094429</v>
      </c>
      <c r="I797" s="19">
        <f t="shared" si="258"/>
        <v>-3.1747394586145479</v>
      </c>
      <c r="J797" s="28">
        <f t="shared" si="259"/>
        <v>4.9989851286645513E-3</v>
      </c>
      <c r="K797" s="24">
        <f t="shared" si="260"/>
        <v>1048.5286286749183</v>
      </c>
      <c r="L797" s="32">
        <f t="shared" si="261"/>
        <v>0.55968825517366383</v>
      </c>
      <c r="M797" s="35">
        <f t="shared" si="262"/>
        <v>13.112585182701906</v>
      </c>
      <c r="O797" s="29">
        <f t="shared" si="263"/>
        <v>1046.5849816493765</v>
      </c>
      <c r="T797" s="48">
        <v>0.74869218749999999</v>
      </c>
      <c r="U797" s="29">
        <v>-1373.9317444689568</v>
      </c>
      <c r="V797" s="29">
        <v>4543.3136599449745</v>
      </c>
      <c r="W797" s="29">
        <v>4258.9579141740678</v>
      </c>
      <c r="X797" s="4">
        <v>-0.32670254998723447</v>
      </c>
      <c r="Y797" s="4">
        <v>-0.11542478002316986</v>
      </c>
      <c r="Z797" s="4">
        <v>-1.4377455891764567E-2</v>
      </c>
      <c r="AA797" s="3">
        <f t="shared" si="268"/>
        <v>0.34679121564635723</v>
      </c>
      <c r="AB797" s="3">
        <f t="shared" si="271"/>
        <v>2.9980829648429156E-3</v>
      </c>
      <c r="AC797" s="3">
        <f t="shared" si="269"/>
        <v>2.1473467161731655E-2</v>
      </c>
      <c r="AD797" s="48"/>
      <c r="AE797" s="46">
        <f t="shared" si="264"/>
        <v>42.092147899063278</v>
      </c>
      <c r="AF797" s="46">
        <f t="shared" si="265"/>
        <v>-248.53982873138295</v>
      </c>
      <c r="AG797" s="47">
        <f t="shared" si="266"/>
        <v>8584.8546434126547</v>
      </c>
      <c r="AH797" s="45" t="str">
        <f t="shared" si="270"/>
        <v>-248.53983,42.09215,08585</v>
      </c>
      <c r="AI797" s="44">
        <f t="shared" si="272"/>
        <v>1021.3493434415238</v>
      </c>
    </row>
    <row r="798" spans="1:35" ht="18" customHeight="1" x14ac:dyDescent="0.25">
      <c r="A798" s="36">
        <f t="shared" si="267"/>
        <v>0.74870380787037039</v>
      </c>
      <c r="B798" s="42">
        <f t="shared" si="252"/>
        <v>42.092147895729518</v>
      </c>
      <c r="C798" s="43">
        <f t="shared" si="253"/>
        <v>111.46017010704705</v>
      </c>
      <c r="D798" s="18">
        <f t="shared" si="254"/>
        <v>8.5633419028572462</v>
      </c>
      <c r="E798" s="21" t="str">
        <f t="shared" si="255"/>
        <v>Umbra</v>
      </c>
      <c r="F798" s="23">
        <f>IF($E798&lt;&gt;"Umbra",fracil2($S$2,$S$3,$S$4,$A798,$Q$2,$O$3,$Q$4,$U798,$V798,$W798),0)</f>
        <v>0</v>
      </c>
      <c r="G798" s="19">
        <f t="shared" si="256"/>
        <v>69.300810800664834</v>
      </c>
      <c r="H798" s="19">
        <f t="shared" si="257"/>
        <v>-4.3839278480725135</v>
      </c>
      <c r="I798" s="19">
        <f t="shared" si="258"/>
        <v>-3.1759098986776184</v>
      </c>
      <c r="J798" s="28">
        <f t="shared" si="259"/>
        <v>4.9976566157037662E-3</v>
      </c>
      <c r="K798" s="24">
        <f t="shared" si="260"/>
        <v>1048.5266246666949</v>
      </c>
      <c r="L798" s="32">
        <f t="shared" si="261"/>
        <v>0.55970239084196793</v>
      </c>
      <c r="M798" s="35">
        <f t="shared" si="262"/>
        <v>13.111797903730682</v>
      </c>
      <c r="O798" s="29">
        <f t="shared" si="263"/>
        <v>1046.5848881719255</v>
      </c>
      <c r="T798" s="48">
        <v>0.74870380787037039</v>
      </c>
      <c r="U798" s="29">
        <v>-1374.2596556113999</v>
      </c>
      <c r="V798" s="29">
        <v>4543.1978062661656</v>
      </c>
      <c r="W798" s="29">
        <v>4258.9434933718403</v>
      </c>
      <c r="X798" s="4">
        <v>-0.32669929692481064</v>
      </c>
      <c r="Y798" s="4">
        <v>-0.11542744021699179</v>
      </c>
      <c r="Z798" s="4">
        <v>-1.4357721029073917E-2</v>
      </c>
      <c r="AA798" s="3">
        <f t="shared" si="268"/>
        <v>0.34678821883011179</v>
      </c>
      <c r="AB798" s="3">
        <f t="shared" si="271"/>
        <v>2.9868070312088282E-3</v>
      </c>
      <c r="AC798" s="3">
        <f t="shared" si="269"/>
        <v>2.1444061377464577E-2</v>
      </c>
      <c r="AD798" s="48"/>
      <c r="AE798" s="46">
        <f t="shared" si="264"/>
        <v>42.092147895729518</v>
      </c>
      <c r="AF798" s="46">
        <f t="shared" si="265"/>
        <v>-248.53982989295295</v>
      </c>
      <c r="AG798" s="47">
        <f t="shared" si="266"/>
        <v>8563.3419028572462</v>
      </c>
      <c r="AH798" s="45" t="str">
        <f t="shared" si="270"/>
        <v>-248.53983,42.09215,08563</v>
      </c>
      <c r="AI798" s="44">
        <f t="shared" si="272"/>
        <v>1021.3493434415238</v>
      </c>
    </row>
    <row r="799" spans="1:35" ht="18" customHeight="1" x14ac:dyDescent="0.25">
      <c r="A799" s="36">
        <f t="shared" si="267"/>
        <v>0.74871534722222222</v>
      </c>
      <c r="B799" s="42">
        <f t="shared" si="252"/>
        <v>42.092147892424904</v>
      </c>
      <c r="C799" s="43">
        <f t="shared" si="253"/>
        <v>111.46017030048488</v>
      </c>
      <c r="D799" s="18">
        <f t="shared" si="254"/>
        <v>8.5420014373812592</v>
      </c>
      <c r="E799" s="21" t="str">
        <f t="shared" si="255"/>
        <v>Umbra</v>
      </c>
      <c r="F799" s="23">
        <f>IF($E799&lt;&gt;"Umbra",fracil2($S$2,$S$3,$S$4,$A799,$Q$2,$O$3,$Q$4,$U799,$V799,$W799),0)</f>
        <v>0</v>
      </c>
      <c r="G799" s="19">
        <f t="shared" si="256"/>
        <v>69.300814819002042</v>
      </c>
      <c r="H799" s="19">
        <f t="shared" si="257"/>
        <v>-4.3850894422500115</v>
      </c>
      <c r="I799" s="19">
        <f t="shared" si="258"/>
        <v>-3.1770714928551165</v>
      </c>
      <c r="J799" s="28">
        <f t="shared" si="259"/>
        <v>4.9963422565666004E-3</v>
      </c>
      <c r="K799" s="24">
        <f t="shared" si="260"/>
        <v>1048.5247453612969</v>
      </c>
      <c r="L799" s="32">
        <f t="shared" si="261"/>
        <v>0.55971642388646825</v>
      </c>
      <c r="M799" s="35">
        <f t="shared" si="262"/>
        <v>13.111015554099437</v>
      </c>
      <c r="O799" s="29">
        <f t="shared" si="263"/>
        <v>1046.5849036423065</v>
      </c>
      <c r="T799" s="48">
        <v>0.74871534722222222</v>
      </c>
      <c r="U799" s="29">
        <v>-1374.5853826100531</v>
      </c>
      <c r="V799" s="29">
        <v>4543.0827204317511</v>
      </c>
      <c r="W799" s="29">
        <v>4258.9291880523078</v>
      </c>
      <c r="X799" s="4">
        <v>-0.32669604360336391</v>
      </c>
      <c r="Y799" s="4">
        <v>-0.11543016540755474</v>
      </c>
      <c r="Z799" s="4">
        <v>-1.4338194878617351E-2</v>
      </c>
      <c r="AA799" s="3">
        <f t="shared" si="268"/>
        <v>0.34678525318197095</v>
      </c>
      <c r="AB799" s="3">
        <f t="shared" si="271"/>
        <v>2.9759583864522035E-3</v>
      </c>
      <c r="AC799" s="3">
        <f t="shared" si="269"/>
        <v>2.1414966676270894E-2</v>
      </c>
      <c r="AD799" s="48"/>
      <c r="AE799" s="46">
        <f t="shared" si="264"/>
        <v>42.092147892424904</v>
      </c>
      <c r="AF799" s="46">
        <f t="shared" si="265"/>
        <v>-248.53982969951511</v>
      </c>
      <c r="AG799" s="47">
        <f t="shared" si="266"/>
        <v>8542.0014373812592</v>
      </c>
      <c r="AH799" s="45" t="str">
        <f t="shared" si="270"/>
        <v>-248.53983,42.09215,08542</v>
      </c>
      <c r="AI799" s="44">
        <f t="shared" si="272"/>
        <v>1021.3493434415238</v>
      </c>
    </row>
    <row r="800" spans="1:35" ht="18" customHeight="1" x14ac:dyDescent="0.25">
      <c r="A800" s="36">
        <f t="shared" si="267"/>
        <v>0.74872699074074067</v>
      </c>
      <c r="B800" s="42">
        <f t="shared" si="252"/>
        <v>42.092147889097504</v>
      </c>
      <c r="C800" s="43">
        <f t="shared" si="253"/>
        <v>111.46017007691717</v>
      </c>
      <c r="D800" s="18">
        <f t="shared" si="254"/>
        <v>8.5204998479384813</v>
      </c>
      <c r="E800" s="21" t="str">
        <f t="shared" si="255"/>
        <v>Umbra</v>
      </c>
      <c r="F800" s="23">
        <f>IF($E800&lt;&gt;"Umbra",fracil2($S$2,$S$3,$S$4,$A800,$Q$2,$O$3,$Q$4,$U800,$V800,$W800),0)</f>
        <v>0</v>
      </c>
      <c r="G800" s="19">
        <f t="shared" si="256"/>
        <v>69.300818441795428</v>
      </c>
      <c r="H800" s="19">
        <f t="shared" si="257"/>
        <v>-4.3862596483798759</v>
      </c>
      <c r="I800" s="19">
        <f t="shared" si="258"/>
        <v>-3.1782416989849809</v>
      </c>
      <c r="J800" s="28">
        <f t="shared" si="259"/>
        <v>4.9950216041538828E-3</v>
      </c>
      <c r="K800" s="24">
        <f t="shared" si="260"/>
        <v>1048.522818649679</v>
      </c>
      <c r="L800" s="32">
        <f t="shared" si="261"/>
        <v>0.55973058043653245</v>
      </c>
      <c r="M800" s="35">
        <f t="shared" si="262"/>
        <v>13.110227710779466</v>
      </c>
      <c r="O800" s="29">
        <f t="shared" si="263"/>
        <v>1046.5848855835</v>
      </c>
      <c r="T800" s="48">
        <v>0.74872699074074067</v>
      </c>
      <c r="U800" s="29">
        <v>-1374.9140139460537</v>
      </c>
      <c r="V800" s="29">
        <v>4542.9666044766282</v>
      </c>
      <c r="W800" s="29">
        <v>4258.9147747254792</v>
      </c>
      <c r="X800" s="4">
        <v>-0.3266927392525244</v>
      </c>
      <c r="Y800" s="4">
        <v>-0.11543299793757975</v>
      </c>
      <c r="Z800" s="4">
        <v>-1.4318572189674592E-2</v>
      </c>
      <c r="AA800" s="3">
        <f t="shared" si="268"/>
        <v>0.34678227233053038</v>
      </c>
      <c r="AB800" s="3">
        <f t="shared" si="271"/>
        <v>2.9639067082366881E-3</v>
      </c>
      <c r="AC800" s="3">
        <f t="shared" si="269"/>
        <v>2.1385728222674996E-2</v>
      </c>
      <c r="AD800" s="48"/>
      <c r="AE800" s="46">
        <f t="shared" si="264"/>
        <v>42.092147889097504</v>
      </c>
      <c r="AF800" s="46">
        <f t="shared" si="265"/>
        <v>-248.53982992308283</v>
      </c>
      <c r="AG800" s="47">
        <f t="shared" si="266"/>
        <v>8520.4998479384813</v>
      </c>
      <c r="AH800" s="45" t="str">
        <f t="shared" si="270"/>
        <v>-248.53983,42.09215,08520</v>
      </c>
      <c r="AI800" s="44">
        <f t="shared" si="272"/>
        <v>1021.3493434415238</v>
      </c>
    </row>
    <row r="801" spans="1:35" ht="18" customHeight="1" x14ac:dyDescent="0.25">
      <c r="A801" s="36">
        <f t="shared" si="267"/>
        <v>0.74873842592592599</v>
      </c>
      <c r="B801" s="42">
        <f t="shared" si="252"/>
        <v>42.092147885835075</v>
      </c>
      <c r="C801" s="43">
        <f t="shared" si="253"/>
        <v>111.46017150712305</v>
      </c>
      <c r="D801" s="18">
        <f t="shared" si="254"/>
        <v>8.4994031594997068</v>
      </c>
      <c r="E801" s="21" t="str">
        <f t="shared" si="255"/>
        <v>Umbra</v>
      </c>
      <c r="F801" s="23">
        <f>IF($E801&lt;&gt;"Umbra",fracil2($S$2,$S$3,$S$4,$A801,$Q$2,$O$3,$Q$4,$U801,$V801,$W801),0)</f>
        <v>0</v>
      </c>
      <c r="G801" s="19">
        <f t="shared" si="256"/>
        <v>69.30082367522941</v>
      </c>
      <c r="H801" s="19">
        <f t="shared" si="257"/>
        <v>-4.3874084626360812</v>
      </c>
      <c r="I801" s="19">
        <f t="shared" si="258"/>
        <v>-3.1793905132411862</v>
      </c>
      <c r="J801" s="28">
        <f t="shared" si="259"/>
        <v>4.9937291677974458E-3</v>
      </c>
      <c r="K801" s="24">
        <f t="shared" si="260"/>
        <v>1048.5210613031072</v>
      </c>
      <c r="L801" s="32">
        <f t="shared" si="261"/>
        <v>0.55974447952546769</v>
      </c>
      <c r="M801" s="35">
        <f t="shared" si="262"/>
        <v>13.109453020763262</v>
      </c>
      <c r="O801" s="29">
        <f t="shared" si="263"/>
        <v>1046.5850004951708</v>
      </c>
      <c r="T801" s="48">
        <v>0.74873842592592599</v>
      </c>
      <c r="U801" s="29">
        <v>-1375.2368909626659</v>
      </c>
      <c r="V801" s="29">
        <v>4542.8525177438869</v>
      </c>
      <c r="W801" s="29">
        <v>4258.9006328192663</v>
      </c>
      <c r="X801" s="4">
        <v>-0.32668947165567808</v>
      </c>
      <c r="Y801" s="4">
        <v>-0.11543586057157339</v>
      </c>
      <c r="Z801" s="4">
        <v>-1.4299367530280353E-2</v>
      </c>
      <c r="AA801" s="3">
        <f t="shared" si="268"/>
        <v>0.34677935450129072</v>
      </c>
      <c r="AB801" s="3">
        <f t="shared" si="271"/>
        <v>2.9536040218764762E-3</v>
      </c>
      <c r="AC801" s="3">
        <f t="shared" si="269"/>
        <v>2.1357112738128611E-2</v>
      </c>
      <c r="AD801" s="48"/>
      <c r="AE801" s="46">
        <f t="shared" si="264"/>
        <v>42.092147885835075</v>
      </c>
      <c r="AF801" s="46">
        <f t="shared" si="265"/>
        <v>-248.53982849287695</v>
      </c>
      <c r="AG801" s="47">
        <f t="shared" si="266"/>
        <v>8499.4031594997068</v>
      </c>
      <c r="AH801" s="45" t="str">
        <f t="shared" si="270"/>
        <v>-248.53983,42.09215,08499</v>
      </c>
      <c r="AI801" s="44">
        <f t="shared" si="272"/>
        <v>1021.3494777003089</v>
      </c>
    </row>
    <row r="802" spans="1:35" ht="18" customHeight="1" x14ac:dyDescent="0.25">
      <c r="A802" s="36">
        <f t="shared" si="267"/>
        <v>0.74875006944444455</v>
      </c>
      <c r="B802" s="42">
        <f t="shared" si="252"/>
        <v>42.092147882521687</v>
      </c>
      <c r="C802" s="43">
        <f t="shared" si="253"/>
        <v>111.46017066679185</v>
      </c>
      <c r="D802" s="18">
        <f t="shared" si="254"/>
        <v>8.4779628628612045</v>
      </c>
      <c r="E802" s="21" t="str">
        <f t="shared" si="255"/>
        <v>Umbra</v>
      </c>
      <c r="F802" s="23">
        <f>IF($E802&lt;&gt;"Umbra",fracil2($S$2,$S$3,$S$4,$A802,$Q$2,$O$3,$Q$4,$U802,$V802,$W802),0)</f>
        <v>0</v>
      </c>
      <c r="G802" s="19">
        <f t="shared" si="256"/>
        <v>69.300826659357497</v>
      </c>
      <c r="H802" s="19">
        <f t="shared" si="257"/>
        <v>-4.3885751016831209</v>
      </c>
      <c r="I802" s="19">
        <f t="shared" si="258"/>
        <v>-3.1805571522882259</v>
      </c>
      <c r="J802" s="28">
        <f t="shared" si="259"/>
        <v>4.9924194014173522E-3</v>
      </c>
      <c r="K802" s="24">
        <f t="shared" si="260"/>
        <v>1048.5190912962689</v>
      </c>
      <c r="L802" s="32">
        <f t="shared" si="261"/>
        <v>0.55975862968785683</v>
      </c>
      <c r="M802" s="35">
        <f t="shared" si="262"/>
        <v>13.108668027230827</v>
      </c>
      <c r="O802" s="29">
        <f t="shared" si="263"/>
        <v>1046.5849328468901</v>
      </c>
      <c r="T802" s="48">
        <v>0.74875006944444455</v>
      </c>
      <c r="U802" s="29">
        <v>-1375.5654674702444</v>
      </c>
      <c r="V802" s="29">
        <v>4542.7364130082551</v>
      </c>
      <c r="W802" s="29">
        <v>4258.8862605796949</v>
      </c>
      <c r="X802" s="4">
        <v>-0.32668612450583412</v>
      </c>
      <c r="Y802" s="4">
        <v>-0.11543885606498641</v>
      </c>
      <c r="Z802" s="4">
        <v>-1.4279900773034706E-2</v>
      </c>
      <c r="AA802" s="3">
        <f t="shared" si="268"/>
        <v>0.34677639625603374</v>
      </c>
      <c r="AB802" s="3">
        <f t="shared" si="271"/>
        <v>2.9403352716805514E-3</v>
      </c>
      <c r="AC802" s="3">
        <f t="shared" si="269"/>
        <v>2.1328106812888346E-2</v>
      </c>
      <c r="AD802" s="48"/>
      <c r="AE802" s="46">
        <f t="shared" si="264"/>
        <v>42.092147882521687</v>
      </c>
      <c r="AF802" s="46">
        <f t="shared" si="265"/>
        <v>-248.53982933320816</v>
      </c>
      <c r="AG802" s="47">
        <f t="shared" si="266"/>
        <v>8477.9628628612045</v>
      </c>
      <c r="AH802" s="45" t="str">
        <f t="shared" si="270"/>
        <v>-248.53983,42.09215,08478</v>
      </c>
      <c r="AI802" s="44">
        <f t="shared" si="272"/>
        <v>1021.3494777003089</v>
      </c>
    </row>
    <row r="803" spans="1:35" ht="18" customHeight="1" x14ac:dyDescent="0.25">
      <c r="A803" s="36">
        <f t="shared" si="267"/>
        <v>0.74876156250000003</v>
      </c>
      <c r="B803" s="42">
        <f t="shared" si="252"/>
        <v>42.092147879255101</v>
      </c>
      <c r="C803" s="43">
        <f t="shared" si="253"/>
        <v>111.4601735357768</v>
      </c>
      <c r="D803" s="18">
        <f t="shared" si="254"/>
        <v>8.4568093832695013</v>
      </c>
      <c r="E803" s="21" t="str">
        <f t="shared" si="255"/>
        <v>Umbra</v>
      </c>
      <c r="F803" s="23">
        <f>IF($E803&lt;&gt;"Umbra",fracil2($S$2,$S$3,$S$4,$A803,$Q$2,$O$3,$Q$4,$U803,$V803,$W803),0)</f>
        <v>0</v>
      </c>
      <c r="G803" s="19">
        <f t="shared" si="256"/>
        <v>69.300833367305643</v>
      </c>
      <c r="H803" s="19">
        <f t="shared" si="257"/>
        <v>-4.3897275732419381</v>
      </c>
      <c r="I803" s="19">
        <f t="shared" si="258"/>
        <v>-3.181709623847043</v>
      </c>
      <c r="J803" s="28">
        <f t="shared" si="259"/>
        <v>4.9911303887951461E-3</v>
      </c>
      <c r="K803" s="24">
        <f t="shared" si="260"/>
        <v>1048.5174454669302</v>
      </c>
      <c r="L803" s="32">
        <f t="shared" si="261"/>
        <v>0.559772591756445</v>
      </c>
      <c r="M803" s="35">
        <f t="shared" si="262"/>
        <v>13.107889776220368</v>
      </c>
      <c r="O803" s="29">
        <f t="shared" si="263"/>
        <v>1046.585163441051</v>
      </c>
      <c r="T803" s="48">
        <v>0.74876156250000003</v>
      </c>
      <c r="U803" s="29">
        <v>-1375.8900838379752</v>
      </c>
      <c r="V803" s="29">
        <v>4542.6217034440897</v>
      </c>
      <c r="W803" s="29">
        <v>4258.8720806046149</v>
      </c>
      <c r="X803" s="4">
        <v>-0.32668279659305538</v>
      </c>
      <c r="Y803" s="4">
        <v>-0.11544189506211865</v>
      </c>
      <c r="Z803" s="4">
        <v>-1.4260742988139435E-2</v>
      </c>
      <c r="AA803" s="3">
        <f t="shared" si="268"/>
        <v>0.34677348444765294</v>
      </c>
      <c r="AB803" s="3">
        <f t="shared" si="271"/>
        <v>2.9315403495205703E-3</v>
      </c>
      <c r="AC803" s="3">
        <f t="shared" si="269"/>
        <v>2.1299561355013812E-2</v>
      </c>
      <c r="AD803" s="48"/>
      <c r="AE803" s="46">
        <f t="shared" si="264"/>
        <v>42.092147879255101</v>
      </c>
      <c r="AF803" s="46">
        <f t="shared" si="265"/>
        <v>-248.53982646422321</v>
      </c>
      <c r="AG803" s="47">
        <f t="shared" si="266"/>
        <v>8456.8093832695013</v>
      </c>
      <c r="AH803" s="45" t="str">
        <f t="shared" si="270"/>
        <v>-248.53983,42.09215,08457</v>
      </c>
      <c r="AI803" s="44">
        <f t="shared" si="272"/>
        <v>1021.3497102433474</v>
      </c>
    </row>
    <row r="804" spans="1:35" ht="18" customHeight="1" x14ac:dyDescent="0.25">
      <c r="A804" s="36">
        <f t="shared" si="267"/>
        <v>0.74877325231481484</v>
      </c>
      <c r="B804" s="42">
        <f t="shared" si="252"/>
        <v>42.092147875941208</v>
      </c>
      <c r="C804" s="43">
        <f t="shared" si="253"/>
        <v>111.46017381484151</v>
      </c>
      <c r="D804" s="18">
        <f t="shared" si="254"/>
        <v>8.4353362527735953</v>
      </c>
      <c r="E804" s="21" t="str">
        <f t="shared" si="255"/>
        <v>Umbra</v>
      </c>
      <c r="F804" s="23">
        <f>IF($E804&lt;&gt;"Umbra",fracil2($S$2,$S$3,$S$4,$A804,$Q$2,$O$3,$Q$4,$U804,$V804,$W804),0)</f>
        <v>0</v>
      </c>
      <c r="G804" s="19">
        <f t="shared" si="256"/>
        <v>69.300837496606434</v>
      </c>
      <c r="H804" s="19">
        <f t="shared" si="257"/>
        <v>-4.3908964420231174</v>
      </c>
      <c r="I804" s="19">
        <f t="shared" si="258"/>
        <v>-3.1828784926282223</v>
      </c>
      <c r="J804" s="28">
        <f t="shared" si="259"/>
        <v>4.9898255627995334E-3</v>
      </c>
      <c r="K804" s="24">
        <f t="shared" si="260"/>
        <v>1048.5155634336322</v>
      </c>
      <c r="L804" s="32">
        <f t="shared" si="261"/>
        <v>0.55978679088401162</v>
      </c>
      <c r="M804" s="35">
        <f t="shared" si="262"/>
        <v>13.107102422966888</v>
      </c>
      <c r="O804" s="29">
        <f t="shared" si="263"/>
        <v>1046.5851857958869</v>
      </c>
      <c r="T804" s="48">
        <v>0.74877325231481484</v>
      </c>
      <c r="U804" s="29">
        <v>-1376.2200478569912</v>
      </c>
      <c r="V804" s="29">
        <v>4542.5050998460038</v>
      </c>
      <c r="W804" s="29">
        <v>4258.8576863556527</v>
      </c>
      <c r="X804" s="4">
        <v>-0.32667939233709981</v>
      </c>
      <c r="Y804" s="4">
        <v>-0.11544506520059836</v>
      </c>
      <c r="Z804" s="4">
        <v>-1.4241345332114108E-2</v>
      </c>
      <c r="AA804" s="3">
        <f t="shared" si="268"/>
        <v>0.34677053561941462</v>
      </c>
      <c r="AB804" s="3">
        <f t="shared" si="271"/>
        <v>2.9182757057738197E-3</v>
      </c>
      <c r="AC804" s="3">
        <f t="shared" si="269"/>
        <v>2.1270658577327302E-2</v>
      </c>
      <c r="AD804" s="48"/>
      <c r="AE804" s="46">
        <f t="shared" si="264"/>
        <v>42.092147875941208</v>
      </c>
      <c r="AF804" s="46">
        <f t="shared" si="265"/>
        <v>-248.53982618515849</v>
      </c>
      <c r="AG804" s="47">
        <f t="shared" si="266"/>
        <v>8435.3362527735953</v>
      </c>
      <c r="AH804" s="45" t="str">
        <f t="shared" si="270"/>
        <v>-248.53983,42.09215,08435</v>
      </c>
      <c r="AI804" s="44">
        <f t="shared" si="272"/>
        <v>1021.3497102433474</v>
      </c>
    </row>
    <row r="805" spans="1:35" ht="18" customHeight="1" x14ac:dyDescent="0.25">
      <c r="A805" s="36">
        <f t="shared" si="267"/>
        <v>0.74878471064814811</v>
      </c>
      <c r="B805" s="42">
        <f t="shared" si="252"/>
        <v>42.092147872700558</v>
      </c>
      <c r="C805" s="43">
        <f t="shared" si="253"/>
        <v>111.4601730061261</v>
      </c>
      <c r="D805" s="18">
        <f t="shared" si="254"/>
        <v>8.4143221373260531</v>
      </c>
      <c r="E805" s="21" t="str">
        <f t="shared" si="255"/>
        <v>Umbra</v>
      </c>
      <c r="F805" s="23">
        <f>IF($E805&lt;&gt;"Umbra",fracil2($S$2,$S$3,$S$4,$A805,$Q$2,$O$3,$Q$4,$U805,$V805,$W805),0)</f>
        <v>0</v>
      </c>
      <c r="G805" s="19">
        <f t="shared" si="256"/>
        <v>69.300840436628931</v>
      </c>
      <c r="H805" s="19">
        <f t="shared" si="257"/>
        <v>-4.3920399092680178</v>
      </c>
      <c r="I805" s="19">
        <f t="shared" si="258"/>
        <v>-3.1840219598731228</v>
      </c>
      <c r="J805" s="28">
        <f t="shared" si="259"/>
        <v>4.9885521412644891E-3</v>
      </c>
      <c r="K805" s="24">
        <f t="shared" si="260"/>
        <v>1048.5136350548466</v>
      </c>
      <c r="L805" s="32">
        <f t="shared" si="261"/>
        <v>0.55980070614356048</v>
      </c>
      <c r="M805" s="35">
        <f t="shared" si="262"/>
        <v>13.106332985946997</v>
      </c>
      <c r="O805" s="29">
        <f t="shared" si="263"/>
        <v>1046.5851206914372</v>
      </c>
      <c r="T805" s="48">
        <v>0.74878471064814811</v>
      </c>
      <c r="U805" s="29">
        <v>-1376.5433899832783</v>
      </c>
      <c r="V805" s="29">
        <v>4542.3908319821803</v>
      </c>
      <c r="W805" s="29">
        <v>4258.8435998019841</v>
      </c>
      <c r="X805" s="4">
        <v>-0.32667603531539147</v>
      </c>
      <c r="Y805" s="4">
        <v>-0.11544825105393057</v>
      </c>
      <c r="Z805" s="4">
        <v>-1.4222411065291639E-2</v>
      </c>
      <c r="AA805" s="3">
        <f t="shared" si="268"/>
        <v>0.34676765664822951</v>
      </c>
      <c r="AB805" s="3">
        <f t="shared" si="271"/>
        <v>2.9060986183454523E-3</v>
      </c>
      <c r="AC805" s="3">
        <f t="shared" si="269"/>
        <v>2.1242446346306478E-2</v>
      </c>
      <c r="AD805" s="48"/>
      <c r="AE805" s="46">
        <f t="shared" si="264"/>
        <v>42.092147872700558</v>
      </c>
      <c r="AF805" s="46">
        <f t="shared" si="265"/>
        <v>-248.5398269938739</v>
      </c>
      <c r="AG805" s="47">
        <f t="shared" si="266"/>
        <v>8414.3221373260531</v>
      </c>
      <c r="AH805" s="45" t="str">
        <f t="shared" si="270"/>
        <v>-248.53983,42.09215,08414</v>
      </c>
      <c r="AI805" s="44">
        <f t="shared" si="272"/>
        <v>1021.3497102433474</v>
      </c>
    </row>
    <row r="806" spans="1:35" ht="18" customHeight="1" x14ac:dyDescent="0.25">
      <c r="A806" s="36">
        <f t="shared" si="267"/>
        <v>0.74879645833333341</v>
      </c>
      <c r="B806" s="42">
        <f t="shared" si="252"/>
        <v>42.092147869384185</v>
      </c>
      <c r="C806" s="43">
        <f t="shared" si="253"/>
        <v>111.46017278793659</v>
      </c>
      <c r="D806" s="18">
        <f t="shared" si="254"/>
        <v>8.392803233320592</v>
      </c>
      <c r="E806" s="21" t="str">
        <f t="shared" si="255"/>
        <v>Umbra</v>
      </c>
      <c r="F806" s="23">
        <f>IF($E806&lt;&gt;"Umbra",fracil2($S$2,$S$3,$S$4,$A806,$Q$2,$O$3,$Q$4,$U806,$V806,$W806),0)</f>
        <v>0</v>
      </c>
      <c r="G806" s="19">
        <f t="shared" si="256"/>
        <v>69.300844068068898</v>
      </c>
      <c r="H806" s="19">
        <f t="shared" si="257"/>
        <v>-4.3932110850675796</v>
      </c>
      <c r="I806" s="19">
        <f t="shared" si="258"/>
        <v>-3.1851931356726846</v>
      </c>
      <c r="J806" s="28">
        <f t="shared" si="259"/>
        <v>4.9872515625263118E-3</v>
      </c>
      <c r="K806" s="24">
        <f t="shared" si="260"/>
        <v>1048.5117098388043</v>
      </c>
      <c r="L806" s="32">
        <f t="shared" si="261"/>
        <v>0.55981496913345119</v>
      </c>
      <c r="M806" s="35">
        <f t="shared" si="262"/>
        <v>13.105544436857246</v>
      </c>
      <c r="O806" s="29">
        <f t="shared" si="263"/>
        <v>1046.5851030653228</v>
      </c>
      <c r="T806" s="48">
        <v>0.74879645833333341</v>
      </c>
      <c r="U806" s="29">
        <v>-1376.8749416363842</v>
      </c>
      <c r="V806" s="29">
        <v>4542.2736583662399</v>
      </c>
      <c r="W806" s="29">
        <v>4258.8291748696938</v>
      </c>
      <c r="X806" s="4">
        <v>-0.32667257179160203</v>
      </c>
      <c r="Y806" s="4">
        <v>-0.11545159792203664</v>
      </c>
      <c r="Z806" s="4">
        <v>-1.4203070903024856E-2</v>
      </c>
      <c r="AA806" s="3">
        <f t="shared" si="268"/>
        <v>0.34676471540046766</v>
      </c>
      <c r="AB806" s="3">
        <f t="shared" si="271"/>
        <v>2.8952743807792673E-3</v>
      </c>
      <c r="AC806" s="3">
        <f t="shared" si="269"/>
        <v>2.1213629419819597E-2</v>
      </c>
      <c r="AD806" s="48"/>
      <c r="AE806" s="46">
        <f t="shared" si="264"/>
        <v>42.092147869384185</v>
      </c>
      <c r="AF806" s="46">
        <f t="shared" si="265"/>
        <v>-248.53982721206341</v>
      </c>
      <c r="AG806" s="47">
        <f t="shared" si="266"/>
        <v>8392.803233320592</v>
      </c>
      <c r="AH806" s="45" t="str">
        <f t="shared" si="270"/>
        <v>-248.53983,42.09215,08393</v>
      </c>
      <c r="AI806" s="44">
        <f t="shared" si="272"/>
        <v>1021.3497102433474</v>
      </c>
    </row>
    <row r="807" spans="1:35" ht="18" customHeight="1" x14ac:dyDescent="0.25">
      <c r="A807" s="36">
        <f t="shared" si="267"/>
        <v>0.74880796296296293</v>
      </c>
      <c r="B807" s="42">
        <f t="shared" si="252"/>
        <v>42.092147866144295</v>
      </c>
      <c r="C807" s="43">
        <f t="shared" si="253"/>
        <v>111.46017076674732</v>
      </c>
      <c r="D807" s="18">
        <f t="shared" si="254"/>
        <v>8.3717670232426826</v>
      </c>
      <c r="E807" s="21" t="str">
        <f t="shared" si="255"/>
        <v>Umbra</v>
      </c>
      <c r="F807" s="23">
        <f>IF($E807&lt;&gt;"Umbra",fracil2($S$2,$S$3,$S$4,$A807,$Q$2,$O$3,$Q$4,$U807,$V807,$W807),0)</f>
        <v>0</v>
      </c>
      <c r="G807" s="19">
        <f t="shared" si="256"/>
        <v>69.300845778075399</v>
      </c>
      <c r="H807" s="19">
        <f t="shared" si="257"/>
        <v>-4.3943552933566981</v>
      </c>
      <c r="I807" s="19">
        <f t="shared" si="258"/>
        <v>-3.186337343961803</v>
      </c>
      <c r="J807" s="28">
        <f t="shared" si="259"/>
        <v>4.9859837204988249E-3</v>
      </c>
      <c r="K807" s="24">
        <f t="shared" si="260"/>
        <v>1048.5096828422277</v>
      </c>
      <c r="L807" s="32">
        <f t="shared" si="261"/>
        <v>0.55982893471399986</v>
      </c>
      <c r="M807" s="35">
        <f t="shared" si="262"/>
        <v>13.104775396841736</v>
      </c>
      <c r="O807" s="29">
        <f t="shared" si="263"/>
        <v>1046.5849404739974</v>
      </c>
      <c r="T807" s="48">
        <v>0.74880796296296293</v>
      </c>
      <c r="U807" s="29">
        <v>-1377.1994888755034</v>
      </c>
      <c r="V807" s="29">
        <v>4542.1589556411445</v>
      </c>
      <c r="W807" s="29">
        <v>4258.8150735055078</v>
      </c>
      <c r="X807" s="4">
        <v>-0.32666916031175564</v>
      </c>
      <c r="Y807" s="4">
        <v>-0.11545495346919153</v>
      </c>
      <c r="Z807" s="4">
        <v>-1.4184213481914643E-2</v>
      </c>
      <c r="AA807" s="3">
        <f t="shared" si="268"/>
        <v>0.34676184693743517</v>
      </c>
      <c r="AB807" s="3">
        <f t="shared" si="271"/>
        <v>2.8826384466634145E-3</v>
      </c>
      <c r="AC807" s="3">
        <f t="shared" si="269"/>
        <v>2.1185531870127554E-2</v>
      </c>
      <c r="AD807" s="48"/>
      <c r="AE807" s="46">
        <f t="shared" si="264"/>
        <v>42.092147866144295</v>
      </c>
      <c r="AF807" s="46">
        <f t="shared" si="265"/>
        <v>-248.53982923325268</v>
      </c>
      <c r="AG807" s="47">
        <f t="shared" si="266"/>
        <v>8371.7670232426826</v>
      </c>
      <c r="AH807" s="45" t="str">
        <f t="shared" si="270"/>
        <v>-248.53983,42.09215,08372</v>
      </c>
      <c r="AI807" s="44">
        <f t="shared" si="272"/>
        <v>1021.3498445021324</v>
      </c>
    </row>
    <row r="808" spans="1:35" ht="18" customHeight="1" x14ac:dyDescent="0.25">
      <c r="A808" s="36">
        <f t="shared" si="267"/>
        <v>0.74881953703703708</v>
      </c>
      <c r="B808" s="42">
        <f t="shared" si="252"/>
        <v>42.092147862887352</v>
      </c>
      <c r="C808" s="43">
        <f t="shared" si="253"/>
        <v>111.46017419272592</v>
      </c>
      <c r="D808" s="18">
        <f t="shared" si="254"/>
        <v>8.3506043701481758</v>
      </c>
      <c r="E808" s="21" t="str">
        <f t="shared" si="255"/>
        <v>Umbra</v>
      </c>
      <c r="F808" s="23">
        <f>IF($E808&lt;&gt;"Umbra",fracil2($S$2,$S$3,$S$4,$A808,$Q$2,$O$3,$Q$4,$U808,$V808,$W808),0)</f>
        <v>0</v>
      </c>
      <c r="G808" s="19">
        <f t="shared" si="256"/>
        <v>69.300853054603976</v>
      </c>
      <c r="H808" s="19">
        <f t="shared" si="257"/>
        <v>-4.3955084994897877</v>
      </c>
      <c r="I808" s="19">
        <f t="shared" si="258"/>
        <v>-3.1874905500948927</v>
      </c>
      <c r="J808" s="28">
        <f t="shared" si="259"/>
        <v>4.9847112425006794E-3</v>
      </c>
      <c r="K808" s="24">
        <f t="shared" si="260"/>
        <v>1048.5080831170317</v>
      </c>
      <c r="L808" s="32">
        <f t="shared" si="261"/>
        <v>0.55984297845569586</v>
      </c>
      <c r="M808" s="35">
        <f t="shared" si="262"/>
        <v>13.103996192332088</v>
      </c>
      <c r="O808" s="29">
        <f t="shared" si="263"/>
        <v>1046.5852158525297</v>
      </c>
      <c r="T808" s="48">
        <v>0.74881953703703708</v>
      </c>
      <c r="U808" s="29">
        <v>-1377.5264185731482</v>
      </c>
      <c r="V808" s="29">
        <v>4542.0434062751146</v>
      </c>
      <c r="W808" s="29">
        <v>4258.8008873820072</v>
      </c>
      <c r="X808" s="4">
        <v>-0.32666570348741419</v>
      </c>
      <c r="Y808" s="4">
        <v>-0.11545841022566862</v>
      </c>
      <c r="Z808" s="4">
        <v>-1.416528914213787E-2</v>
      </c>
      <c r="AA808" s="3">
        <f t="shared" si="268"/>
        <v>0.34675896779066345</v>
      </c>
      <c r="AB808" s="3">
        <f t="shared" si="271"/>
        <v>2.8755015747154522E-3</v>
      </c>
      <c r="AC808" s="3">
        <f t="shared" si="269"/>
        <v>2.1157334701685709E-2</v>
      </c>
      <c r="AD808" s="48"/>
      <c r="AE808" s="46">
        <f t="shared" si="264"/>
        <v>42.092147862887352</v>
      </c>
      <c r="AF808" s="46">
        <f t="shared" si="265"/>
        <v>-248.5398258072741</v>
      </c>
      <c r="AG808" s="47">
        <f t="shared" si="266"/>
        <v>8350.6043701481758</v>
      </c>
      <c r="AH808" s="45" t="str">
        <f t="shared" si="270"/>
        <v>-248.53983,42.09215,08351</v>
      </c>
      <c r="AI808" s="44">
        <f t="shared" si="272"/>
        <v>1021.3501447139038</v>
      </c>
    </row>
    <row r="809" spans="1:35" ht="18" customHeight="1" x14ac:dyDescent="0.25">
      <c r="A809" s="36">
        <f t="shared" si="267"/>
        <v>0.74883114583333332</v>
      </c>
      <c r="B809" s="42">
        <f t="shared" si="252"/>
        <v>42.092147859630963</v>
      </c>
      <c r="C809" s="43">
        <f t="shared" si="253"/>
        <v>111.46017284307082</v>
      </c>
      <c r="D809" s="18">
        <f t="shared" si="254"/>
        <v>8.3294307266223768</v>
      </c>
      <c r="E809" s="21" t="str">
        <f t="shared" si="255"/>
        <v>Umbra</v>
      </c>
      <c r="F809" s="23">
        <f>IF($E809&lt;&gt;"Umbra",fracil2($S$2,$S$3,$S$4,$A809,$Q$2,$O$3,$Q$4,$U809,$V809,$W809),0)</f>
        <v>0</v>
      </c>
      <c r="G809" s="19">
        <f t="shared" si="256"/>
        <v>69.300855472700462</v>
      </c>
      <c r="H809" s="19">
        <f t="shared" si="257"/>
        <v>-4.3966604568946988</v>
      </c>
      <c r="I809" s="19">
        <f t="shared" si="258"/>
        <v>-3.1886425074998037</v>
      </c>
      <c r="J809" s="28">
        <f t="shared" si="259"/>
        <v>4.9834418458964795E-3</v>
      </c>
      <c r="K809" s="24">
        <f t="shared" si="260"/>
        <v>1048.5060987908569</v>
      </c>
      <c r="L809" s="32">
        <f t="shared" si="261"/>
        <v>0.55985706359722387</v>
      </c>
      <c r="M809" s="35">
        <f t="shared" si="262"/>
        <v>13.103221412720123</v>
      </c>
      <c r="O809" s="29">
        <f t="shared" si="263"/>
        <v>1046.5851072543421</v>
      </c>
      <c r="T809" s="48">
        <v>0.74883114583333332</v>
      </c>
      <c r="U809" s="29">
        <v>-1377.853951408425</v>
      </c>
      <c r="V809" s="29">
        <v>4541.9276389987517</v>
      </c>
      <c r="W809" s="29">
        <v>4258.7866938913949</v>
      </c>
      <c r="X809" s="4">
        <v>-0.3266622191112869</v>
      </c>
      <c r="Y809" s="4">
        <v>-0.11546195279793436</v>
      </c>
      <c r="Z809" s="4">
        <v>-1.4146404101795206E-2</v>
      </c>
      <c r="AA809" s="3">
        <f t="shared" si="268"/>
        <v>0.34675609394448154</v>
      </c>
      <c r="AB809" s="3">
        <f t="shared" si="271"/>
        <v>2.8609381126704233E-3</v>
      </c>
      <c r="AC809" s="3">
        <f t="shared" si="269"/>
        <v>2.1129196179475583E-2</v>
      </c>
      <c r="AD809" s="48"/>
      <c r="AE809" s="46">
        <f t="shared" si="264"/>
        <v>42.092147859630963</v>
      </c>
      <c r="AF809" s="46">
        <f t="shared" si="265"/>
        <v>-248.53982715692916</v>
      </c>
      <c r="AG809" s="47">
        <f t="shared" si="266"/>
        <v>8329.4307266223768</v>
      </c>
      <c r="AH809" s="45" t="str">
        <f t="shared" si="270"/>
        <v>-248.53983,42.09215,08329</v>
      </c>
      <c r="AI809" s="44">
        <f t="shared" si="272"/>
        <v>1021.3502396492017</v>
      </c>
    </row>
    <row r="810" spans="1:35" ht="18" customHeight="1" x14ac:dyDescent="0.25">
      <c r="A810" s="36">
        <f t="shared" si="267"/>
        <v>0.7488426041666667</v>
      </c>
      <c r="B810" s="42">
        <f t="shared" si="252"/>
        <v>42.092147856422635</v>
      </c>
      <c r="C810" s="43">
        <f t="shared" si="253"/>
        <v>111.4601723198884</v>
      </c>
      <c r="D810" s="18">
        <f t="shared" si="254"/>
        <v>8.3085550814357703</v>
      </c>
      <c r="E810" s="21" t="str">
        <f t="shared" si="255"/>
        <v>Umbra</v>
      </c>
      <c r="F810" s="23">
        <f>IF($E810&lt;&gt;"Umbra",fracil2($S$2,$S$3,$S$4,$A810,$Q$2,$O$3,$Q$4,$U810,$V810,$W810),0)</f>
        <v>0</v>
      </c>
      <c r="G810" s="19">
        <f t="shared" si="256"/>
        <v>69.300858678588085</v>
      </c>
      <c r="H810" s="19">
        <f t="shared" si="257"/>
        <v>-4.397796518705225</v>
      </c>
      <c r="I810" s="19">
        <f t="shared" si="258"/>
        <v>-3.18977856931033</v>
      </c>
      <c r="J810" s="28">
        <f t="shared" si="259"/>
        <v>4.9821936459607044E-3</v>
      </c>
      <c r="K810" s="24">
        <f t="shared" si="260"/>
        <v>1048.504207744053</v>
      </c>
      <c r="L810" s="32">
        <f t="shared" si="261"/>
        <v>0.55987096255988933</v>
      </c>
      <c r="M810" s="35">
        <f t="shared" si="262"/>
        <v>13.102456708696282</v>
      </c>
      <c r="O810" s="29">
        <f t="shared" si="263"/>
        <v>1046.5850651085038</v>
      </c>
      <c r="T810" s="48">
        <v>0.7488426041666667</v>
      </c>
      <c r="U810" s="29">
        <v>-1378.1772988777539</v>
      </c>
      <c r="V810" s="29">
        <v>4541.8133463119912</v>
      </c>
      <c r="W810" s="29">
        <v>4258.7727001604744</v>
      </c>
      <c r="X810" s="4">
        <v>-0.32665875865615279</v>
      </c>
      <c r="Y810" s="4">
        <v>-0.11546552740195425</v>
      </c>
      <c r="Z810" s="4">
        <v>-1.4127832595587503E-2</v>
      </c>
      <c r="AA810" s="3">
        <f t="shared" si="268"/>
        <v>0.34675326714948063</v>
      </c>
      <c r="AB810" s="3">
        <f t="shared" si="271"/>
        <v>2.8503751721660662E-3</v>
      </c>
      <c r="AC810" s="3">
        <f t="shared" si="269"/>
        <v>2.1101524908326591E-2</v>
      </c>
      <c r="AD810" s="48"/>
      <c r="AE810" s="46">
        <f t="shared" si="264"/>
        <v>42.092147856422635</v>
      </c>
      <c r="AF810" s="46">
        <f t="shared" si="265"/>
        <v>-248.53982768011161</v>
      </c>
      <c r="AG810" s="47">
        <f t="shared" si="266"/>
        <v>8308.5550814357703</v>
      </c>
      <c r="AH810" s="45" t="str">
        <f t="shared" si="270"/>
        <v>-248.53983,42.09215,08309</v>
      </c>
      <c r="AI810" s="44">
        <f t="shared" si="272"/>
        <v>1021.3502396492017</v>
      </c>
    </row>
    <row r="811" spans="1:35" ht="18" customHeight="1" x14ac:dyDescent="0.25">
      <c r="A811" s="36">
        <f t="shared" si="267"/>
        <v>0.74885427083333334</v>
      </c>
      <c r="B811" s="42">
        <f t="shared" si="252"/>
        <v>42.092147853161478</v>
      </c>
      <c r="C811" s="43">
        <f t="shared" si="253"/>
        <v>111.46017304077674</v>
      </c>
      <c r="D811" s="18">
        <f t="shared" si="254"/>
        <v>8.2873216851276084</v>
      </c>
      <c r="E811" s="21" t="str">
        <f t="shared" si="255"/>
        <v>Umbra</v>
      </c>
      <c r="F811" s="23">
        <f>IF($E811&lt;&gt;"Umbra",fracil2($S$2,$S$3,$S$4,$A811,$Q$2,$O$3,$Q$4,$U811,$V811,$W811),0)</f>
        <v>0</v>
      </c>
      <c r="G811" s="19">
        <f t="shared" si="256"/>
        <v>69.300863214708116</v>
      </c>
      <c r="H811" s="19">
        <f t="shared" si="257"/>
        <v>-4.3989525389956023</v>
      </c>
      <c r="I811" s="19">
        <f t="shared" si="258"/>
        <v>-3.1909345896007073</v>
      </c>
      <c r="J811" s="28">
        <f t="shared" si="259"/>
        <v>4.9809273937744232E-3</v>
      </c>
      <c r="K811" s="24">
        <f t="shared" si="260"/>
        <v>1048.5023854804547</v>
      </c>
      <c r="L811" s="32">
        <f t="shared" si="261"/>
        <v>0.55988511031854338</v>
      </c>
      <c r="M811" s="35">
        <f t="shared" si="262"/>
        <v>13.101677619692486</v>
      </c>
      <c r="O811" s="29">
        <f t="shared" si="263"/>
        <v>1046.5851229887419</v>
      </c>
      <c r="T811" s="48">
        <v>0.74885427083333334</v>
      </c>
      <c r="U811" s="29">
        <v>-1378.5066198835893</v>
      </c>
      <c r="V811" s="29">
        <v>4541.6969372528665</v>
      </c>
      <c r="W811" s="29">
        <v>4258.7584666156899</v>
      </c>
      <c r="X811" s="4">
        <v>-0.32665521344045367</v>
      </c>
      <c r="Y811" s="4">
        <v>-0.11546924621061401</v>
      </c>
      <c r="Z811" s="4">
        <v>-1.410899101776897E-2</v>
      </c>
      <c r="AA811" s="3">
        <f t="shared" si="268"/>
        <v>0.34675039858061479</v>
      </c>
      <c r="AB811" s="3">
        <f t="shared" si="271"/>
        <v>2.8401772186240062E-3</v>
      </c>
      <c r="AC811" s="3">
        <f t="shared" si="269"/>
        <v>2.1073451324298401E-2</v>
      </c>
      <c r="AD811" s="48"/>
      <c r="AE811" s="46">
        <f t="shared" si="264"/>
        <v>42.092147853161478</v>
      </c>
      <c r="AF811" s="46">
        <f t="shared" si="265"/>
        <v>-248.53982695922326</v>
      </c>
      <c r="AG811" s="47">
        <f t="shared" si="266"/>
        <v>8287.3216851276084</v>
      </c>
      <c r="AH811" s="45" t="str">
        <f t="shared" si="270"/>
        <v>-248.53983,42.09215,08287</v>
      </c>
      <c r="AI811" s="44">
        <f t="shared" si="272"/>
        <v>1021.3502396492017</v>
      </c>
    </row>
    <row r="812" spans="1:35" ht="18" customHeight="1" x14ac:dyDescent="0.25">
      <c r="A812" s="36">
        <f t="shared" si="267"/>
        <v>0.74886583333333334</v>
      </c>
      <c r="B812" s="42">
        <f t="shared" si="252"/>
        <v>42.092147849935891</v>
      </c>
      <c r="C812" s="43">
        <f t="shared" si="253"/>
        <v>111.46017376066141</v>
      </c>
      <c r="D812" s="18">
        <f t="shared" si="254"/>
        <v>8.2663057492381995</v>
      </c>
      <c r="E812" s="21" t="str">
        <f t="shared" si="255"/>
        <v>Umbra</v>
      </c>
      <c r="F812" s="23">
        <f>IF($E812&lt;&gt;"Umbra",fracil2($S$2,$S$3,$S$4,$A812,$Q$2,$O$3,$Q$4,$U812,$V812,$W812),0)</f>
        <v>0</v>
      </c>
      <c r="G812" s="19">
        <f t="shared" si="256"/>
        <v>69.300867710875892</v>
      </c>
      <c r="H812" s="19">
        <f t="shared" si="257"/>
        <v>-4.4000967264058657</v>
      </c>
      <c r="I812" s="19">
        <f t="shared" si="258"/>
        <v>-3.1920787770109706</v>
      </c>
      <c r="J812" s="28">
        <f t="shared" si="259"/>
        <v>4.9796773402461247E-3</v>
      </c>
      <c r="K812" s="24">
        <f t="shared" si="260"/>
        <v>1048.5005828124386</v>
      </c>
      <c r="L812" s="32">
        <f t="shared" si="261"/>
        <v>0.55989912853455093</v>
      </c>
      <c r="M812" s="35">
        <f t="shared" si="262"/>
        <v>13.100906492651564</v>
      </c>
      <c r="O812" s="29">
        <f t="shared" si="263"/>
        <v>1046.5851807891634</v>
      </c>
      <c r="T812" s="48">
        <v>0.74886583333333334</v>
      </c>
      <c r="U812" s="29">
        <v>-1378.8329974250391</v>
      </c>
      <c r="V812" s="29">
        <v>4541.5815636681091</v>
      </c>
      <c r="W812" s="29">
        <v>4258.7443788429891</v>
      </c>
      <c r="X812" s="4">
        <v>-0.32665167996277827</v>
      </c>
      <c r="Y812" s="4">
        <v>-0.11547300691258135</v>
      </c>
      <c r="Z812" s="4">
        <v>-1.4090388007610193E-2</v>
      </c>
      <c r="AA812" s="3">
        <f t="shared" si="268"/>
        <v>0.34674756579123001</v>
      </c>
      <c r="AB812" s="3">
        <f t="shared" si="271"/>
        <v>2.8294696621443734E-3</v>
      </c>
      <c r="AC812" s="3">
        <f t="shared" si="269"/>
        <v>2.1045733290570905E-2</v>
      </c>
      <c r="AD812" s="48"/>
      <c r="AE812" s="46">
        <f t="shared" si="264"/>
        <v>42.092147849935891</v>
      </c>
      <c r="AF812" s="46">
        <f t="shared" si="265"/>
        <v>-248.53982623933859</v>
      </c>
      <c r="AG812" s="47">
        <f t="shared" si="266"/>
        <v>8266.3057492381995</v>
      </c>
      <c r="AH812" s="45" t="str">
        <f t="shared" si="270"/>
        <v>-248.53983,42.09215,08266</v>
      </c>
      <c r="AI812" s="44">
        <f t="shared" si="272"/>
        <v>1021.3503345844997</v>
      </c>
    </row>
    <row r="813" spans="1:35" ht="18" customHeight="1" x14ac:dyDescent="0.25">
      <c r="A813" s="36">
        <f t="shared" si="267"/>
        <v>0.74887740740740749</v>
      </c>
      <c r="B813" s="42">
        <f t="shared" si="252"/>
        <v>42.092147846716053</v>
      </c>
      <c r="C813" s="43">
        <f t="shared" si="253"/>
        <v>111.46017110079798</v>
      </c>
      <c r="D813" s="18">
        <f t="shared" si="254"/>
        <v>8.2453134770767065</v>
      </c>
      <c r="E813" s="21" t="str">
        <f t="shared" si="255"/>
        <v>Umbra</v>
      </c>
      <c r="F813" s="23">
        <f>IF($E813&lt;&gt;"Umbra",fracil2($S$2,$S$3,$S$4,$A813,$Q$2,$O$3,$Q$4,$U813,$V813,$W813),0)</f>
        <v>0</v>
      </c>
      <c r="G813" s="19">
        <f t="shared" si="256"/>
        <v>69.300868763076096</v>
      </c>
      <c r="H813" s="19">
        <f t="shared" si="257"/>
        <v>-4.4012383213324853</v>
      </c>
      <c r="I813" s="19">
        <f t="shared" si="258"/>
        <v>-3.1932203719375902</v>
      </c>
      <c r="J813" s="28">
        <f t="shared" si="259"/>
        <v>4.978432158234374E-3</v>
      </c>
      <c r="K813" s="24">
        <f t="shared" si="260"/>
        <v>1048.4985108630592</v>
      </c>
      <c r="L813" s="32">
        <f t="shared" si="261"/>
        <v>0.55991315939008179</v>
      </c>
      <c r="M813" s="35">
        <f t="shared" si="262"/>
        <v>13.100139645680965</v>
      </c>
      <c r="O813" s="29">
        <f t="shared" si="263"/>
        <v>1046.5849668468181</v>
      </c>
      <c r="T813" s="48">
        <v>0.74887740740740749</v>
      </c>
      <c r="U813" s="29">
        <v>-1379.1594338526804</v>
      </c>
      <c r="V813" s="29">
        <v>4541.4661642192623</v>
      </c>
      <c r="W813" s="29">
        <v>4258.7303069331529</v>
      </c>
      <c r="X813" s="4">
        <v>-0.32664812572326085</v>
      </c>
      <c r="Y813" s="4">
        <v>-0.1154768438832867</v>
      </c>
      <c r="Z813" s="4">
        <v>-1.4071852243365598E-2</v>
      </c>
      <c r="AA813" s="3">
        <f t="shared" si="268"/>
        <v>0.34674474262391247</v>
      </c>
      <c r="AB813" s="3">
        <f t="shared" si="271"/>
        <v>2.8164134734172965E-3</v>
      </c>
      <c r="AC813" s="3">
        <f t="shared" si="269"/>
        <v>2.1018115540050394E-2</v>
      </c>
      <c r="AD813" s="48"/>
      <c r="AE813" s="46">
        <f t="shared" si="264"/>
        <v>42.092147846716053</v>
      </c>
      <c r="AF813" s="46">
        <f t="shared" si="265"/>
        <v>-248.53982889920201</v>
      </c>
      <c r="AG813" s="47">
        <f t="shared" si="266"/>
        <v>8245.3134770767065</v>
      </c>
      <c r="AH813" s="45" t="str">
        <f t="shared" si="270"/>
        <v>-248.53983,42.09215,08245</v>
      </c>
      <c r="AI813" s="44">
        <f t="shared" si="272"/>
        <v>1021.3505857596889</v>
      </c>
    </row>
    <row r="814" spans="1:35" ht="18" customHeight="1" x14ac:dyDescent="0.25">
      <c r="A814" s="36">
        <f t="shared" si="267"/>
        <v>0.7488890046296296</v>
      </c>
      <c r="B814" s="42">
        <f t="shared" si="252"/>
        <v>42.092147843491411</v>
      </c>
      <c r="C814" s="43">
        <f t="shared" si="253"/>
        <v>111.46017479248194</v>
      </c>
      <c r="D814" s="18">
        <f t="shared" si="254"/>
        <v>8.2242749859342439</v>
      </c>
      <c r="E814" s="21" t="str">
        <f t="shared" si="255"/>
        <v>Umbra</v>
      </c>
      <c r="F814" s="23">
        <f>IF($E814&lt;&gt;"Umbra",fracil2($S$2,$S$3,$S$4,$A814,$Q$2,$O$3,$Q$4,$U814,$V814,$W814),0)</f>
        <v>0</v>
      </c>
      <c r="G814" s="19">
        <f t="shared" si="256"/>
        <v>69.300876287857022</v>
      </c>
      <c r="H814" s="19">
        <f t="shared" si="257"/>
        <v>-4.402384894796759</v>
      </c>
      <c r="I814" s="19">
        <f t="shared" si="258"/>
        <v>-3.1943669454018639</v>
      </c>
      <c r="J814" s="28">
        <f t="shared" si="259"/>
        <v>4.9771871734480841E-3</v>
      </c>
      <c r="K814" s="24">
        <f t="shared" si="260"/>
        <v>1048.4969460214659</v>
      </c>
      <c r="L814" s="32">
        <f t="shared" si="261"/>
        <v>0.55992721171363247</v>
      </c>
      <c r="M814" s="35">
        <f t="shared" si="262"/>
        <v>13.099364660825158</v>
      </c>
      <c r="O814" s="29">
        <f t="shared" si="263"/>
        <v>1046.5852635897445</v>
      </c>
      <c r="T814" s="48">
        <v>0.7488890046296296</v>
      </c>
      <c r="U814" s="29">
        <v>-1379.4870165696746</v>
      </c>
      <c r="V814" s="29">
        <v>4541.3503543839197</v>
      </c>
      <c r="W814" s="29">
        <v>4258.7162040411868</v>
      </c>
      <c r="X814" s="4">
        <v>-0.32664453880076405</v>
      </c>
      <c r="Y814" s="4">
        <v>-0.1154807701437679</v>
      </c>
      <c r="Z814" s="4">
        <v>-1.4053322206385692E-2</v>
      </c>
      <c r="AA814" s="3">
        <f t="shared" si="268"/>
        <v>0.34674191968436424</v>
      </c>
      <c r="AB814" s="3">
        <f t="shared" si="271"/>
        <v>2.8099143827272017E-3</v>
      </c>
      <c r="AC814" s="3">
        <f t="shared" si="269"/>
        <v>2.0990506411572778E-2</v>
      </c>
      <c r="AD814" s="48"/>
      <c r="AE814" s="46">
        <f t="shared" si="264"/>
        <v>42.092147843491411</v>
      </c>
      <c r="AF814" s="46">
        <f t="shared" si="265"/>
        <v>-248.53982520751805</v>
      </c>
      <c r="AG814" s="47">
        <f t="shared" si="266"/>
        <v>8224.2749859342439</v>
      </c>
      <c r="AH814" s="45" t="str">
        <f t="shared" si="270"/>
        <v>-248.53983,42.09215,08224</v>
      </c>
      <c r="AI814" s="44">
        <f t="shared" si="272"/>
        <v>1021.3508859714602</v>
      </c>
    </row>
    <row r="815" spans="1:35" ht="18" customHeight="1" x14ac:dyDescent="0.25">
      <c r="A815" s="36">
        <f t="shared" si="267"/>
        <v>0.74890055555555557</v>
      </c>
      <c r="B815" s="42">
        <f t="shared" si="252"/>
        <v>42.09214784028908</v>
      </c>
      <c r="C815" s="43">
        <f t="shared" si="253"/>
        <v>111.46017445571219</v>
      </c>
      <c r="D815" s="18">
        <f t="shared" si="254"/>
        <v>8.2033680956883472</v>
      </c>
      <c r="E815" s="21" t="str">
        <f t="shared" si="255"/>
        <v>Umbra</v>
      </c>
      <c r="F815" s="23">
        <f>IF($E815&lt;&gt;"Umbra",fracil2($S$2,$S$3,$S$4,$A815,$Q$2,$O$3,$Q$4,$U815,$V815,$W815),0)</f>
        <v>0</v>
      </c>
      <c r="G815" s="19">
        <f t="shared" si="256"/>
        <v>69.300879689121061</v>
      </c>
      <c r="H815" s="19">
        <f t="shared" si="257"/>
        <v>-4.4035227496824145</v>
      </c>
      <c r="I815" s="19">
        <f t="shared" si="258"/>
        <v>-3.1955048002875195</v>
      </c>
      <c r="J815" s="28">
        <f t="shared" si="259"/>
        <v>4.9759535509773375E-3</v>
      </c>
      <c r="K815" s="24">
        <f t="shared" si="260"/>
        <v>1048.4950692792156</v>
      </c>
      <c r="L815" s="32">
        <f t="shared" si="261"/>
        <v>0.55994120691694793</v>
      </c>
      <c r="M815" s="35">
        <f t="shared" si="262"/>
        <v>13.098598569860858</v>
      </c>
      <c r="O815" s="29">
        <f t="shared" si="263"/>
        <v>1046.5852364322473</v>
      </c>
      <c r="T815" s="48">
        <v>0.74890055555555557</v>
      </c>
      <c r="U815" s="29">
        <v>-1379.8129742124036</v>
      </c>
      <c r="V815" s="29">
        <v>4541.2351138463473</v>
      </c>
      <c r="W815" s="29">
        <v>4258.7021893664287</v>
      </c>
      <c r="X815" s="4">
        <v>-0.32664094923146242</v>
      </c>
      <c r="Y815" s="4">
        <v>-0.11548475339740452</v>
      </c>
      <c r="Z815" s="4">
        <v>-1.4034955535874747E-2</v>
      </c>
      <c r="AA815" s="3">
        <f t="shared" si="268"/>
        <v>0.34673912089492315</v>
      </c>
      <c r="AB815" s="3">
        <f t="shared" si="271"/>
        <v>2.7962952429858717E-3</v>
      </c>
      <c r="AC815" s="3">
        <f t="shared" si="269"/>
        <v>2.0963140781362251E-2</v>
      </c>
      <c r="AD815" s="48"/>
      <c r="AE815" s="46">
        <f t="shared" si="264"/>
        <v>42.09214784028908</v>
      </c>
      <c r="AF815" s="46">
        <f t="shared" si="265"/>
        <v>-248.53982554428779</v>
      </c>
      <c r="AG815" s="47">
        <f t="shared" si="266"/>
        <v>8203.3680956883472</v>
      </c>
      <c r="AH815" s="45" t="str">
        <f t="shared" si="270"/>
        <v>-248.53983,42.09215,08203</v>
      </c>
      <c r="AI815" s="44">
        <f t="shared" si="272"/>
        <v>1021.3508859714602</v>
      </c>
    </row>
    <row r="816" spans="1:35" ht="18" customHeight="1" x14ac:dyDescent="0.25">
      <c r="A816" s="36">
        <f t="shared" si="267"/>
        <v>0.74891211805555546</v>
      </c>
      <c r="B816" s="42">
        <f t="shared" si="252"/>
        <v>42.09214783709163</v>
      </c>
      <c r="C816" s="43">
        <f t="shared" si="253"/>
        <v>111.46017162540132</v>
      </c>
      <c r="D816" s="18">
        <f t="shared" si="254"/>
        <v>8.182480063877847</v>
      </c>
      <c r="E816" s="21" t="str">
        <f t="shared" si="255"/>
        <v>Umbra</v>
      </c>
      <c r="F816" s="23">
        <f>IF($E816&lt;&gt;"Umbra",fracil2($S$2,$S$3,$S$4,$A816,$Q$2,$O$3,$Q$4,$U816,$V816,$W816),0)</f>
        <v>0</v>
      </c>
      <c r="G816" s="19">
        <f t="shared" si="256"/>
        <v>69.300880549219002</v>
      </c>
      <c r="H816" s="19">
        <f t="shared" si="257"/>
        <v>-4.404658617501334</v>
      </c>
      <c r="I816" s="19">
        <f t="shared" si="258"/>
        <v>-3.196640668106439</v>
      </c>
      <c r="J816" s="28">
        <f t="shared" si="259"/>
        <v>4.9747243728711036E-3</v>
      </c>
      <c r="K816" s="24">
        <f t="shared" si="260"/>
        <v>1048.4929940932677</v>
      </c>
      <c r="L816" s="32">
        <f t="shared" si="261"/>
        <v>0.55995521432883455</v>
      </c>
      <c r="M816" s="35">
        <f t="shared" si="262"/>
        <v>13.097835684774521</v>
      </c>
      <c r="O816" s="29">
        <f t="shared" si="263"/>
        <v>1046.5850087859233</v>
      </c>
      <c r="T816" s="48">
        <v>0.74891211805555546</v>
      </c>
      <c r="U816" s="29">
        <v>-1380.1390599692704</v>
      </c>
      <c r="V816" s="29">
        <v>4541.1198227297318</v>
      </c>
      <c r="W816" s="29">
        <v>4258.6881873333559</v>
      </c>
      <c r="X816" s="4">
        <v>-0.32663733858955646</v>
      </c>
      <c r="Y816" s="4">
        <v>-0.11548881202267439</v>
      </c>
      <c r="Z816" s="4">
        <v>-1.4016650579625041E-2</v>
      </c>
      <c r="AA816" s="3">
        <f t="shared" si="268"/>
        <v>0.34673633088666733</v>
      </c>
      <c r="AB816" s="3">
        <f t="shared" si="271"/>
        <v>2.7841007518645627E-3</v>
      </c>
      <c r="AC816" s="3">
        <f t="shared" si="269"/>
        <v>2.0935867190281687E-2</v>
      </c>
      <c r="AD816" s="48"/>
      <c r="AE816" s="46">
        <f t="shared" si="264"/>
        <v>42.09214783709163</v>
      </c>
      <c r="AF816" s="46">
        <f t="shared" si="265"/>
        <v>-248.5398283745987</v>
      </c>
      <c r="AG816" s="47">
        <f t="shared" si="266"/>
        <v>8182.480063877847</v>
      </c>
      <c r="AH816" s="45" t="str">
        <f t="shared" si="270"/>
        <v>-248.53983,42.09215,08182</v>
      </c>
      <c r="AI816" s="44">
        <f t="shared" si="272"/>
        <v>1021.3511185144988</v>
      </c>
    </row>
    <row r="817" spans="1:35" ht="18" customHeight="1" x14ac:dyDescent="0.25">
      <c r="A817" s="36">
        <f t="shared" si="267"/>
        <v>0.74892368055555558</v>
      </c>
      <c r="B817" s="42">
        <f t="shared" si="252"/>
        <v>42.092147833896171</v>
      </c>
      <c r="C817" s="43">
        <f t="shared" si="253"/>
        <v>111.46017472862505</v>
      </c>
      <c r="D817" s="18">
        <f t="shared" si="254"/>
        <v>8.1615895838813231</v>
      </c>
      <c r="E817" s="21" t="str">
        <f t="shared" si="255"/>
        <v>Umbra</v>
      </c>
      <c r="F817" s="23">
        <f>IF($E817&lt;&gt;"Umbra",fracil2($S$2,$S$3,$S$4,$A817,$Q$2,$O$3,$Q$4,$U817,$V817,$W817),0)</f>
        <v>0</v>
      </c>
      <c r="G817" s="19">
        <f t="shared" si="256"/>
        <v>69.300887448620742</v>
      </c>
      <c r="H817" s="19">
        <f t="shared" si="257"/>
        <v>-4.4057969180054872</v>
      </c>
      <c r="I817" s="19">
        <f t="shared" si="258"/>
        <v>-3.1977789686105922</v>
      </c>
      <c r="J817" s="28">
        <f t="shared" si="259"/>
        <v>4.9734979192288652E-3</v>
      </c>
      <c r="K817" s="24">
        <f t="shared" si="260"/>
        <v>1048.4913962660976</v>
      </c>
      <c r="L817" s="32">
        <f t="shared" si="261"/>
        <v>0.55996921540927547</v>
      </c>
      <c r="M817" s="35">
        <f t="shared" si="262"/>
        <v>13.097066690920608</v>
      </c>
      <c r="O817" s="29">
        <f t="shared" si="263"/>
        <v>1046.5852582154409</v>
      </c>
      <c r="T817" s="48">
        <v>0.74892368055555558</v>
      </c>
      <c r="U817" s="29">
        <v>-1380.4656059892743</v>
      </c>
      <c r="V817" s="29">
        <v>4541.0043635039974</v>
      </c>
      <c r="W817" s="29">
        <v>4258.6741836593692</v>
      </c>
      <c r="X817" s="4">
        <v>-0.32663370318760904</v>
      </c>
      <c r="Y817" s="4">
        <v>-0.11549295013154717</v>
      </c>
      <c r="Z817" s="4">
        <v>-1.3998388673799208E-2</v>
      </c>
      <c r="AA817" s="3">
        <f t="shared" si="268"/>
        <v>0.34673354679580959</v>
      </c>
      <c r="AB817" s="3">
        <f t="shared" si="271"/>
        <v>2.7775440812163148E-3</v>
      </c>
      <c r="AC817" s="3">
        <f t="shared" si="269"/>
        <v>2.0908657829618264E-2</v>
      </c>
      <c r="AD817" s="48"/>
      <c r="AE817" s="46">
        <f t="shared" si="264"/>
        <v>42.092147833896171</v>
      </c>
      <c r="AF817" s="46">
        <f t="shared" si="265"/>
        <v>-248.53982527137495</v>
      </c>
      <c r="AG817" s="47">
        <f t="shared" si="266"/>
        <v>8161.5895838813231</v>
      </c>
      <c r="AH817" s="45" t="str">
        <f t="shared" si="270"/>
        <v>-248.53983,42.09215,08162</v>
      </c>
      <c r="AI817" s="44">
        <f t="shared" si="272"/>
        <v>1021.3513510575374</v>
      </c>
    </row>
    <row r="818" spans="1:35" ht="18" customHeight="1" x14ac:dyDescent="0.25">
      <c r="A818" s="36">
        <f t="shared" si="267"/>
        <v>0.74893521990740741</v>
      </c>
      <c r="B818" s="42">
        <f t="shared" si="252"/>
        <v>42.092147830717515</v>
      </c>
      <c r="C818" s="43">
        <f t="shared" si="253"/>
        <v>111.4601723902698</v>
      </c>
      <c r="D818" s="18">
        <f t="shared" si="254"/>
        <v>8.1407951602959656</v>
      </c>
      <c r="E818" s="21" t="str">
        <f t="shared" si="255"/>
        <v>Umbra</v>
      </c>
      <c r="F818" s="23">
        <f>IF($E818&lt;&gt;"Umbra",fracil2($S$2,$S$3,$S$4,$A818,$Q$2,$O$3,$Q$4,$U818,$V818,$W818),0)</f>
        <v>0</v>
      </c>
      <c r="G818" s="19">
        <f t="shared" si="256"/>
        <v>69.300888792666569</v>
      </c>
      <c r="H818" s="19">
        <f t="shared" si="257"/>
        <v>-4.4069278892787276</v>
      </c>
      <c r="I818" s="19">
        <f t="shared" si="258"/>
        <v>-3.1989099398838325</v>
      </c>
      <c r="J818" s="28">
        <f t="shared" si="259"/>
        <v>4.9722805153563157E-3</v>
      </c>
      <c r="K818" s="24">
        <f t="shared" si="260"/>
        <v>1048.4893697437931</v>
      </c>
      <c r="L818" s="32">
        <f t="shared" si="261"/>
        <v>0.55998318826027316</v>
      </c>
      <c r="M818" s="35">
        <f t="shared" si="262"/>
        <v>13.096306718198445</v>
      </c>
      <c r="O818" s="29">
        <f t="shared" si="263"/>
        <v>1046.5850701244456</v>
      </c>
      <c r="T818" s="48">
        <v>0.74893521990740741</v>
      </c>
      <c r="U818" s="29">
        <v>-1380.7910697290788</v>
      </c>
      <c r="V818" s="29">
        <v>4540.8892815137051</v>
      </c>
      <c r="W818" s="29">
        <v>4258.660244375782</v>
      </c>
      <c r="X818" s="4">
        <v>-0.32663006061341837</v>
      </c>
      <c r="Y818" s="4">
        <v>-0.11549714670676485</v>
      </c>
      <c r="Z818" s="4">
        <v>-1.3980254703388676E-2</v>
      </c>
      <c r="AA818" s="3">
        <f t="shared" si="268"/>
        <v>0.34673078160916282</v>
      </c>
      <c r="AB818" s="3">
        <f t="shared" si="271"/>
        <v>2.7636096745447302E-3</v>
      </c>
      <c r="AC818" s="3">
        <f t="shared" si="269"/>
        <v>2.0881639173019134E-2</v>
      </c>
      <c r="AD818" s="48"/>
      <c r="AE818" s="46">
        <f t="shared" si="264"/>
        <v>42.092147830717515</v>
      </c>
      <c r="AF818" s="46">
        <f t="shared" si="265"/>
        <v>-248.5398276097302</v>
      </c>
      <c r="AG818" s="47">
        <f t="shared" si="266"/>
        <v>8140.7951602959656</v>
      </c>
      <c r="AH818" s="45" t="str">
        <f t="shared" si="270"/>
        <v>-248.53983,42.09215,08141</v>
      </c>
      <c r="AI818" s="44">
        <f t="shared" si="272"/>
        <v>1021.3515409281333</v>
      </c>
    </row>
    <row r="819" spans="1:35" ht="18" customHeight="1" x14ac:dyDescent="0.25">
      <c r="A819" s="36">
        <f t="shared" si="267"/>
        <v>0.74894689814814808</v>
      </c>
      <c r="B819" s="42">
        <f t="shared" si="252"/>
        <v>42.09214782750383</v>
      </c>
      <c r="C819" s="43">
        <f t="shared" si="253"/>
        <v>111.46017428300496</v>
      </c>
      <c r="D819" s="18">
        <f t="shared" si="254"/>
        <v>8.1197566107957755</v>
      </c>
      <c r="E819" s="21" t="str">
        <f t="shared" si="255"/>
        <v>Umbra</v>
      </c>
      <c r="F819" s="23">
        <f>IF($E819&lt;&gt;"Umbra",fracil2($S$2,$S$3,$S$4,$A819,$Q$2,$O$3,$Q$4,$U819,$V819,$W819),0)</f>
        <v>0</v>
      </c>
      <c r="G819" s="19">
        <f t="shared" si="256"/>
        <v>69.300894486632089</v>
      </c>
      <c r="H819" s="19">
        <f t="shared" si="257"/>
        <v>-4.4080737889111248</v>
      </c>
      <c r="I819" s="19">
        <f t="shared" si="258"/>
        <v>-3.2000558395162297</v>
      </c>
      <c r="J819" s="28">
        <f t="shared" si="259"/>
        <v>4.971051778611877E-3</v>
      </c>
      <c r="K819" s="24">
        <f t="shared" si="260"/>
        <v>1048.48766230871</v>
      </c>
      <c r="L819" s="32">
        <f t="shared" si="261"/>
        <v>0.55999732383019341</v>
      </c>
      <c r="M819" s="35">
        <f t="shared" si="262"/>
        <v>13.095533500955696</v>
      </c>
      <c r="O819" s="29">
        <f t="shared" si="263"/>
        <v>1046.5852222262215</v>
      </c>
      <c r="T819" s="48">
        <v>0.74894689814814808</v>
      </c>
      <c r="U819" s="29">
        <v>-1381.1207800591901</v>
      </c>
      <c r="V819" s="29">
        <v>4540.7726923415867</v>
      </c>
      <c r="W819" s="29">
        <v>4258.6461414456107</v>
      </c>
      <c r="X819" s="4">
        <v>-0.32662635083751901</v>
      </c>
      <c r="Y819" s="4">
        <v>-0.11550147179257798</v>
      </c>
      <c r="Z819" s="4">
        <v>-1.3961953010030885E-2</v>
      </c>
      <c r="AA819" s="3">
        <f t="shared" si="268"/>
        <v>0.34672799018761097</v>
      </c>
      <c r="AB819" s="3">
        <f t="shared" si="271"/>
        <v>2.7559902158233109E-3</v>
      </c>
      <c r="AC819" s="3">
        <f t="shared" si="269"/>
        <v>2.0854370705802441E-2</v>
      </c>
      <c r="AD819" s="48"/>
      <c r="AE819" s="46">
        <f t="shared" si="264"/>
        <v>42.09214782750383</v>
      </c>
      <c r="AF819" s="46">
        <f t="shared" si="265"/>
        <v>-248.53982571699504</v>
      </c>
      <c r="AG819" s="47">
        <f t="shared" si="266"/>
        <v>8119.7566107957755</v>
      </c>
      <c r="AH819" s="45" t="str">
        <f t="shared" si="270"/>
        <v>-248.53983,42.09215,08120</v>
      </c>
      <c r="AI819" s="44">
        <f t="shared" si="272"/>
        <v>1021.3517307987292</v>
      </c>
    </row>
    <row r="820" spans="1:35" ht="18" customHeight="1" x14ac:dyDescent="0.25">
      <c r="A820" s="36">
        <f t="shared" si="267"/>
        <v>0.74895835648148157</v>
      </c>
      <c r="B820" s="42">
        <f t="shared" si="252"/>
        <v>42.092147824360282</v>
      </c>
      <c r="C820" s="43">
        <f t="shared" si="253"/>
        <v>111.46017149269478</v>
      </c>
      <c r="D820" s="18">
        <f t="shared" si="254"/>
        <v>8.0991641001855896</v>
      </c>
      <c r="E820" s="21" t="str">
        <f t="shared" si="255"/>
        <v>Umbra</v>
      </c>
      <c r="F820" s="23">
        <f>IF($E820&lt;&gt;"Umbra",fracil2($S$2,$S$3,$S$4,$A820,$Q$2,$O$3,$Q$4,$U820,$V820,$W820),0)</f>
        <v>0</v>
      </c>
      <c r="G820" s="19">
        <f t="shared" si="256"/>
        <v>69.300895334566206</v>
      </c>
      <c r="H820" s="19">
        <f t="shared" si="257"/>
        <v>-4.4091936033717909</v>
      </c>
      <c r="I820" s="19">
        <f t="shared" si="258"/>
        <v>-3.2011756539768959</v>
      </c>
      <c r="J820" s="28">
        <f t="shared" si="259"/>
        <v>4.9698525527168838E-3</v>
      </c>
      <c r="K820" s="24">
        <f t="shared" si="260"/>
        <v>1048.4856181068403</v>
      </c>
      <c r="L820" s="32">
        <f t="shared" si="261"/>
        <v>0.56001119264761845</v>
      </c>
      <c r="M820" s="35">
        <f t="shared" si="262"/>
        <v>13.094781367113011</v>
      </c>
      <c r="O820" s="29">
        <f t="shared" si="263"/>
        <v>1046.5849977974335</v>
      </c>
      <c r="T820" s="48">
        <v>0.74895835648148157</v>
      </c>
      <c r="U820" s="29">
        <v>-1381.4439148274273</v>
      </c>
      <c r="V820" s="29">
        <v>4540.6584227989661</v>
      </c>
      <c r="W820" s="29">
        <v>4258.6323375122329</v>
      </c>
      <c r="X820" s="4">
        <v>-0.32662269544443234</v>
      </c>
      <c r="Y820" s="4">
        <v>-0.11550578385475818</v>
      </c>
      <c r="Z820" s="4">
        <v>-1.3944084731229248E-2</v>
      </c>
      <c r="AA820" s="3">
        <f t="shared" si="268"/>
        <v>0.34672526412460947</v>
      </c>
      <c r="AB820" s="3">
        <f t="shared" si="271"/>
        <v>2.7423551442632729E-3</v>
      </c>
      <c r="AC820" s="3">
        <f t="shared" si="269"/>
        <v>2.0827748086602874E-2</v>
      </c>
      <c r="AD820" s="48"/>
      <c r="AE820" s="46">
        <f t="shared" si="264"/>
        <v>42.092147824360282</v>
      </c>
      <c r="AF820" s="46">
        <f t="shared" si="265"/>
        <v>-248.53982850730523</v>
      </c>
      <c r="AG820" s="47">
        <f t="shared" si="266"/>
        <v>8099.1641001855896</v>
      </c>
      <c r="AH820" s="45" t="str">
        <f t="shared" si="270"/>
        <v>-248.53983,42.09215,08099</v>
      </c>
      <c r="AI820" s="44">
        <f t="shared" si="272"/>
        <v>1021.3519633417678</v>
      </c>
    </row>
    <row r="821" spans="1:35" ht="18" customHeight="1" x14ac:dyDescent="0.25">
      <c r="A821" s="36">
        <f t="shared" si="267"/>
        <v>0.7489700578703703</v>
      </c>
      <c r="B821" s="42">
        <f t="shared" si="252"/>
        <v>42.092147821152103</v>
      </c>
      <c r="C821" s="43">
        <f t="shared" si="253"/>
        <v>111.46017429752382</v>
      </c>
      <c r="D821" s="18">
        <f t="shared" si="254"/>
        <v>8.0781338283704827</v>
      </c>
      <c r="E821" s="21" t="str">
        <f t="shared" si="255"/>
        <v>Umbra</v>
      </c>
      <c r="F821" s="23">
        <f>IF($E821&lt;&gt;"Umbra",fracil2($S$2,$S$3,$S$4,$A821,$Q$2,$O$3,$Q$4,$U821,$V821,$W821),0)</f>
        <v>0</v>
      </c>
      <c r="G821" s="19">
        <f t="shared" si="256"/>
        <v>69.30090195535513</v>
      </c>
      <c r="H821" s="19">
        <f t="shared" si="257"/>
        <v>-4.4103394126677555</v>
      </c>
      <c r="I821" s="19">
        <f t="shared" si="258"/>
        <v>-3.2023214632728605</v>
      </c>
      <c r="J821" s="28">
        <f t="shared" si="259"/>
        <v>4.9686306744766515E-3</v>
      </c>
      <c r="K821" s="24">
        <f t="shared" si="260"/>
        <v>1048.4839855797397</v>
      </c>
      <c r="L821" s="32">
        <f t="shared" si="261"/>
        <v>0.56002534945476679</v>
      </c>
      <c r="M821" s="35">
        <f t="shared" si="262"/>
        <v>13.094007509124097</v>
      </c>
      <c r="O821" s="29">
        <f t="shared" si="263"/>
        <v>1046.5852232347079</v>
      </c>
      <c r="T821" s="48">
        <v>0.7489700578703703</v>
      </c>
      <c r="U821" s="29">
        <v>-1381.774342257637</v>
      </c>
      <c r="V821" s="29">
        <v>4540.5415685920161</v>
      </c>
      <c r="W821" s="29">
        <v>4258.618240131259</v>
      </c>
      <c r="X821" s="4">
        <v>-0.32661893812403936</v>
      </c>
      <c r="Y821" s="4">
        <v>-0.11551026602803989</v>
      </c>
      <c r="Z821" s="4">
        <v>-1.3925881180708017E-2</v>
      </c>
      <c r="AA821" s="3">
        <f t="shared" si="268"/>
        <v>0.34672248624195517</v>
      </c>
      <c r="AB821" s="3">
        <f t="shared" si="271"/>
        <v>2.7357708966772938E-3</v>
      </c>
      <c r="AC821" s="3">
        <f t="shared" si="269"/>
        <v>2.0800626020526885E-2</v>
      </c>
      <c r="AD821" s="48"/>
      <c r="AE821" s="46">
        <f t="shared" si="264"/>
        <v>42.092147821152103</v>
      </c>
      <c r="AF821" s="46">
        <f t="shared" si="265"/>
        <v>-248.53982570247618</v>
      </c>
      <c r="AG821" s="47">
        <f t="shared" si="266"/>
        <v>8078.1338283704827</v>
      </c>
      <c r="AH821" s="45" t="str">
        <f t="shared" si="270"/>
        <v>-248.53983,42.09215,08078</v>
      </c>
      <c r="AI821" s="44">
        <f t="shared" si="272"/>
        <v>1021.3521958848064</v>
      </c>
    </row>
    <row r="822" spans="1:35" ht="18" customHeight="1" x14ac:dyDescent="0.25">
      <c r="A822" s="36">
        <f t="shared" si="267"/>
        <v>0.74898157407407406</v>
      </c>
      <c r="B822" s="42">
        <f t="shared" si="252"/>
        <v>42.092147818004072</v>
      </c>
      <c r="C822" s="43">
        <f t="shared" si="253"/>
        <v>111.46017289919321</v>
      </c>
      <c r="D822" s="18">
        <f t="shared" si="254"/>
        <v>8.0574838033498963</v>
      </c>
      <c r="E822" s="21" t="str">
        <f t="shared" si="255"/>
        <v>Umbra</v>
      </c>
      <c r="F822" s="23">
        <f>IF($E822&lt;&gt;"Umbra",fracil2($S$2,$S$3,$S$4,$A822,$Q$2,$O$3,$Q$4,$U822,$V822,$W822),0)</f>
        <v>0</v>
      </c>
      <c r="G822" s="19">
        <f t="shared" si="256"/>
        <v>69.300904230298727</v>
      </c>
      <c r="H822" s="19">
        <f t="shared" si="257"/>
        <v>-4.4114629039042823</v>
      </c>
      <c r="I822" s="19">
        <f t="shared" si="258"/>
        <v>-3.2034449545093873</v>
      </c>
      <c r="J822" s="28">
        <f t="shared" si="259"/>
        <v>4.9674342860767081E-3</v>
      </c>
      <c r="K822" s="24">
        <f t="shared" si="260"/>
        <v>1048.4820490489383</v>
      </c>
      <c r="L822" s="32">
        <f t="shared" si="261"/>
        <v>0.5600392813839562</v>
      </c>
      <c r="M822" s="35">
        <f t="shared" si="262"/>
        <v>13.093251836607017</v>
      </c>
      <c r="O822" s="29">
        <f t="shared" si="263"/>
        <v>1046.5851107255669</v>
      </c>
      <c r="T822" s="48">
        <v>0.74898157407407406</v>
      </c>
      <c r="U822" s="29">
        <v>-1382.0992115626286</v>
      </c>
      <c r="V822" s="29">
        <v>4540.4266742208447</v>
      </c>
      <c r="W822" s="29">
        <v>4258.6043976441688</v>
      </c>
      <c r="X822" s="4">
        <v>-0.32661522457030734</v>
      </c>
      <c r="Y822" s="4">
        <v>-0.11551474541440852</v>
      </c>
      <c r="Z822" s="4">
        <v>-1.3908051659267236E-2</v>
      </c>
      <c r="AA822" s="3">
        <f t="shared" si="268"/>
        <v>0.34671976469509891</v>
      </c>
      <c r="AB822" s="3">
        <f t="shared" si="271"/>
        <v>2.7226385253115316E-3</v>
      </c>
      <c r="AC822" s="3">
        <f t="shared" si="269"/>
        <v>2.0774061318114434E-2</v>
      </c>
      <c r="AD822" s="48"/>
      <c r="AE822" s="46">
        <f t="shared" si="264"/>
        <v>42.092147818004072</v>
      </c>
      <c r="AF822" s="46">
        <f t="shared" si="265"/>
        <v>-248.5398271008068</v>
      </c>
      <c r="AG822" s="47">
        <f t="shared" si="266"/>
        <v>8057.4838033498963</v>
      </c>
      <c r="AH822" s="45" t="str">
        <f t="shared" si="270"/>
        <v>-248.53983,42.09215,08057</v>
      </c>
      <c r="AI822" s="44">
        <f t="shared" si="272"/>
        <v>1021.3523301435914</v>
      </c>
    </row>
    <row r="823" spans="1:35" ht="18" customHeight="1" x14ac:dyDescent="0.25">
      <c r="A823" s="36">
        <f t="shared" si="267"/>
        <v>0.74899310185185186</v>
      </c>
      <c r="B823" s="42">
        <f t="shared" si="252"/>
        <v>42.092147814858336</v>
      </c>
      <c r="C823" s="43">
        <f t="shared" si="253"/>
        <v>111.46017258514136</v>
      </c>
      <c r="D823" s="18">
        <f t="shared" si="254"/>
        <v>8.0368340844943305</v>
      </c>
      <c r="E823" s="21" t="str">
        <f t="shared" si="255"/>
        <v>Umbra</v>
      </c>
      <c r="F823" s="23">
        <f>IF($E823&lt;&gt;"Umbra",fracil2($S$2,$S$3,$S$4,$A823,$Q$2,$O$3,$Q$4,$U823,$V823,$W823),0)</f>
        <v>0</v>
      </c>
      <c r="G823" s="19">
        <f t="shared" si="256"/>
        <v>69.300907608721374</v>
      </c>
      <c r="H823" s="19">
        <f t="shared" si="257"/>
        <v>-4.4125868014288159</v>
      </c>
      <c r="I823" s="19">
        <f t="shared" si="258"/>
        <v>-3.2045688520339208</v>
      </c>
      <c r="J823" s="28">
        <f t="shared" si="259"/>
        <v>4.9662409800473647E-3</v>
      </c>
      <c r="K823" s="24">
        <f t="shared" si="260"/>
        <v>1048.4802001435983</v>
      </c>
      <c r="L823" s="32">
        <f t="shared" si="261"/>
        <v>0.56005322367358179</v>
      </c>
      <c r="M823" s="35">
        <f t="shared" si="262"/>
        <v>13.092495067365544</v>
      </c>
      <c r="O823" s="29">
        <f t="shared" si="263"/>
        <v>1046.5850853960824</v>
      </c>
      <c r="T823" s="48">
        <v>0.74899310185185186</v>
      </c>
      <c r="U823" s="29">
        <v>-1382.4244885426876</v>
      </c>
      <c r="V823" s="29">
        <v>4540.3116298581162</v>
      </c>
      <c r="W823" s="29">
        <v>4258.5905553625007</v>
      </c>
      <c r="X823" s="4">
        <v>-0.32661148718623428</v>
      </c>
      <c r="Y823" s="4">
        <v>-0.11551930202473708</v>
      </c>
      <c r="Z823" s="4">
        <v>-1.3890266650780237E-2</v>
      </c>
      <c r="AA823" s="3">
        <f t="shared" si="268"/>
        <v>0.34671704920571167</v>
      </c>
      <c r="AB823" s="3">
        <f t="shared" si="271"/>
        <v>2.7131058087190071E-3</v>
      </c>
      <c r="AC823" s="3">
        <f t="shared" si="269"/>
        <v>2.0747563021416331E-2</v>
      </c>
      <c r="AD823" s="48"/>
      <c r="AE823" s="46">
        <f t="shared" si="264"/>
        <v>42.092147814858336</v>
      </c>
      <c r="AF823" s="46">
        <f t="shared" si="265"/>
        <v>-248.53982741485862</v>
      </c>
      <c r="AG823" s="47">
        <f t="shared" si="266"/>
        <v>8036.8340844943305</v>
      </c>
      <c r="AH823" s="45" t="str">
        <f t="shared" si="270"/>
        <v>-248.53983,42.09215,08037</v>
      </c>
      <c r="AI823" s="44">
        <f t="shared" si="272"/>
        <v>1021.3523301435914</v>
      </c>
    </row>
    <row r="824" spans="1:35" ht="18" customHeight="1" x14ac:dyDescent="0.25">
      <c r="A824" s="36">
        <f t="shared" si="267"/>
        <v>0.74900480324074081</v>
      </c>
      <c r="B824" s="42">
        <f t="shared" si="252"/>
        <v>42.092147811672042</v>
      </c>
      <c r="C824" s="43">
        <f t="shared" si="253"/>
        <v>111.46017143601699</v>
      </c>
      <c r="D824" s="18">
        <f t="shared" si="254"/>
        <v>8.0159044596857711</v>
      </c>
      <c r="E824" s="21" t="str">
        <f t="shared" si="255"/>
        <v>Umbra</v>
      </c>
      <c r="F824" s="23">
        <f>IF($E824&lt;&gt;"Umbra",fracil2($S$2,$S$3,$S$4,$A824,$Q$2,$O$3,$Q$4,$U824,$V824,$W824),0)</f>
        <v>0</v>
      </c>
      <c r="G824" s="19">
        <f t="shared" si="256"/>
        <v>69.300910187389576</v>
      </c>
      <c r="H824" s="19">
        <f t="shared" si="257"/>
        <v>-4.4137256165487582</v>
      </c>
      <c r="I824" s="19">
        <f t="shared" si="258"/>
        <v>-3.2057076671538631</v>
      </c>
      <c r="J824" s="28">
        <f t="shared" si="259"/>
        <v>4.9650346397206524E-3</v>
      </c>
      <c r="K824" s="24">
        <f t="shared" si="260"/>
        <v>1048.4782597767014</v>
      </c>
      <c r="L824" s="32">
        <f t="shared" si="261"/>
        <v>0.56006737327717726</v>
      </c>
      <c r="M824" s="35">
        <f t="shared" si="262"/>
        <v>13.091728870555615</v>
      </c>
      <c r="O824" s="29">
        <f t="shared" si="263"/>
        <v>1046.5849929229869</v>
      </c>
      <c r="T824" s="48">
        <v>0.74900480324074081</v>
      </c>
      <c r="U824" s="29">
        <v>-1382.7545955607809</v>
      </c>
      <c r="V824" s="29">
        <v>4540.1948711764771</v>
      </c>
      <c r="W824" s="29">
        <v>4258.5765254495409</v>
      </c>
      <c r="X824" s="4">
        <v>-0.32660767518916917</v>
      </c>
      <c r="Y824" s="4">
        <v>-0.11552399784266819</v>
      </c>
      <c r="Z824" s="4">
        <v>-1.3872284374295947E-2</v>
      </c>
      <c r="AA824" s="3">
        <f t="shared" si="268"/>
        <v>0.34671430291204886</v>
      </c>
      <c r="AB824" s="3">
        <f t="shared" si="271"/>
        <v>2.702490089434267E-3</v>
      </c>
      <c r="AC824" s="3">
        <f t="shared" si="269"/>
        <v>2.0720770896803208E-2</v>
      </c>
      <c r="AD824" s="48"/>
      <c r="AE824" s="46">
        <f t="shared" si="264"/>
        <v>42.092147811672042</v>
      </c>
      <c r="AF824" s="46">
        <f t="shared" si="265"/>
        <v>-248.53982856398301</v>
      </c>
      <c r="AG824" s="47">
        <f t="shared" si="266"/>
        <v>8015.9044596857711</v>
      </c>
      <c r="AH824" s="45" t="str">
        <f t="shared" si="270"/>
        <v>-248.53983,42.09215,08016</v>
      </c>
      <c r="AI824" s="44">
        <f t="shared" si="272"/>
        <v>1021.3524644023764</v>
      </c>
    </row>
    <row r="825" spans="1:35" ht="18" customHeight="1" x14ac:dyDescent="0.25">
      <c r="A825" s="36">
        <f t="shared" si="267"/>
        <v>0.7490162962962964</v>
      </c>
      <c r="B825" s="42">
        <f t="shared" si="252"/>
        <v>42.09214780854537</v>
      </c>
      <c r="C825" s="43">
        <f t="shared" si="253"/>
        <v>111.46017454558144</v>
      </c>
      <c r="D825" s="18">
        <f t="shared" si="254"/>
        <v>7.9953528476162319</v>
      </c>
      <c r="E825" s="21" t="str">
        <f t="shared" si="255"/>
        <v>Umbra</v>
      </c>
      <c r="F825" s="23">
        <f>IF($E825&lt;&gt;"Umbra",fracil2($S$2,$S$3,$S$4,$A825,$Q$2,$O$3,$Q$4,$U825,$V825,$W825),0)</f>
        <v>0</v>
      </c>
      <c r="G825" s="19">
        <f t="shared" si="256"/>
        <v>69.300917032644534</v>
      </c>
      <c r="H825" s="19">
        <f t="shared" si="257"/>
        <v>-4.4148455036334679</v>
      </c>
      <c r="I825" s="19">
        <f t="shared" si="258"/>
        <v>-3.2068275542385729</v>
      </c>
      <c r="J825" s="28">
        <f t="shared" si="259"/>
        <v>4.9638528297768613E-3</v>
      </c>
      <c r="K825" s="24">
        <f t="shared" si="260"/>
        <v>1048.4766956598689</v>
      </c>
      <c r="L825" s="32">
        <f t="shared" si="261"/>
        <v>0.56008126560734428</v>
      </c>
      <c r="M825" s="35">
        <f t="shared" si="262"/>
        <v>13.090972212554352</v>
      </c>
      <c r="O825" s="29">
        <f t="shared" si="263"/>
        <v>1046.5852428640355</v>
      </c>
      <c r="T825" s="48">
        <v>0.7490162962962964</v>
      </c>
      <c r="U825" s="29">
        <v>-1383.0791528564066</v>
      </c>
      <c r="V825" s="29">
        <v>4540.0800694352638</v>
      </c>
      <c r="W825" s="29">
        <v>4258.5627489328754</v>
      </c>
      <c r="X825" s="4">
        <v>-0.32660390884193696</v>
      </c>
      <c r="Y825" s="4">
        <v>-0.11552868379743005</v>
      </c>
      <c r="Z825" s="4">
        <v>-1.3854668926128836E-2</v>
      </c>
      <c r="AA825" s="3">
        <f t="shared" si="268"/>
        <v>0.34671161200895978</v>
      </c>
      <c r="AB825" s="3">
        <f t="shared" si="271"/>
        <v>2.6953405583358121E-3</v>
      </c>
      <c r="AC825" s="3">
        <f t="shared" si="269"/>
        <v>2.0694525400854695E-2</v>
      </c>
      <c r="AD825" s="48"/>
      <c r="AE825" s="46">
        <f t="shared" si="264"/>
        <v>42.09214780854537</v>
      </c>
      <c r="AF825" s="46">
        <f t="shared" si="265"/>
        <v>-248.53982545441858</v>
      </c>
      <c r="AG825" s="47">
        <f t="shared" si="266"/>
        <v>7995.3528476162319</v>
      </c>
      <c r="AH825" s="45" t="str">
        <f t="shared" si="270"/>
        <v>-248.53983,42.09215,07995</v>
      </c>
      <c r="AI825" s="44">
        <f t="shared" si="272"/>
        <v>1021.3527329199479</v>
      </c>
    </row>
    <row r="826" spans="1:35" ht="18" customHeight="1" x14ac:dyDescent="0.25">
      <c r="A826" s="36">
        <f t="shared" si="267"/>
        <v>0.74902782407407409</v>
      </c>
      <c r="B826" s="42">
        <f t="shared" si="252"/>
        <v>42.092147805417255</v>
      </c>
      <c r="C826" s="43">
        <f t="shared" si="253"/>
        <v>111.46017506128008</v>
      </c>
      <c r="D826" s="18">
        <f t="shared" si="254"/>
        <v>7.9747781900323389</v>
      </c>
      <c r="E826" s="21" t="str">
        <f t="shared" si="255"/>
        <v>Umbra</v>
      </c>
      <c r="F826" s="23">
        <f>IF($E826&lt;&gt;"Umbra",fracil2($S$2,$S$3,$S$4,$A826,$Q$2,$O$3,$Q$4,$U826,$V826,$W826),0)</f>
        <v>0</v>
      </c>
      <c r="G826" s="19">
        <f t="shared" si="256"/>
        <v>69.300921242135814</v>
      </c>
      <c r="H826" s="19">
        <f t="shared" si="257"/>
        <v>-4.4159656472980924</v>
      </c>
      <c r="I826" s="19">
        <f t="shared" si="258"/>
        <v>-3.2079476979031973</v>
      </c>
      <c r="J826" s="28">
        <f t="shared" si="259"/>
        <v>4.9626728646904447E-3</v>
      </c>
      <c r="K826" s="24">
        <f t="shared" si="260"/>
        <v>1048.4749213182995</v>
      </c>
      <c r="L826" s="32">
        <f t="shared" si="261"/>
        <v>0.56009519830797128</v>
      </c>
      <c r="M826" s="35">
        <f t="shared" si="262"/>
        <v>13.090217324868885</v>
      </c>
      <c r="O826" s="29">
        <f t="shared" si="263"/>
        <v>1046.5852842496647</v>
      </c>
      <c r="T826" s="48">
        <v>0.74902782407407409</v>
      </c>
      <c r="U826" s="29">
        <v>-1383.4044834376234</v>
      </c>
      <c r="V826" s="29">
        <v>4539.9649881293026</v>
      </c>
      <c r="W826" s="29">
        <v>4258.5489569681131</v>
      </c>
      <c r="X826" s="4">
        <v>-0.32660011485965479</v>
      </c>
      <c r="Y826" s="4">
        <v>-0.11553345062184532</v>
      </c>
      <c r="Z826" s="4">
        <v>-1.3837076615412407E-2</v>
      </c>
      <c r="AA826" s="3">
        <f t="shared" si="268"/>
        <v>0.34670892392349933</v>
      </c>
      <c r="AB826" s="3">
        <f t="shared" si="271"/>
        <v>2.6836838950832103E-3</v>
      </c>
      <c r="AC826" s="3">
        <f t="shared" si="269"/>
        <v>2.0668314461396817E-2</v>
      </c>
      <c r="AD826" s="48"/>
      <c r="AE826" s="46">
        <f t="shared" si="264"/>
        <v>42.092147805417255</v>
      </c>
      <c r="AF826" s="46">
        <f t="shared" si="265"/>
        <v>-248.5398249387199</v>
      </c>
      <c r="AG826" s="47">
        <f t="shared" si="266"/>
        <v>7974.7781900323389</v>
      </c>
      <c r="AH826" s="45" t="str">
        <f t="shared" si="270"/>
        <v>-248.53982,42.09215,07975</v>
      </c>
      <c r="AI826" s="44">
        <f t="shared" si="272"/>
        <v>1021.3527329199479</v>
      </c>
    </row>
    <row r="827" spans="1:35" ht="18" customHeight="1" x14ac:dyDescent="0.25">
      <c r="A827" s="36">
        <f t="shared" si="267"/>
        <v>0.74903946759259254</v>
      </c>
      <c r="B827" s="42">
        <f t="shared" si="252"/>
        <v>42.092147802266091</v>
      </c>
      <c r="C827" s="43">
        <f t="shared" si="253"/>
        <v>111.46017276990895</v>
      </c>
      <c r="D827" s="18">
        <f t="shared" si="254"/>
        <v>7.9540373220870606</v>
      </c>
      <c r="E827" s="21" t="str">
        <f t="shared" si="255"/>
        <v>Umbra</v>
      </c>
      <c r="F827" s="23">
        <f>IF($E827&lt;&gt;"Umbra",fracil2($S$2,$S$3,$S$4,$A827,$Q$2,$O$3,$Q$4,$U827,$V827,$W827),0)</f>
        <v>0</v>
      </c>
      <c r="G827" s="19">
        <f t="shared" si="256"/>
        <v>69.300922624516957</v>
      </c>
      <c r="H827" s="19">
        <f t="shared" si="257"/>
        <v>-4.4170937589160149</v>
      </c>
      <c r="I827" s="19">
        <f t="shared" si="258"/>
        <v>-3.2090758095211198</v>
      </c>
      <c r="J827" s="28">
        <f t="shared" si="259"/>
        <v>4.9614865723429293E-3</v>
      </c>
      <c r="K827" s="24">
        <f t="shared" si="260"/>
        <v>1048.4729069783496</v>
      </c>
      <c r="L827" s="32">
        <f t="shared" si="261"/>
        <v>0.56010926937750372</v>
      </c>
      <c r="M827" s="35">
        <f t="shared" si="262"/>
        <v>13.089459173527912</v>
      </c>
      <c r="O827" s="29">
        <f t="shared" si="263"/>
        <v>1046.5850999370339</v>
      </c>
      <c r="T827" s="48">
        <v>0.74903946759259254</v>
      </c>
      <c r="U827" s="29">
        <v>-1383.7328567298755</v>
      </c>
      <c r="V827" s="29">
        <v>4539.8488242959866</v>
      </c>
      <c r="W827" s="29">
        <v>4258.5350535864945</v>
      </c>
      <c r="X827" s="4">
        <v>-0.32659626657087087</v>
      </c>
      <c r="Y827" s="4">
        <v>-0.11553833231744104</v>
      </c>
      <c r="Z827" s="4">
        <v>-1.3819385421717265E-2</v>
      </c>
      <c r="AA827" s="3">
        <f t="shared" si="268"/>
        <v>0.34670621999923906</v>
      </c>
      <c r="AB827" s="3">
        <f t="shared" si="271"/>
        <v>2.6719330578970652E-3</v>
      </c>
      <c r="AC827" s="3">
        <f t="shared" si="269"/>
        <v>2.0641956279977825E-2</v>
      </c>
      <c r="AD827" s="48"/>
      <c r="AE827" s="46">
        <f t="shared" si="264"/>
        <v>42.092147802266091</v>
      </c>
      <c r="AF827" s="46">
        <f t="shared" si="265"/>
        <v>-248.53982723009105</v>
      </c>
      <c r="AG827" s="47">
        <f t="shared" si="266"/>
        <v>7954.0373220870606</v>
      </c>
      <c r="AH827" s="45" t="str">
        <f t="shared" si="270"/>
        <v>-248.53983,42.09215,07954</v>
      </c>
      <c r="AI827" s="44">
        <f t="shared" si="272"/>
        <v>1021.3528973527073</v>
      </c>
    </row>
    <row r="828" spans="1:35" ht="18" customHeight="1" x14ac:dyDescent="0.25">
      <c r="A828" s="36">
        <f t="shared" si="267"/>
        <v>0.74905098379629631</v>
      </c>
      <c r="B828" s="42">
        <f t="shared" si="252"/>
        <v>42.092147799152414</v>
      </c>
      <c r="C828" s="43">
        <f t="shared" si="253"/>
        <v>111.46017430960514</v>
      </c>
      <c r="D828" s="18">
        <f t="shared" si="254"/>
        <v>7.9335305387448898</v>
      </c>
      <c r="E828" s="21" t="str">
        <f t="shared" si="255"/>
        <v>Umbra</v>
      </c>
      <c r="F828" s="23">
        <f>IF($E828&lt;&gt;"Umbra",fracil2($S$2,$S$3,$S$4,$A828,$Q$2,$O$3,$Q$4,$U828,$V828,$W828),0)</f>
        <v>0</v>
      </c>
      <c r="G828" s="19">
        <f t="shared" si="256"/>
        <v>69.300927864046628</v>
      </c>
      <c r="H828" s="19">
        <f t="shared" si="257"/>
        <v>-4.4182106108598589</v>
      </c>
      <c r="I828" s="19">
        <f t="shared" si="258"/>
        <v>-3.2101926614649638</v>
      </c>
      <c r="J828" s="28">
        <f t="shared" si="259"/>
        <v>4.9603165021433028E-3</v>
      </c>
      <c r="K828" s="24">
        <f t="shared" si="260"/>
        <v>1048.4712217745805</v>
      </c>
      <c r="L828" s="32">
        <f t="shared" si="261"/>
        <v>0.56012318149624851</v>
      </c>
      <c r="M828" s="35">
        <f t="shared" si="262"/>
        <v>13.088705717813987</v>
      </c>
      <c r="O828" s="29">
        <f t="shared" si="263"/>
        <v>1046.5852236558121</v>
      </c>
      <c r="T828" s="48">
        <v>0.74905098379629631</v>
      </c>
      <c r="U828" s="29">
        <v>-1384.0579331606712</v>
      </c>
      <c r="V828" s="29">
        <v>4539.7338205242313</v>
      </c>
      <c r="W828" s="29">
        <v>4258.5213071207245</v>
      </c>
      <c r="X828" s="4">
        <v>-0.32659243822097223</v>
      </c>
      <c r="Y828" s="4">
        <v>-0.11554323471841417</v>
      </c>
      <c r="Z828" s="4">
        <v>-1.3801936971735179E-2</v>
      </c>
      <c r="AA828" s="3">
        <f t="shared" si="268"/>
        <v>0.34670355241399803</v>
      </c>
      <c r="AB828" s="3">
        <f t="shared" si="271"/>
        <v>2.6643961272945741E-3</v>
      </c>
      <c r="AC828" s="3">
        <f t="shared" si="269"/>
        <v>2.0615959846895557E-2</v>
      </c>
      <c r="AD828" s="48"/>
      <c r="AE828" s="46">
        <f t="shared" si="264"/>
        <v>42.092147799152414</v>
      </c>
      <c r="AF828" s="46">
        <f t="shared" si="265"/>
        <v>-248.53982569039488</v>
      </c>
      <c r="AG828" s="47">
        <f t="shared" si="266"/>
        <v>7933.5305387448898</v>
      </c>
      <c r="AH828" s="45" t="str">
        <f t="shared" si="270"/>
        <v>-248.53983,42.09215,07934</v>
      </c>
      <c r="AI828" s="44">
        <f t="shared" si="272"/>
        <v>1021.3530316114923</v>
      </c>
    </row>
    <row r="829" spans="1:35" ht="18" customHeight="1" x14ac:dyDescent="0.25">
      <c r="A829" s="36">
        <f t="shared" si="267"/>
        <v>0.7490626041666667</v>
      </c>
      <c r="B829" s="42">
        <f t="shared" si="252"/>
        <v>42.09214779601843</v>
      </c>
      <c r="C829" s="43">
        <f t="shared" si="253"/>
        <v>111.46017364051943</v>
      </c>
      <c r="D829" s="18">
        <f t="shared" si="254"/>
        <v>7.9128754182829653</v>
      </c>
      <c r="E829" s="21" t="str">
        <f t="shared" si="255"/>
        <v>Umbra</v>
      </c>
      <c r="F829" s="23">
        <f>IF($E829&lt;&gt;"Umbra",fracil2($S$2,$S$3,$S$4,$A829,$Q$2,$O$3,$Q$4,$U829,$V829,$W829),0)</f>
        <v>0</v>
      </c>
      <c r="G829" s="19">
        <f t="shared" si="256"/>
        <v>69.300930882171286</v>
      </c>
      <c r="H829" s="19">
        <f t="shared" si="257"/>
        <v>-4.4193346889672513</v>
      </c>
      <c r="I829" s="19">
        <f t="shared" si="258"/>
        <v>-3.2113167395723563</v>
      </c>
      <c r="J829" s="28">
        <f t="shared" si="259"/>
        <v>4.9591410404725058E-3</v>
      </c>
      <c r="K829" s="24">
        <f t="shared" si="260"/>
        <v>1048.4693462649873</v>
      </c>
      <c r="L829" s="32">
        <f t="shared" si="261"/>
        <v>0.56013721764825708</v>
      </c>
      <c r="M829" s="35">
        <f t="shared" si="262"/>
        <v>13.087949048099276</v>
      </c>
      <c r="O829" s="29">
        <f t="shared" si="263"/>
        <v>1046.5851697807223</v>
      </c>
      <c r="T829" s="48">
        <v>0.7490626041666667</v>
      </c>
      <c r="U829" s="29">
        <v>-1384.3857723819231</v>
      </c>
      <c r="V829" s="29">
        <v>4539.6178330026005</v>
      </c>
      <c r="W829" s="29">
        <v>4258.5074612192066</v>
      </c>
      <c r="X829" s="4">
        <v>-0.32658855903766576</v>
      </c>
      <c r="Y829" s="4">
        <v>-0.11554824717436697</v>
      </c>
      <c r="Z829" s="4">
        <v>-1.3784404098827909E-2</v>
      </c>
      <c r="AA829" s="3">
        <f t="shared" si="268"/>
        <v>0.34670087123589305</v>
      </c>
      <c r="AB829" s="3">
        <f t="shared" si="271"/>
        <v>2.6532794900843591E-3</v>
      </c>
      <c r="AC829" s="3">
        <f t="shared" si="269"/>
        <v>2.0589837715981024E-2</v>
      </c>
      <c r="AD829" s="48"/>
      <c r="AE829" s="46">
        <f t="shared" si="264"/>
        <v>42.09214779601843</v>
      </c>
      <c r="AF829" s="46">
        <f t="shared" si="265"/>
        <v>-248.53982635948057</v>
      </c>
      <c r="AG829" s="47">
        <f t="shared" si="266"/>
        <v>7912.8754182829653</v>
      </c>
      <c r="AH829" s="45" t="str">
        <f t="shared" si="270"/>
        <v>-248.53983,42.09215,07913</v>
      </c>
      <c r="AI829" s="44">
        <f t="shared" si="272"/>
        <v>1021.3530316114923</v>
      </c>
    </row>
    <row r="830" spans="1:35" ht="18" customHeight="1" x14ac:dyDescent="0.25">
      <c r="A830" s="36">
        <f t="shared" si="267"/>
        <v>0.74907415509259268</v>
      </c>
      <c r="B830" s="42">
        <f t="shared" si="252"/>
        <v>42.092147792907724</v>
      </c>
      <c r="C830" s="43">
        <f t="shared" si="253"/>
        <v>111.46017487722575</v>
      </c>
      <c r="D830" s="18">
        <f t="shared" si="254"/>
        <v>7.8923603576577079</v>
      </c>
      <c r="E830" s="21" t="str">
        <f t="shared" si="255"/>
        <v>Umbra</v>
      </c>
      <c r="F830" s="23">
        <f>IF($E830&lt;&gt;"Umbra",fracil2($S$2,$S$3,$S$4,$A830,$Q$2,$O$3,$Q$4,$U830,$V830,$W830),0)</f>
        <v>0</v>
      </c>
      <c r="G830" s="19">
        <f t="shared" si="256"/>
        <v>69.300935814837572</v>
      </c>
      <c r="H830" s="19">
        <f t="shared" si="257"/>
        <v>-4.4204518820213625</v>
      </c>
      <c r="I830" s="19">
        <f t="shared" si="258"/>
        <v>-3.2124339326264675</v>
      </c>
      <c r="J830" s="28">
        <f t="shared" si="259"/>
        <v>4.9579764922609076E-3</v>
      </c>
      <c r="K830" s="24">
        <f t="shared" si="260"/>
        <v>1048.4676367645843</v>
      </c>
      <c r="L830" s="32">
        <f t="shared" si="261"/>
        <v>0.56015116587588498</v>
      </c>
      <c r="M830" s="35">
        <f t="shared" si="262"/>
        <v>13.087195575346254</v>
      </c>
      <c r="O830" s="29">
        <f t="shared" si="263"/>
        <v>1046.5852691381947</v>
      </c>
      <c r="T830" s="48">
        <v>0.74907415509259268</v>
      </c>
      <c r="U830" s="29">
        <v>-1384.7117972023584</v>
      </c>
      <c r="V830" s="29">
        <v>4539.5024810107898</v>
      </c>
      <c r="W830" s="29">
        <v>4258.493709205216</v>
      </c>
      <c r="X830" s="4">
        <v>-0.32658468261841955</v>
      </c>
      <c r="Y830" s="4">
        <v>-0.1155533015136664</v>
      </c>
      <c r="Z830" s="4">
        <v>-1.376703330249404E-2</v>
      </c>
      <c r="AA830" s="3">
        <f t="shared" si="268"/>
        <v>0.34669821403871426</v>
      </c>
      <c r="AB830" s="3">
        <f t="shared" si="271"/>
        <v>2.6445477871815419E-3</v>
      </c>
      <c r="AC830" s="3">
        <f t="shared" si="269"/>
        <v>2.0563957145251017E-2</v>
      </c>
      <c r="AD830" s="48"/>
      <c r="AE830" s="46">
        <f t="shared" si="264"/>
        <v>42.092147792907724</v>
      </c>
      <c r="AF830" s="46">
        <f t="shared" si="265"/>
        <v>-248.53982512277423</v>
      </c>
      <c r="AG830" s="47">
        <f t="shared" si="266"/>
        <v>7892.3603576577079</v>
      </c>
      <c r="AH830" s="45" t="str">
        <f t="shared" si="270"/>
        <v>-248.53983,42.09215,07892</v>
      </c>
      <c r="AI830" s="44">
        <f t="shared" si="272"/>
        <v>1021.3531658702773</v>
      </c>
    </row>
    <row r="831" spans="1:35" ht="18" customHeight="1" x14ac:dyDescent="0.25">
      <c r="A831" s="36">
        <f t="shared" si="267"/>
        <v>0.74908567129629633</v>
      </c>
      <c r="B831" s="42">
        <f t="shared" si="252"/>
        <v>42.09214778981417</v>
      </c>
      <c r="C831" s="43">
        <f t="shared" si="253"/>
        <v>111.46017379063338</v>
      </c>
      <c r="D831" s="18">
        <f t="shared" si="254"/>
        <v>7.8719440575623594</v>
      </c>
      <c r="E831" s="21" t="str">
        <f t="shared" si="255"/>
        <v>Umbra</v>
      </c>
      <c r="F831" s="23">
        <f>IF($E831&lt;&gt;"Umbra",fracil2($S$2,$S$3,$S$4,$A831,$Q$2,$O$3,$Q$4,$U831,$V831,$W831),0)</f>
        <v>0</v>
      </c>
      <c r="G831" s="19">
        <f t="shared" si="256"/>
        <v>69.300938365298961</v>
      </c>
      <c r="H831" s="19">
        <f t="shared" si="257"/>
        <v>-4.421562807003605</v>
      </c>
      <c r="I831" s="19">
        <f t="shared" si="258"/>
        <v>-3.21354485760871</v>
      </c>
      <c r="J831" s="28">
        <f t="shared" si="259"/>
        <v>4.9568205754181079E-3</v>
      </c>
      <c r="K831" s="24">
        <f t="shared" si="260"/>
        <v>1048.4657495371393</v>
      </c>
      <c r="L831" s="32">
        <f t="shared" si="261"/>
        <v>0.56016507048602593</v>
      </c>
      <c r="M831" s="35">
        <f t="shared" si="262"/>
        <v>13.086448064448888</v>
      </c>
      <c r="O831" s="29">
        <f t="shared" si="263"/>
        <v>1046.5851816951922</v>
      </c>
      <c r="T831" s="48">
        <v>0.74908567129629633</v>
      </c>
      <c r="U831" s="29">
        <v>-1385.0366568311326</v>
      </c>
      <c r="V831" s="29">
        <v>4539.3875348623305</v>
      </c>
      <c r="W831" s="29">
        <v>4258.4800233942924</v>
      </c>
      <c r="X831" s="4">
        <v>-0.3265808020904124</v>
      </c>
      <c r="Y831" s="4">
        <v>-0.11555840483879527</v>
      </c>
      <c r="Z831" s="4">
        <v>-1.3749787208916144E-2</v>
      </c>
      <c r="AA831" s="3">
        <f t="shared" si="268"/>
        <v>0.34669557521144467</v>
      </c>
      <c r="AB831" s="3">
        <f t="shared" si="271"/>
        <v>2.6334707555769137E-3</v>
      </c>
      <c r="AC831" s="3">
        <f t="shared" si="269"/>
        <v>2.0538262450093086E-2</v>
      </c>
      <c r="AD831" s="48"/>
      <c r="AE831" s="46">
        <f t="shared" si="264"/>
        <v>42.09214778981417</v>
      </c>
      <c r="AF831" s="46">
        <f t="shared" si="265"/>
        <v>-248.53982620936662</v>
      </c>
      <c r="AG831" s="47">
        <f t="shared" si="266"/>
        <v>7871.9440575623594</v>
      </c>
      <c r="AH831" s="45" t="str">
        <f t="shared" si="270"/>
        <v>-248.53983,42.09215,07872</v>
      </c>
      <c r="AI831" s="44">
        <f t="shared" si="272"/>
        <v>1021.3533001290623</v>
      </c>
    </row>
    <row r="832" spans="1:35" ht="18" customHeight="1" x14ac:dyDescent="0.25">
      <c r="A832" s="36">
        <f t="shared" si="267"/>
        <v>0.74909730324074075</v>
      </c>
      <c r="B832" s="42">
        <f t="shared" si="252"/>
        <v>42.092147786693246</v>
      </c>
      <c r="C832" s="43">
        <f t="shared" si="253"/>
        <v>111.46017553527122</v>
      </c>
      <c r="D832" s="18">
        <f t="shared" si="254"/>
        <v>7.8513345629271498</v>
      </c>
      <c r="E832" s="21" t="str">
        <f t="shared" si="255"/>
        <v>Umbra</v>
      </c>
      <c r="F832" s="23">
        <f>IF($E832&lt;&gt;"Umbra",fracil2($S$2,$S$3,$S$4,$A832,$Q$2,$O$3,$Q$4,$U832,$V832,$W832),0)</f>
        <v>0</v>
      </c>
      <c r="G832" s="19">
        <f t="shared" si="256"/>
        <v>69.300943831844663</v>
      </c>
      <c r="H832" s="19">
        <f t="shared" si="257"/>
        <v>-4.4226853437717502</v>
      </c>
      <c r="I832" s="19">
        <f t="shared" si="258"/>
        <v>-3.2146673943768551</v>
      </c>
      <c r="J832" s="28">
        <f t="shared" si="259"/>
        <v>4.9556564866695962E-3</v>
      </c>
      <c r="K832" s="24">
        <f t="shared" si="260"/>
        <v>1048.4640733546921</v>
      </c>
      <c r="L832" s="32">
        <f t="shared" si="261"/>
        <v>0.56017911028057554</v>
      </c>
      <c r="M832" s="35">
        <f t="shared" si="262"/>
        <v>13.08569059504806</v>
      </c>
      <c r="O832" s="29">
        <f t="shared" si="263"/>
        <v>1046.5853218917839</v>
      </c>
      <c r="T832" s="48">
        <v>0.74909730324074075</v>
      </c>
      <c r="U832" s="29">
        <v>-1385.3649996170402</v>
      </c>
      <c r="V832" s="29">
        <v>4539.2713496730084</v>
      </c>
      <c r="W832" s="29">
        <v>4258.4662080779872</v>
      </c>
      <c r="X832" s="4">
        <v>-0.32657686186110008</v>
      </c>
      <c r="Y832" s="4">
        <v>-0.11556363040690351</v>
      </c>
      <c r="Z832" s="4">
        <v>-1.3732419265529962E-2</v>
      </c>
      <c r="AA832" s="3">
        <f t="shared" si="268"/>
        <v>0.34669291702420418</v>
      </c>
      <c r="AB832" s="3">
        <f t="shared" si="271"/>
        <v>2.6256799062727536E-3</v>
      </c>
      <c r="AC832" s="3">
        <f t="shared" si="269"/>
        <v>2.0512386295846417E-2</v>
      </c>
      <c r="AD832" s="48"/>
      <c r="AE832" s="46">
        <f t="shared" si="264"/>
        <v>42.092147786693246</v>
      </c>
      <c r="AF832" s="46">
        <f t="shared" si="265"/>
        <v>-248.53982446472878</v>
      </c>
      <c r="AG832" s="47">
        <f t="shared" si="266"/>
        <v>7851.3345629271498</v>
      </c>
      <c r="AH832" s="45" t="str">
        <f t="shared" si="270"/>
        <v>-248.53982,42.09215,07851</v>
      </c>
      <c r="AI832" s="44">
        <f t="shared" si="272"/>
        <v>1021.3534343878473</v>
      </c>
    </row>
    <row r="833" spans="1:35" ht="18" customHeight="1" x14ac:dyDescent="0.25">
      <c r="A833" s="36">
        <f t="shared" si="267"/>
        <v>0.74910879629629623</v>
      </c>
      <c r="B833" s="42">
        <f t="shared" si="252"/>
        <v>42.092147783618501</v>
      </c>
      <c r="C833" s="43">
        <f t="shared" si="253"/>
        <v>111.46017333966573</v>
      </c>
      <c r="D833" s="18">
        <f t="shared" si="254"/>
        <v>7.8310158831654917</v>
      </c>
      <c r="E833" s="21" t="str">
        <f t="shared" si="255"/>
        <v>Umbra</v>
      </c>
      <c r="F833" s="23">
        <f>IF($E833&lt;&gt;"Umbra",fracil2($S$2,$S$3,$S$4,$A833,$Q$2,$O$3,$Q$4,$U833,$V833,$W833),0)</f>
        <v>0</v>
      </c>
      <c r="G833" s="19">
        <f t="shared" si="256"/>
        <v>69.300945236153609</v>
      </c>
      <c r="H833" s="19">
        <f t="shared" si="257"/>
        <v>-4.4237905352314311</v>
      </c>
      <c r="I833" s="19">
        <f t="shared" si="258"/>
        <v>-3.215772585836536</v>
      </c>
      <c r="J833" s="28">
        <f t="shared" si="259"/>
        <v>4.9545118964775771E-3</v>
      </c>
      <c r="K833" s="24">
        <f t="shared" si="260"/>
        <v>1048.4621063391889</v>
      </c>
      <c r="L833" s="32">
        <f t="shared" si="261"/>
        <v>0.5601929816542921</v>
      </c>
      <c r="M833" s="35">
        <f t="shared" si="262"/>
        <v>13.084947765342021</v>
      </c>
      <c r="O833" s="29">
        <f t="shared" si="263"/>
        <v>1046.5851452809345</v>
      </c>
      <c r="T833" s="48">
        <v>0.74910879629629623</v>
      </c>
      <c r="U833" s="29">
        <v>-1385.689111654694</v>
      </c>
      <c r="V833" s="29">
        <v>4539.156654984944</v>
      </c>
      <c r="W833" s="29">
        <v>4258.4525877059659</v>
      </c>
      <c r="X833" s="4">
        <v>-0.32657295465336372</v>
      </c>
      <c r="Y833" s="4">
        <v>-0.11556885485033296</v>
      </c>
      <c r="Z833" s="4">
        <v>-1.3715336944071149E-2</v>
      </c>
      <c r="AA833" s="3">
        <f t="shared" si="268"/>
        <v>0.34669030184003519</v>
      </c>
      <c r="AB833" s="3">
        <f t="shared" si="271"/>
        <v>2.6136997490218443E-3</v>
      </c>
      <c r="AC833" s="3">
        <f t="shared" si="269"/>
        <v>2.0486935765685853E-2</v>
      </c>
      <c r="AD833" s="48"/>
      <c r="AE833" s="46">
        <f t="shared" si="264"/>
        <v>42.092147783618501</v>
      </c>
      <c r="AF833" s="46">
        <f t="shared" si="265"/>
        <v>-248.53982666033426</v>
      </c>
      <c r="AG833" s="47">
        <f t="shared" si="266"/>
        <v>7831.0158831654917</v>
      </c>
      <c r="AH833" s="45" t="str">
        <f t="shared" si="270"/>
        <v>-248.53983,42.09215,07831</v>
      </c>
      <c r="AI833" s="44">
        <f t="shared" si="272"/>
        <v>1021.3536242584432</v>
      </c>
    </row>
    <row r="834" spans="1:35" ht="18" customHeight="1" x14ac:dyDescent="0.25">
      <c r="A834" s="36">
        <f t="shared" si="267"/>
        <v>0.74912052083333336</v>
      </c>
      <c r="B834" s="42">
        <f t="shared" si="252"/>
        <v>42.092147780486556</v>
      </c>
      <c r="C834" s="43">
        <f t="shared" si="253"/>
        <v>111.46017274911205</v>
      </c>
      <c r="D834" s="18">
        <f t="shared" si="254"/>
        <v>7.8103059094901255</v>
      </c>
      <c r="E834" s="21" t="str">
        <f t="shared" si="255"/>
        <v>Umbra</v>
      </c>
      <c r="F834" s="23">
        <f>IF($E834&lt;&gt;"Umbra",fracil2($S$2,$S$3,$S$4,$A834,$Q$2,$O$3,$Q$4,$U834,$V834,$W834),0)</f>
        <v>0</v>
      </c>
      <c r="G834" s="19">
        <f t="shared" si="256"/>
        <v>69.300948344086009</v>
      </c>
      <c r="H834" s="19">
        <f t="shared" si="257"/>
        <v>-4.4249176492761535</v>
      </c>
      <c r="I834" s="19">
        <f t="shared" si="258"/>
        <v>-3.2168996998812585</v>
      </c>
      <c r="J834" s="28">
        <f t="shared" si="259"/>
        <v>4.9533481346362949E-3</v>
      </c>
      <c r="K834" s="24">
        <f t="shared" si="260"/>
        <v>1048.460234317479</v>
      </c>
      <c r="L834" s="32">
        <f t="shared" si="261"/>
        <v>0.56020712849715337</v>
      </c>
      <c r="M834" s="35">
        <f t="shared" si="262"/>
        <v>13.084188953468022</v>
      </c>
      <c r="O834" s="29">
        <f t="shared" si="263"/>
        <v>1046.5850977201296</v>
      </c>
      <c r="T834" s="48">
        <v>0.74912052083333336</v>
      </c>
      <c r="U834" s="29">
        <v>-1386.0198765452656</v>
      </c>
      <c r="V834" s="29">
        <v>4539.0395992292924</v>
      </c>
      <c r="W834" s="29">
        <v>4258.4387050351479</v>
      </c>
      <c r="X834" s="4">
        <v>-0.32656894895130106</v>
      </c>
      <c r="Y834" s="4">
        <v>-0.1155742546492199</v>
      </c>
      <c r="Z834" s="4">
        <v>-1.36979676071802E-2</v>
      </c>
      <c r="AA834" s="3">
        <f t="shared" si="268"/>
        <v>0.34668764193932206</v>
      </c>
      <c r="AB834" s="3">
        <f t="shared" si="271"/>
        <v>2.6051362913828875E-3</v>
      </c>
      <c r="AC834" s="3">
        <f t="shared" si="269"/>
        <v>2.0461057701648199E-2</v>
      </c>
      <c r="AD834" s="48"/>
      <c r="AE834" s="46">
        <f t="shared" si="264"/>
        <v>42.092147780486556</v>
      </c>
      <c r="AF834" s="46">
        <f t="shared" si="265"/>
        <v>-248.53982725088795</v>
      </c>
      <c r="AG834" s="47">
        <f t="shared" si="266"/>
        <v>7810.3059094901255</v>
      </c>
      <c r="AH834" s="45" t="str">
        <f t="shared" si="270"/>
        <v>-248.53983,42.09215,07810</v>
      </c>
      <c r="AI834" s="44">
        <f t="shared" si="272"/>
        <v>1021.3536242584432</v>
      </c>
    </row>
    <row r="835" spans="1:35" ht="18" customHeight="1" x14ac:dyDescent="0.25">
      <c r="A835" s="36">
        <f t="shared" si="267"/>
        <v>0.7491319675925926</v>
      </c>
      <c r="B835" s="42">
        <f t="shared" si="252"/>
        <v>42.092147777433112</v>
      </c>
      <c r="C835" s="43">
        <f t="shared" si="253"/>
        <v>111.46017446929189</v>
      </c>
      <c r="D835" s="18">
        <f t="shared" si="254"/>
        <v>7.7901006494093963</v>
      </c>
      <c r="E835" s="21" t="str">
        <f t="shared" si="255"/>
        <v>Umbra</v>
      </c>
      <c r="F835" s="23">
        <f>IF($E835&lt;&gt;"Umbra",fracil2($S$2,$S$3,$S$4,$A835,$Q$2,$O$3,$Q$4,$U835,$V835,$W835),0)</f>
        <v>0</v>
      </c>
      <c r="G835" s="19">
        <f t="shared" si="256"/>
        <v>69.300953713377055</v>
      </c>
      <c r="H835" s="19">
        <f t="shared" si="257"/>
        <v>-4.4260181833782415</v>
      </c>
      <c r="I835" s="19">
        <f t="shared" si="258"/>
        <v>-3.2180002339833464</v>
      </c>
      <c r="J835" s="28">
        <f t="shared" si="259"/>
        <v>4.9522154353410551E-3</v>
      </c>
      <c r="K835" s="24">
        <f t="shared" si="260"/>
        <v>1048.4585929710588</v>
      </c>
      <c r="L835" s="32">
        <f t="shared" si="261"/>
        <v>0.56022093598310652</v>
      </c>
      <c r="M835" s="35">
        <f t="shared" si="262"/>
        <v>13.083446301504438</v>
      </c>
      <c r="O835" s="29">
        <f t="shared" si="263"/>
        <v>1046.5852359518892</v>
      </c>
      <c r="T835" s="48">
        <v>0.7491319675925926</v>
      </c>
      <c r="U835" s="29">
        <v>-1386.3429805559426</v>
      </c>
      <c r="V835" s="29">
        <v>4538.9252479110974</v>
      </c>
      <c r="W835" s="29">
        <v>4258.4251606929311</v>
      </c>
      <c r="X835" s="4">
        <v>-0.32656501849776848</v>
      </c>
      <c r="Y835" s="4">
        <v>-0.11557959471914196</v>
      </c>
      <c r="Z835" s="4">
        <v>-1.368106158218637E-2</v>
      </c>
      <c r="AA835" s="3">
        <f t="shared" si="268"/>
        <v>0.34668505227065177</v>
      </c>
      <c r="AB835" s="3">
        <f t="shared" si="271"/>
        <v>2.5971705759182165E-3</v>
      </c>
      <c r="AC835" s="3">
        <f t="shared" si="269"/>
        <v>2.0435869993382136E-2</v>
      </c>
      <c r="AD835" s="48"/>
      <c r="AE835" s="46">
        <f t="shared" si="264"/>
        <v>42.092147777433112</v>
      </c>
      <c r="AF835" s="46">
        <f t="shared" si="265"/>
        <v>-248.53982553070813</v>
      </c>
      <c r="AG835" s="47">
        <f t="shared" si="266"/>
        <v>7790.1006494093963</v>
      </c>
      <c r="AH835" s="45" t="str">
        <f t="shared" si="270"/>
        <v>-248.53983,42.09215,07790</v>
      </c>
      <c r="AI835" s="44">
        <f t="shared" si="272"/>
        <v>1021.3537585172282</v>
      </c>
    </row>
    <row r="836" spans="1:35" ht="18" customHeight="1" x14ac:dyDescent="0.25">
      <c r="A836" s="36">
        <f t="shared" si="267"/>
        <v>0.74914371527777768</v>
      </c>
      <c r="B836" s="42">
        <f t="shared" si="252"/>
        <v>42.092147774307612</v>
      </c>
      <c r="C836" s="43">
        <f t="shared" si="253"/>
        <v>111.4601732415301</v>
      </c>
      <c r="D836" s="18">
        <f t="shared" si="254"/>
        <v>7.769404707855756</v>
      </c>
      <c r="E836" s="21" t="str">
        <f t="shared" si="255"/>
        <v>Umbra</v>
      </c>
      <c r="F836" s="23">
        <f>IF($E836&lt;&gt;"Umbra",fracil2($S$2,$S$3,$S$4,$A836,$Q$2,$O$3,$Q$4,$U836,$V836,$W836),0)</f>
        <v>0</v>
      </c>
      <c r="G836" s="19">
        <f t="shared" si="256"/>
        <v>69.300956170303238</v>
      </c>
      <c r="H836" s="19">
        <f t="shared" si="257"/>
        <v>-4.4271442959319334</v>
      </c>
      <c r="I836" s="19">
        <f t="shared" si="258"/>
        <v>-3.2191263465370383</v>
      </c>
      <c r="J836" s="28">
        <f t="shared" si="259"/>
        <v>4.9510584291838798E-3</v>
      </c>
      <c r="K836" s="24">
        <f t="shared" si="260"/>
        <v>1048.4566717455116</v>
      </c>
      <c r="L836" s="32">
        <f t="shared" si="261"/>
        <v>0.56023510512981312</v>
      </c>
      <c r="M836" s="35">
        <f t="shared" si="262"/>
        <v>13.082688628231182</v>
      </c>
      <c r="O836" s="29">
        <f t="shared" si="263"/>
        <v>1046.5851371576102</v>
      </c>
      <c r="T836" s="48">
        <v>0.74914371527777768</v>
      </c>
      <c r="U836" s="29">
        <v>-1386.6743407221088</v>
      </c>
      <c r="V836" s="29">
        <v>4538.8079676614398</v>
      </c>
      <c r="W836" s="29">
        <v>4258.4112874287284</v>
      </c>
      <c r="X836" s="4">
        <v>-0.32656096895710685</v>
      </c>
      <c r="Y836" s="4">
        <v>-0.11558514040590158</v>
      </c>
      <c r="Z836" s="4">
        <v>-1.3663788183608923E-2</v>
      </c>
      <c r="AA836" s="3">
        <f t="shared" si="268"/>
        <v>0.34668240543238277</v>
      </c>
      <c r="AB836" s="3">
        <f t="shared" si="271"/>
        <v>2.5856254434227198E-3</v>
      </c>
      <c r="AC836" s="3">
        <f t="shared" si="269"/>
        <v>2.0410135030637686E-2</v>
      </c>
      <c r="AD836" s="48"/>
      <c r="AE836" s="46">
        <f t="shared" si="264"/>
        <v>42.092147774307612</v>
      </c>
      <c r="AF836" s="46">
        <f t="shared" si="265"/>
        <v>-248.5398267584699</v>
      </c>
      <c r="AG836" s="47">
        <f t="shared" si="266"/>
        <v>7769.404707855756</v>
      </c>
      <c r="AH836" s="45" t="str">
        <f t="shared" si="270"/>
        <v>-248.53983,42.09215,07769</v>
      </c>
      <c r="AI836" s="44">
        <f t="shared" si="272"/>
        <v>1021.3537585172282</v>
      </c>
    </row>
    <row r="837" spans="1:35" ht="18" customHeight="1" x14ac:dyDescent="0.25">
      <c r="A837" s="36">
        <f t="shared" si="267"/>
        <v>0.74915519675925923</v>
      </c>
      <c r="B837" s="42">
        <f t="shared" si="252"/>
        <v>42.092147771258361</v>
      </c>
      <c r="C837" s="43">
        <f t="shared" si="253"/>
        <v>111.46017263816239</v>
      </c>
      <c r="D837" s="18">
        <f t="shared" si="254"/>
        <v>7.7492000504598764</v>
      </c>
      <c r="E837" s="21" t="str">
        <f t="shared" si="255"/>
        <v>Umbra</v>
      </c>
      <c r="F837" s="23">
        <f>IF($E837&lt;&gt;"Umbra",fracil2($S$2,$S$3,$S$4,$A837,$Q$2,$O$3,$Q$4,$U837,$V837,$W837),0)</f>
        <v>0</v>
      </c>
      <c r="G837" s="19">
        <f t="shared" si="256"/>
        <v>69.3009591747294</v>
      </c>
      <c r="H837" s="19">
        <f t="shared" si="257"/>
        <v>-4.4282439097915995</v>
      </c>
      <c r="I837" s="19">
        <f t="shared" si="258"/>
        <v>-3.2202259603967045</v>
      </c>
      <c r="J837" s="28">
        <f t="shared" si="259"/>
        <v>4.9499316361210979E-3</v>
      </c>
      <c r="K837" s="24">
        <f t="shared" si="260"/>
        <v>1048.4548443849374</v>
      </c>
      <c r="L837" s="32">
        <f t="shared" si="261"/>
        <v>0.56024894996044006</v>
      </c>
      <c r="M837" s="35">
        <f t="shared" si="262"/>
        <v>13.081948328618015</v>
      </c>
      <c r="O837" s="29">
        <f t="shared" si="263"/>
        <v>1046.5850885685866</v>
      </c>
      <c r="T837" s="48">
        <v>0.74915519675925923</v>
      </c>
      <c r="U837" s="29">
        <v>-1386.9982348943824</v>
      </c>
      <c r="V837" s="29">
        <v>4538.6933230157201</v>
      </c>
      <c r="W837" s="29">
        <v>4258.3977434908566</v>
      </c>
      <c r="X837" s="4">
        <v>-0.32655699335480592</v>
      </c>
      <c r="Y837" s="4">
        <v>-0.11559062563768761</v>
      </c>
      <c r="Z837" s="4">
        <v>-1.3646964208848603E-2</v>
      </c>
      <c r="AA837" s="3">
        <f t="shared" si="268"/>
        <v>0.34667982675137071</v>
      </c>
      <c r="AB837" s="3">
        <f t="shared" si="271"/>
        <v>2.5767328644653526E-3</v>
      </c>
      <c r="AC837" s="3">
        <f t="shared" si="269"/>
        <v>2.0385069727708326E-2</v>
      </c>
      <c r="AD837" s="48"/>
      <c r="AE837" s="46">
        <f t="shared" si="264"/>
        <v>42.092147771258361</v>
      </c>
      <c r="AF837" s="46">
        <f t="shared" si="265"/>
        <v>-248.53982736183761</v>
      </c>
      <c r="AG837" s="47">
        <f t="shared" si="266"/>
        <v>7749.2000504598764</v>
      </c>
      <c r="AH837" s="45" t="str">
        <f t="shared" si="270"/>
        <v>-248.53983,42.09215,07749</v>
      </c>
      <c r="AI837" s="44">
        <f t="shared" si="272"/>
        <v>1021.3537585172282</v>
      </c>
    </row>
    <row r="838" spans="1:35" ht="18" customHeight="1" x14ac:dyDescent="0.25">
      <c r="A838" s="36">
        <f t="shared" si="267"/>
        <v>0.74916670138888886</v>
      </c>
      <c r="B838" s="42">
        <f t="shared" ref="B838:B901" si="273">latitude($U838,$V838,$W838)</f>
        <v>42.092147768205471</v>
      </c>
      <c r="C838" s="43">
        <f t="shared" ref="C838:C901" si="274">longitude($S$2,$S$3,$S$4,$A838,$U838,$V838)</f>
        <v>111.46017648717059</v>
      </c>
      <c r="D838" s="18">
        <f t="shared" ref="D838:D901" si="275">altitude($U838,$V838,$W838)</f>
        <v>7.728957907233962</v>
      </c>
      <c r="E838" s="21" t="str">
        <f t="shared" ref="E838:E901" si="276">illum2($S$2,$S$3,$S$4,$A838,$U838,$V838,$W838)</f>
        <v>Umbra</v>
      </c>
      <c r="F838" s="23">
        <f>IF($E838&lt;&gt;"Umbra",fracil2($S$2,$S$3,$S$4,$A838,$Q$2,$O$3,$Q$4,$U838,$V838,$W838),0)</f>
        <v>0</v>
      </c>
      <c r="G838" s="19">
        <f t="shared" ref="G838:G901" si="277">azimuth($S$2,$S$3,$S$4,$A838,$Q$2,$O$3,$Q$4,$U838,$V838,$W838)</f>
        <v>69.300966717259783</v>
      </c>
      <c r="H838" s="19">
        <f t="shared" ref="H838:H901" si="278">elev($S$2,$S$3,$S$4,$A838,$Q$2,$O$3,$Q$4,$U838,$V838,$W838)</f>
        <v>-4.4293472820044357</v>
      </c>
      <c r="I838" s="19">
        <f t="shared" ref="I838:I901" si="279">elev($S$2,$S$3,$S$4,$A838,$Q$2,$O$3,$Q$4,$U838,$V838,$W838)+DEGREES(ACOS($Q$3/$Q$4))</f>
        <v>-3.2213293326095407</v>
      </c>
      <c r="J838" s="28">
        <f t="shared" ref="J838:J901" si="280">vang($S$2,$S$3,$S$4,$A838,$Q$2,$O$3,$Q$4,$U838,$V838,$W838,$X838,$Y838,$Z838)</f>
        <v>4.9488052913062687E-3</v>
      </c>
      <c r="K838" s="24">
        <f t="shared" ref="K838:K901" si="281">slant_rng($S$2,$S$3,$S$4,$A838,$Q$2,$O$3,$Q$4,$U838,$V838,$W838)</f>
        <v>1048.4533721506566</v>
      </c>
      <c r="L838" s="32">
        <f t="shared" ref="L838:L901" si="282">radec2("ra",$S$2,$S$3,$S$4,$A838,$Q$2,$O$3,$Q$4,$U838,$V838,$W838)/24</f>
        <v>0.56026281734661765</v>
      </c>
      <c r="M838" s="35">
        <f t="shared" ref="M838:M901" si="283">radec2("dec",$S$2,$S$3,$S$4,$A838,$Q$2,$O$3,$Q$4,$U838,$V838,$W838)</f>
        <v>13.081202141723256</v>
      </c>
      <c r="O838" s="29">
        <f t="shared" ref="O838:O901" si="284">DEGREES(ACOS(SIN(RADIANS($B838))*SIN(RADIANS($O$2))+COS(RADIANS($B838))*COS(RADIANS($O$2))*COS(RADIANS($C838-$O$3))))*111.2</f>
        <v>1046.5853979652106</v>
      </c>
      <c r="T838" s="48">
        <v>0.74916670138888886</v>
      </c>
      <c r="U838" s="29">
        <v>-1387.3231262087681</v>
      </c>
      <c r="V838" s="29">
        <v>4538.5783185219179</v>
      </c>
      <c r="W838" s="29">
        <v>4258.3841744249985</v>
      </c>
      <c r="X838" s="4">
        <v>-0.32655298827353224</v>
      </c>
      <c r="Y838" s="4">
        <v>-0.11559619192372086</v>
      </c>
      <c r="Z838" s="4">
        <v>-1.3630148367748968E-2</v>
      </c>
      <c r="AA838" s="3">
        <f t="shared" si="268"/>
        <v>0.34667724857879878</v>
      </c>
      <c r="AB838" s="3">
        <f t="shared" si="271"/>
        <v>2.5702968546615673E-3</v>
      </c>
      <c r="AC838" s="3">
        <f t="shared" si="269"/>
        <v>2.0360016622737273E-2</v>
      </c>
      <c r="AD838" s="48"/>
      <c r="AE838" s="46">
        <f t="shared" ref="AE838:AE901" si="285">$B838</f>
        <v>42.092147768205471</v>
      </c>
      <c r="AF838" s="46">
        <f t="shared" ref="AF838:AF901" si="286">$C838-360</f>
        <v>-248.5398235128294</v>
      </c>
      <c r="AG838" s="47">
        <f t="shared" ref="AG838:AG901" si="287">$D838*1000</f>
        <v>7728.957907233962</v>
      </c>
      <c r="AH838" s="45" t="str">
        <f t="shared" si="270"/>
        <v>-248.53982,42.09215,07729</v>
      </c>
      <c r="AI838" s="44">
        <f t="shared" si="272"/>
        <v>1021.3540733819909</v>
      </c>
    </row>
    <row r="839" spans="1:35" ht="18" customHeight="1" x14ac:dyDescent="0.25">
      <c r="A839" s="36">
        <f t="shared" ref="A839:A902" si="288">$T839+$S$5/86400</f>
        <v>0.74917833333333339</v>
      </c>
      <c r="B839" s="42">
        <f t="shared" si="273"/>
        <v>42.092147765127557</v>
      </c>
      <c r="C839" s="43">
        <f t="shared" si="274"/>
        <v>111.4601762669642</v>
      </c>
      <c r="D839" s="18">
        <f t="shared" si="275"/>
        <v>7.7085370678487379</v>
      </c>
      <c r="E839" s="21" t="str">
        <f t="shared" si="276"/>
        <v>Umbra</v>
      </c>
      <c r="F839" s="23">
        <f>IF($E839&lt;&gt;"Umbra",fracil2($S$2,$S$3,$S$4,$A839,$Q$2,$O$3,$Q$4,$U839,$V839,$W839),0)</f>
        <v>0</v>
      </c>
      <c r="G839" s="19">
        <f t="shared" si="277"/>
        <v>69.300970150385382</v>
      </c>
      <c r="H839" s="19">
        <f t="shared" si="278"/>
        <v>-4.4304588186521698</v>
      </c>
      <c r="I839" s="19">
        <f t="shared" si="279"/>
        <v>-3.2224408692572748</v>
      </c>
      <c r="J839" s="28">
        <f t="shared" si="280"/>
        <v>4.9476720704620834E-3</v>
      </c>
      <c r="K839" s="24">
        <f t="shared" si="281"/>
        <v>1048.451557352786</v>
      </c>
      <c r="L839" s="32">
        <f t="shared" si="282"/>
        <v>0.56027683756520419</v>
      </c>
      <c r="M839" s="35">
        <f t="shared" si="283"/>
        <v>13.08045350732047</v>
      </c>
      <c r="O839" s="29">
        <f t="shared" si="284"/>
        <v>1046.5853801828953</v>
      </c>
      <c r="T839" s="48">
        <v>0.74917833333333339</v>
      </c>
      <c r="U839" s="29">
        <v>-1387.6512874871314</v>
      </c>
      <c r="V839" s="29">
        <v>4538.4621494413168</v>
      </c>
      <c r="W839" s="29">
        <v>4258.37048557258</v>
      </c>
      <c r="X839" s="4">
        <v>-0.32654892524133361</v>
      </c>
      <c r="Y839" s="4">
        <v>-0.11560187977425661</v>
      </c>
      <c r="Z839" s="4">
        <v>-1.3613224496574556E-2</v>
      </c>
      <c r="AA839" s="3">
        <f t="shared" ref="AA839:AA902" si="289">SQRT($X839*$X839+$Y839*$Y839+$Z839*$Z839)</f>
        <v>0.3466746530463482</v>
      </c>
      <c r="AB839" s="3">
        <f t="shared" si="271"/>
        <v>2.5584876661548131E-3</v>
      </c>
      <c r="AC839" s="3">
        <f t="shared" ref="AC839:AC902" si="290">vrel($S$2,$S$3,$S$4,$A839,$B839,$C839,$U839,$V839,$W839,$X839,$Y839,$Z839)</f>
        <v>2.0334802650032492E-2</v>
      </c>
      <c r="AD839" s="48"/>
      <c r="AE839" s="46">
        <f t="shared" si="285"/>
        <v>42.092147765127557</v>
      </c>
      <c r="AF839" s="46">
        <f t="shared" si="286"/>
        <v>-248.5398237330358</v>
      </c>
      <c r="AG839" s="47">
        <f t="shared" si="287"/>
        <v>7708.5370678487379</v>
      </c>
      <c r="AH839" s="45" t="str">
        <f t="shared" ref="AH839:AH902" si="291">CONCATENATE(TEXT($AF839,"00.00000"),",",TEXT($AE839,"00.00000"),",",TEXT($AG839,"00000"))</f>
        <v>-248.53982,42.09215,07709</v>
      </c>
      <c r="AI839" s="44">
        <f t="shared" si="272"/>
        <v>1021.3540733819909</v>
      </c>
    </row>
    <row r="840" spans="1:35" ht="18" customHeight="1" x14ac:dyDescent="0.25">
      <c r="A840" s="36">
        <f t="shared" si="288"/>
        <v>0.74918993055555561</v>
      </c>
      <c r="B840" s="42">
        <f t="shared" si="273"/>
        <v>42.092147762065686</v>
      </c>
      <c r="C840" s="43">
        <f t="shared" si="274"/>
        <v>111.4601748690328</v>
      </c>
      <c r="D840" s="18">
        <f t="shared" si="275"/>
        <v>7.6882081179473971</v>
      </c>
      <c r="E840" s="21" t="str">
        <f t="shared" si="276"/>
        <v>Umbra</v>
      </c>
      <c r="F840" s="23">
        <f>IF($E840&lt;&gt;"Umbra",fracil2($S$2,$S$3,$S$4,$A840,$Q$2,$O$3,$Q$4,$U840,$V840,$W840),0)</f>
        <v>0</v>
      </c>
      <c r="G840" s="19">
        <f t="shared" si="277"/>
        <v>69.300972368442544</v>
      </c>
      <c r="H840" s="19">
        <f t="shared" si="278"/>
        <v>-4.431564903892566</v>
      </c>
      <c r="I840" s="19">
        <f t="shared" si="279"/>
        <v>-3.2235469544976709</v>
      </c>
      <c r="J840" s="28">
        <f t="shared" si="280"/>
        <v>4.946546878618183E-3</v>
      </c>
      <c r="K840" s="24">
        <f t="shared" si="281"/>
        <v>1048.4496563267667</v>
      </c>
      <c r="L840" s="32">
        <f t="shared" si="282"/>
        <v>0.56029081368157929</v>
      </c>
      <c r="M840" s="35">
        <f t="shared" si="283"/>
        <v>13.079709423486243</v>
      </c>
      <c r="O840" s="29">
        <f t="shared" si="284"/>
        <v>1046.5852677080084</v>
      </c>
      <c r="T840" s="48">
        <v>0.74918993055555561</v>
      </c>
      <c r="U840" s="29">
        <v>-1387.9783730208712</v>
      </c>
      <c r="V840" s="29">
        <v>4538.3463540123821</v>
      </c>
      <c r="W840" s="29">
        <v>4258.3568583173037</v>
      </c>
      <c r="X840" s="4">
        <v>-0.32654485781494863</v>
      </c>
      <c r="Y840" s="4">
        <v>-0.11560761468969682</v>
      </c>
      <c r="Z840" s="4">
        <v>-1.3596417485106139E-2</v>
      </c>
      <c r="AA840" s="3">
        <f t="shared" si="289"/>
        <v>0.3466720746008477</v>
      </c>
      <c r="AB840" s="3">
        <f t="shared" ref="AB840:AB903" si="292">-($AC840-$AC839)/(($A840-$A839)*86400)*1000/9.806</f>
        <v>2.5484202832386014E-3</v>
      </c>
      <c r="AC840" s="3">
        <f t="shared" si="290"/>
        <v>2.0309762861116475E-2</v>
      </c>
      <c r="AD840" s="48"/>
      <c r="AE840" s="46">
        <f t="shared" si="285"/>
        <v>42.092147762065686</v>
      </c>
      <c r="AF840" s="46">
        <f t="shared" si="286"/>
        <v>-248.53982513096719</v>
      </c>
      <c r="AG840" s="47">
        <f t="shared" si="287"/>
        <v>7688.2081179473971</v>
      </c>
      <c r="AH840" s="45" t="str">
        <f t="shared" si="291"/>
        <v>-248.53983,42.09215,07688</v>
      </c>
      <c r="AI840" s="44">
        <f t="shared" ref="AI840:AI903" si="293">IFERROR(ACOS(SIN(RADIANS($B839))*SIN(RADIANS($B840))+COS(RADIANS($B839))*COS(RADIANS($B840))*COS(RADIANS($C839-$C840)))*6371,0)+AI839</f>
        <v>1021.3542076407759</v>
      </c>
    </row>
    <row r="841" spans="1:35" ht="18" customHeight="1" x14ac:dyDescent="0.25">
      <c r="A841" s="36">
        <f t="shared" si="288"/>
        <v>0.74920137731481484</v>
      </c>
      <c r="B841" s="42">
        <f t="shared" si="273"/>
        <v>42.092147759046959</v>
      </c>
      <c r="C841" s="43">
        <f t="shared" si="274"/>
        <v>111.46017653247699</v>
      </c>
      <c r="D841" s="18">
        <f t="shared" si="275"/>
        <v>7.6681527440277932</v>
      </c>
      <c r="E841" s="21" t="str">
        <f t="shared" si="276"/>
        <v>Umbra</v>
      </c>
      <c r="F841" s="23">
        <f>IF($E841&lt;&gt;"Umbra",fracil2($S$2,$S$3,$S$4,$A841,$Q$2,$O$3,$Q$4,$U841,$V841,$W841),0)</f>
        <v>0</v>
      </c>
      <c r="G841" s="19">
        <f t="shared" si="277"/>
        <v>69.30097765320977</v>
      </c>
      <c r="H841" s="19">
        <f t="shared" si="278"/>
        <v>-4.4326572784382776</v>
      </c>
      <c r="I841" s="19">
        <f t="shared" si="279"/>
        <v>-3.2246393290433826</v>
      </c>
      <c r="J841" s="28">
        <f t="shared" si="280"/>
        <v>4.945439361798875E-3</v>
      </c>
      <c r="K841" s="24">
        <f t="shared" si="281"/>
        <v>1048.448025934774</v>
      </c>
      <c r="L841" s="32">
        <f t="shared" si="282"/>
        <v>0.56030460393106118</v>
      </c>
      <c r="M841" s="35">
        <f t="shared" si="283"/>
        <v>13.078972266767179</v>
      </c>
      <c r="O841" s="29">
        <f t="shared" si="284"/>
        <v>1046.585401378913</v>
      </c>
      <c r="T841" s="48">
        <v>0.74920137731481484</v>
      </c>
      <c r="U841" s="29">
        <v>-1388.3014487808687</v>
      </c>
      <c r="V841" s="29">
        <v>4538.2319710416596</v>
      </c>
      <c r="W841" s="29">
        <v>4258.343414450399</v>
      </c>
      <c r="X841" s="4">
        <v>-0.32654082346294788</v>
      </c>
      <c r="Y841" s="4">
        <v>-0.11561334176279225</v>
      </c>
      <c r="Z841" s="4">
        <v>-1.3579874843868984E-2</v>
      </c>
      <c r="AA841" s="3">
        <f t="shared" si="289"/>
        <v>0.34666953598808686</v>
      </c>
      <c r="AB841" s="3">
        <f t="shared" si="292"/>
        <v>2.5412971419023923E-3</v>
      </c>
      <c r="AC841" s="3">
        <f t="shared" si="290"/>
        <v>2.0285117020900537E-2</v>
      </c>
      <c r="AD841" s="48"/>
      <c r="AE841" s="46">
        <f t="shared" si="285"/>
        <v>42.092147759046959</v>
      </c>
      <c r="AF841" s="46">
        <f t="shared" si="286"/>
        <v>-248.53982346752301</v>
      </c>
      <c r="AG841" s="47">
        <f t="shared" si="287"/>
        <v>7668.1527440277932</v>
      </c>
      <c r="AH841" s="45" t="str">
        <f t="shared" si="291"/>
        <v>-248.53982,42.09215,07668</v>
      </c>
      <c r="AI841" s="44">
        <f t="shared" si="293"/>
        <v>1021.3543418995609</v>
      </c>
    </row>
    <row r="842" spans="1:35" ht="18" customHeight="1" x14ac:dyDescent="0.25">
      <c r="A842" s="36">
        <f t="shared" si="288"/>
        <v>0.74921307870370368</v>
      </c>
      <c r="B842" s="42">
        <f t="shared" si="273"/>
        <v>42.092147755970096</v>
      </c>
      <c r="C842" s="43">
        <f t="shared" si="274"/>
        <v>111.46017394235896</v>
      </c>
      <c r="D842" s="18">
        <f t="shared" si="275"/>
        <v>7.6476972130212744</v>
      </c>
      <c r="E842" s="21" t="str">
        <f t="shared" si="276"/>
        <v>Umbra</v>
      </c>
      <c r="F842" s="23">
        <f>IF($E842&lt;&gt;"Umbra",fracil2($S$2,$S$3,$S$4,$A842,$Q$2,$O$3,$Q$4,$U842,$V842,$W842),0)</f>
        <v>0</v>
      </c>
      <c r="G842" s="19">
        <f t="shared" si="277"/>
        <v>69.30097868062019</v>
      </c>
      <c r="H842" s="19">
        <f t="shared" si="278"/>
        <v>-4.433769803469878</v>
      </c>
      <c r="I842" s="19">
        <f t="shared" si="279"/>
        <v>-3.225751854074983</v>
      </c>
      <c r="J842" s="28">
        <f t="shared" si="280"/>
        <v>4.9443127177640168E-3</v>
      </c>
      <c r="K842" s="24">
        <f t="shared" si="281"/>
        <v>1048.4460186857109</v>
      </c>
      <c r="L842" s="32">
        <f t="shared" si="282"/>
        <v>0.56031870043814525</v>
      </c>
      <c r="M842" s="35">
        <f t="shared" si="283"/>
        <v>13.07822472622648</v>
      </c>
      <c r="O842" s="29">
        <f t="shared" si="284"/>
        <v>1046.5851930479034</v>
      </c>
      <c r="T842" s="48">
        <v>0.74921307870370368</v>
      </c>
      <c r="U842" s="29">
        <v>-1388.6313718159727</v>
      </c>
      <c r="V842" s="29">
        <v>4538.1151564943748</v>
      </c>
      <c r="W842" s="29">
        <v>4258.3297023434116</v>
      </c>
      <c r="X842" s="4">
        <v>-0.3265366864924733</v>
      </c>
      <c r="Y842" s="4">
        <v>-0.11561925386934151</v>
      </c>
      <c r="Z842" s="4">
        <v>-1.3563041040768758E-2</v>
      </c>
      <c r="AA842" s="3">
        <f t="shared" si="289"/>
        <v>0.34666695194820724</v>
      </c>
      <c r="AB842" s="3">
        <f t="shared" si="292"/>
        <v>2.5297440320097868E-3</v>
      </c>
      <c r="AC842" s="3">
        <f t="shared" si="290"/>
        <v>2.0260037477552995E-2</v>
      </c>
      <c r="AD842" s="48"/>
      <c r="AE842" s="46">
        <f t="shared" si="285"/>
        <v>42.092147755970096</v>
      </c>
      <c r="AF842" s="46">
        <f t="shared" si="286"/>
        <v>-248.53982605764105</v>
      </c>
      <c r="AG842" s="47">
        <f t="shared" si="287"/>
        <v>7647.6972130212744</v>
      </c>
      <c r="AH842" s="45" t="str">
        <f t="shared" si="291"/>
        <v>-248.53983,42.09215,07648</v>
      </c>
      <c r="AI842" s="44">
        <f t="shared" si="293"/>
        <v>1021.354554181341</v>
      </c>
    </row>
    <row r="843" spans="1:35" ht="18" customHeight="1" x14ac:dyDescent="0.25">
      <c r="A843" s="36">
        <f t="shared" si="288"/>
        <v>0.74922458333333342</v>
      </c>
      <c r="B843" s="42">
        <f t="shared" si="273"/>
        <v>42.09214775294933</v>
      </c>
      <c r="C843" s="43">
        <f t="shared" si="274"/>
        <v>111.46017318585436</v>
      </c>
      <c r="D843" s="18">
        <f t="shared" si="275"/>
        <v>7.6276016746996902</v>
      </c>
      <c r="E843" s="21" t="str">
        <f t="shared" si="276"/>
        <v>Umbra</v>
      </c>
      <c r="F843" s="23">
        <f>IF($E843&lt;&gt;"Umbra",fracil2($S$2,$S$3,$S$4,$A843,$Q$2,$O$3,$Q$4,$U843,$V843,$W843),0)</f>
        <v>0</v>
      </c>
      <c r="G843" s="19">
        <f t="shared" si="277"/>
        <v>69.300981509716635</v>
      </c>
      <c r="H843" s="19">
        <f t="shared" si="278"/>
        <v>-4.434863441102908</v>
      </c>
      <c r="I843" s="19">
        <f t="shared" si="279"/>
        <v>-3.2268454917080129</v>
      </c>
      <c r="J843" s="28">
        <f t="shared" si="280"/>
        <v>4.9432086494396168E-3</v>
      </c>
      <c r="K843" s="24">
        <f t="shared" si="281"/>
        <v>1048.4441909319669</v>
      </c>
      <c r="L843" s="32">
        <f t="shared" si="282"/>
        <v>0.56033255605834975</v>
      </c>
      <c r="M843" s="35">
        <f t="shared" si="283"/>
        <v>13.077488523636417</v>
      </c>
      <c r="O843" s="29">
        <f t="shared" si="284"/>
        <v>1046.5851321468774</v>
      </c>
      <c r="T843" s="48">
        <v>0.74922458333333342</v>
      </c>
      <c r="U843" s="29">
        <v>-1388.9558830097078</v>
      </c>
      <c r="V843" s="29">
        <v>4538.0002507900381</v>
      </c>
      <c r="W843" s="29">
        <v>4258.3162315531426</v>
      </c>
      <c r="X843" s="4">
        <v>-0.32653259986893796</v>
      </c>
      <c r="Y843" s="4">
        <v>-0.11562513378136349</v>
      </c>
      <c r="Z843" s="4">
        <v>-1.3546543892491525E-2</v>
      </c>
      <c r="AA843" s="3">
        <f t="shared" si="289"/>
        <v>0.34666441869704101</v>
      </c>
      <c r="AB843" s="3">
        <f t="shared" si="292"/>
        <v>2.5215442081116192E-3</v>
      </c>
      <c r="AC843" s="3">
        <f t="shared" si="290"/>
        <v>2.0235459572623061E-2</v>
      </c>
      <c r="AD843" s="48"/>
      <c r="AE843" s="46">
        <f t="shared" si="285"/>
        <v>42.09214775294933</v>
      </c>
      <c r="AF843" s="46">
        <f t="shared" si="286"/>
        <v>-248.53982681414564</v>
      </c>
      <c r="AG843" s="47">
        <f t="shared" si="287"/>
        <v>7627.6016746996902</v>
      </c>
      <c r="AH843" s="45" t="str">
        <f t="shared" si="291"/>
        <v>-248.53983,42.09215,07628</v>
      </c>
      <c r="AI843" s="44">
        <f t="shared" si="293"/>
        <v>1021.3546491166389</v>
      </c>
    </row>
    <row r="844" spans="1:35" ht="18" customHeight="1" x14ac:dyDescent="0.25">
      <c r="A844" s="36">
        <f t="shared" si="288"/>
        <v>0.74923622685185187</v>
      </c>
      <c r="B844" s="42">
        <f t="shared" si="273"/>
        <v>42.092147749895041</v>
      </c>
      <c r="C844" s="43">
        <f t="shared" si="274"/>
        <v>111.46017644410485</v>
      </c>
      <c r="D844" s="18">
        <f t="shared" si="275"/>
        <v>7.607268953745006</v>
      </c>
      <c r="E844" s="21" t="str">
        <f t="shared" si="276"/>
        <v>Umbra</v>
      </c>
      <c r="F844" s="23">
        <f>IF($E844&lt;&gt;"Umbra",fracil2($S$2,$S$3,$S$4,$A844,$Q$2,$O$3,$Q$4,$U844,$V844,$W844),0)</f>
        <v>0</v>
      </c>
      <c r="G844" s="19">
        <f t="shared" si="277"/>
        <v>69.3009884672894</v>
      </c>
      <c r="H844" s="19">
        <f t="shared" si="278"/>
        <v>-4.4359715374233026</v>
      </c>
      <c r="I844" s="19">
        <f t="shared" si="279"/>
        <v>-3.2279535880284076</v>
      </c>
      <c r="J844" s="28">
        <f t="shared" si="280"/>
        <v>4.94209401192423E-3</v>
      </c>
      <c r="K844" s="24">
        <f t="shared" si="281"/>
        <v>1048.4426655576506</v>
      </c>
      <c r="L844" s="32">
        <f t="shared" si="282"/>
        <v>0.56034657381812891</v>
      </c>
      <c r="M844" s="35">
        <f t="shared" si="283"/>
        <v>13.076739554074639</v>
      </c>
      <c r="O844" s="29">
        <f t="shared" si="284"/>
        <v>1046.5853940445832</v>
      </c>
      <c r="T844" s="48">
        <v>0.74923622685185187</v>
      </c>
      <c r="U844" s="29">
        <v>-1389.2846221850937</v>
      </c>
      <c r="V844" s="29">
        <v>4537.8838405470742</v>
      </c>
      <c r="W844" s="29">
        <v>4258.3026017706652</v>
      </c>
      <c r="X844" s="4">
        <v>-0.32652844326908892</v>
      </c>
      <c r="Y844" s="4">
        <v>-0.11563115254769184</v>
      </c>
      <c r="Z844" s="4">
        <v>-1.3529889930182271E-2</v>
      </c>
      <c r="AA844" s="3">
        <f t="shared" si="289"/>
        <v>0.34666186064343024</v>
      </c>
      <c r="AB844" s="3">
        <f t="shared" si="292"/>
        <v>2.5151407470748953E-3</v>
      </c>
      <c r="AC844" s="3">
        <f t="shared" si="290"/>
        <v>2.0210648121636383E-2</v>
      </c>
      <c r="AD844" s="48"/>
      <c r="AE844" s="46">
        <f t="shared" si="285"/>
        <v>42.092147749895041</v>
      </c>
      <c r="AF844" s="46">
        <f t="shared" si="286"/>
        <v>-248.53982355589517</v>
      </c>
      <c r="AG844" s="47">
        <f t="shared" si="287"/>
        <v>7607.268953745006</v>
      </c>
      <c r="AH844" s="45" t="str">
        <f t="shared" si="291"/>
        <v>-248.53982,42.09215,07607</v>
      </c>
      <c r="AI844" s="44">
        <f t="shared" si="293"/>
        <v>1021.3549176342104</v>
      </c>
    </row>
    <row r="845" spans="1:35" ht="18" customHeight="1" x14ac:dyDescent="0.25">
      <c r="A845" s="36">
        <f t="shared" si="288"/>
        <v>0.749247673611111</v>
      </c>
      <c r="B845" s="42">
        <f t="shared" si="273"/>
        <v>42.092147746902512</v>
      </c>
      <c r="C845" s="43">
        <f t="shared" si="274"/>
        <v>111.46017305953667</v>
      </c>
      <c r="D845" s="18">
        <f t="shared" si="275"/>
        <v>7.5873359506085762</v>
      </c>
      <c r="E845" s="21" t="str">
        <f t="shared" si="276"/>
        <v>Umbra</v>
      </c>
      <c r="F845" s="23">
        <f>IF($E845&lt;&gt;"Umbra",fracil2($S$2,$S$3,$S$4,$A845,$Q$2,$O$3,$Q$4,$U845,$V845,$W845),0)</f>
        <v>0</v>
      </c>
      <c r="G845" s="19">
        <f t="shared" si="277"/>
        <v>69.300988592607496</v>
      </c>
      <c r="H845" s="19">
        <f t="shared" si="278"/>
        <v>-4.437055324371225</v>
      </c>
      <c r="I845" s="19">
        <f t="shared" si="279"/>
        <v>-3.2290373749763299</v>
      </c>
      <c r="J845" s="28">
        <f t="shared" si="280"/>
        <v>4.9410043450291933E-3</v>
      </c>
      <c r="K845" s="24">
        <f t="shared" si="281"/>
        <v>1048.4406415218459</v>
      </c>
      <c r="L845" s="32">
        <f t="shared" si="282"/>
        <v>0.5603603555979576</v>
      </c>
      <c r="M845" s="35">
        <f t="shared" si="283"/>
        <v>13.076011949458739</v>
      </c>
      <c r="O845" s="29">
        <f t="shared" si="284"/>
        <v>1046.5851218392581</v>
      </c>
      <c r="T845" s="48">
        <v>0.749247673611111</v>
      </c>
      <c r="U845" s="29">
        <v>-1389.6072872120887</v>
      </c>
      <c r="V845" s="29">
        <v>4537.7695738608854</v>
      </c>
      <c r="W845" s="29">
        <v>4258.2892399341199</v>
      </c>
      <c r="X845" s="4">
        <v>-0.32652434665191532</v>
      </c>
      <c r="Y845" s="4">
        <v>-0.11563712241002461</v>
      </c>
      <c r="Z845" s="4">
        <v>-1.3513601882231753E-2</v>
      </c>
      <c r="AA845" s="3">
        <f t="shared" si="289"/>
        <v>0.34665935797488956</v>
      </c>
      <c r="AB845" s="3">
        <f t="shared" si="292"/>
        <v>2.5021540883286065E-3</v>
      </c>
      <c r="AC845" s="3">
        <f t="shared" si="290"/>
        <v>2.0186381895999406E-2</v>
      </c>
      <c r="AD845" s="48"/>
      <c r="AE845" s="46">
        <f t="shared" si="285"/>
        <v>42.092147746902512</v>
      </c>
      <c r="AF845" s="46">
        <f t="shared" si="286"/>
        <v>-248.53982694046334</v>
      </c>
      <c r="AG845" s="47">
        <f t="shared" si="287"/>
        <v>7587.3359506085762</v>
      </c>
      <c r="AH845" s="45" t="str">
        <f t="shared" si="291"/>
        <v>-248.53983,42.09215,07587</v>
      </c>
      <c r="AI845" s="44">
        <f t="shared" si="293"/>
        <v>1021.3551861517819</v>
      </c>
    </row>
    <row r="846" spans="1:35" ht="18" customHeight="1" x14ac:dyDescent="0.25">
      <c r="A846" s="36">
        <f t="shared" si="288"/>
        <v>0.74925929398148139</v>
      </c>
      <c r="B846" s="42">
        <f t="shared" si="273"/>
        <v>42.092147743866875</v>
      </c>
      <c r="C846" s="43">
        <f t="shared" si="274"/>
        <v>111.46017479711496</v>
      </c>
      <c r="D846" s="18">
        <f t="shared" si="275"/>
        <v>7.5671002106701053</v>
      </c>
      <c r="E846" s="21" t="str">
        <f t="shared" si="276"/>
        <v>Umbra</v>
      </c>
      <c r="F846" s="23">
        <f>IF($E846&lt;&gt;"Umbra",fracil2($S$2,$S$3,$S$4,$A846,$Q$2,$O$3,$Q$4,$U846,$V846,$W846),0)</f>
        <v>0</v>
      </c>
      <c r="G846" s="19">
        <f t="shared" si="277"/>
        <v>69.300993985179488</v>
      </c>
      <c r="H846" s="19">
        <f t="shared" si="278"/>
        <v>-4.4381575639125117</v>
      </c>
      <c r="I846" s="19">
        <f t="shared" si="279"/>
        <v>-3.2301396145176167</v>
      </c>
      <c r="J846" s="28">
        <f t="shared" si="280"/>
        <v>4.9399005501587039E-3</v>
      </c>
      <c r="K846" s="24">
        <f t="shared" si="281"/>
        <v>1048.4390031585933</v>
      </c>
      <c r="L846" s="32">
        <f t="shared" si="282"/>
        <v>0.56037434065740765</v>
      </c>
      <c r="M846" s="35">
        <f t="shared" si="283"/>
        <v>13.075268054385258</v>
      </c>
      <c r="O846" s="29">
        <f t="shared" si="284"/>
        <v>1046.585261470369</v>
      </c>
      <c r="T846" s="48">
        <v>0.74925929398148139</v>
      </c>
      <c r="U846" s="29">
        <v>-1389.9352462142544</v>
      </c>
      <c r="V846" s="29">
        <v>4537.6534248487696</v>
      </c>
      <c r="W846" s="29">
        <v>4258.2756751619836</v>
      </c>
      <c r="X846" s="4">
        <v>-0.32652016604965528</v>
      </c>
      <c r="Y846" s="4">
        <v>-0.11564325241539519</v>
      </c>
      <c r="Z846" s="4">
        <v>-1.3497104682820987E-2</v>
      </c>
      <c r="AA846" s="3">
        <f t="shared" si="289"/>
        <v>0.34665682237787315</v>
      </c>
      <c r="AB846" s="3">
        <f t="shared" si="292"/>
        <v>2.4964129282382839E-3</v>
      </c>
      <c r="AC846" s="3">
        <f t="shared" si="290"/>
        <v>2.0161804151524361E-2</v>
      </c>
      <c r="AD846" s="48"/>
      <c r="AE846" s="46">
        <f t="shared" si="285"/>
        <v>42.092147743866875</v>
      </c>
      <c r="AF846" s="46">
        <f t="shared" si="286"/>
        <v>-248.53982520288503</v>
      </c>
      <c r="AG846" s="47">
        <f t="shared" si="287"/>
        <v>7567.1002106701053</v>
      </c>
      <c r="AH846" s="45" t="str">
        <f t="shared" si="291"/>
        <v>-248.53983,42.09215,07567</v>
      </c>
      <c r="AI846" s="44">
        <f t="shared" si="293"/>
        <v>1021.3552810870799</v>
      </c>
    </row>
    <row r="847" spans="1:35" ht="18" customHeight="1" x14ac:dyDescent="0.25">
      <c r="A847" s="36">
        <f t="shared" si="288"/>
        <v>0.74927084490740736</v>
      </c>
      <c r="B847" s="42">
        <f t="shared" si="273"/>
        <v>42.092147740855751</v>
      </c>
      <c r="C847" s="43">
        <f t="shared" si="274"/>
        <v>111.46017550095929</v>
      </c>
      <c r="D847" s="18">
        <f t="shared" si="275"/>
        <v>7.5470147802507199</v>
      </c>
      <c r="E847" s="21" t="str">
        <f t="shared" si="276"/>
        <v>Umbra</v>
      </c>
      <c r="F847" s="23">
        <f>IF($E847&lt;&gt;"Umbra",fracil2($S$2,$S$3,$S$4,$A847,$Q$2,$O$3,$Q$4,$U847,$V847,$W847),0)</f>
        <v>0</v>
      </c>
      <c r="G847" s="19">
        <f t="shared" si="277"/>
        <v>69.30099829876707</v>
      </c>
      <c r="H847" s="19">
        <f t="shared" si="278"/>
        <v>-4.4392512273155598</v>
      </c>
      <c r="I847" s="19">
        <f t="shared" si="279"/>
        <v>-3.2312332779206647</v>
      </c>
      <c r="J847" s="28">
        <f t="shared" si="280"/>
        <v>4.9388076699871247E-3</v>
      </c>
      <c r="K847" s="24">
        <f t="shared" si="281"/>
        <v>1048.4372952588478</v>
      </c>
      <c r="L847" s="32">
        <f t="shared" si="282"/>
        <v>0.56038823989628594</v>
      </c>
      <c r="M847" s="35">
        <f t="shared" si="283"/>
        <v>13.074530707137955</v>
      </c>
      <c r="O847" s="29">
        <f t="shared" si="284"/>
        <v>1046.5853179864653</v>
      </c>
      <c r="T847" s="48">
        <v>0.74927084490740736</v>
      </c>
      <c r="U847" s="29">
        <v>-1390.2611611703132</v>
      </c>
      <c r="V847" s="29">
        <v>4537.5379921433314</v>
      </c>
      <c r="W847" s="29">
        <v>4258.262211148095</v>
      </c>
      <c r="X847" s="4">
        <v>-0.32651599489388422</v>
      </c>
      <c r="Y847" s="4">
        <v>-0.11564940578839414</v>
      </c>
      <c r="Z847" s="4">
        <v>-1.3480767765037037E-2</v>
      </c>
      <c r="AA847" s="3">
        <f t="shared" si="289"/>
        <v>0.34665431063277802</v>
      </c>
      <c r="AB847" s="3">
        <f t="shared" si="292"/>
        <v>2.487009484390906E-3</v>
      </c>
      <c r="AC847" s="3">
        <f t="shared" si="290"/>
        <v>2.0137465311750331E-2</v>
      </c>
      <c r="AD847" s="48"/>
      <c r="AE847" s="46">
        <f t="shared" si="285"/>
        <v>42.092147740855751</v>
      </c>
      <c r="AF847" s="46">
        <f t="shared" si="286"/>
        <v>-248.53982449904072</v>
      </c>
      <c r="AG847" s="47">
        <f t="shared" si="287"/>
        <v>7547.0147802507199</v>
      </c>
      <c r="AH847" s="45" t="str">
        <f t="shared" si="291"/>
        <v>-248.53982,42.09215,07547</v>
      </c>
      <c r="AI847" s="44">
        <f t="shared" si="293"/>
        <v>1021.3552810870799</v>
      </c>
    </row>
    <row r="848" spans="1:35" ht="18" customHeight="1" x14ac:dyDescent="0.25">
      <c r="A848" s="36">
        <f t="shared" si="288"/>
        <v>0.74928248842592593</v>
      </c>
      <c r="B848" s="42">
        <f t="shared" si="273"/>
        <v>42.092147737827851</v>
      </c>
      <c r="C848" s="43">
        <f t="shared" si="274"/>
        <v>111.46017429698277</v>
      </c>
      <c r="D848" s="18">
        <f t="shared" si="275"/>
        <v>7.5268021168885753</v>
      </c>
      <c r="E848" s="21" t="str">
        <f t="shared" si="276"/>
        <v>Umbra</v>
      </c>
      <c r="F848" s="23">
        <f>IF($E848&lt;&gt;"Umbra",fracil2($S$2,$S$3,$S$4,$A848,$Q$2,$O$3,$Q$4,$U848,$V848,$W848),0)</f>
        <v>0</v>
      </c>
      <c r="G848" s="19">
        <f t="shared" si="277"/>
        <v>69.301000693482223</v>
      </c>
      <c r="H848" s="19">
        <f t="shared" si="278"/>
        <v>-4.4403510877087475</v>
      </c>
      <c r="I848" s="19">
        <f t="shared" si="279"/>
        <v>-3.2323331383138525</v>
      </c>
      <c r="J848" s="28">
        <f t="shared" si="280"/>
        <v>4.9377107250635488E-3</v>
      </c>
      <c r="K848" s="24">
        <f t="shared" si="281"/>
        <v>1048.4354231514099</v>
      </c>
      <c r="L848" s="32">
        <f t="shared" si="282"/>
        <v>0.56040224879837319</v>
      </c>
      <c r="M848" s="35">
        <f t="shared" si="283"/>
        <v>13.073790612089367</v>
      </c>
      <c r="O848" s="29">
        <f t="shared" si="284"/>
        <v>1046.585221107041</v>
      </c>
      <c r="T848" s="48">
        <v>0.74928248842592593</v>
      </c>
      <c r="U848" s="29">
        <v>-1390.5895349276761</v>
      </c>
      <c r="V848" s="29">
        <v>4537.421680840419</v>
      </c>
      <c r="W848" s="29">
        <v>4258.248661845405</v>
      </c>
      <c r="X848" s="4">
        <v>-0.3265117751903005</v>
      </c>
      <c r="Y848" s="4">
        <v>-0.11565566870647073</v>
      </c>
      <c r="Z848" s="4">
        <v>-1.3464366566498423E-2</v>
      </c>
      <c r="AA848" s="3">
        <f t="shared" si="289"/>
        <v>0.34665178812303749</v>
      </c>
      <c r="AB848" s="3">
        <f t="shared" si="292"/>
        <v>2.4769322587715279E-3</v>
      </c>
      <c r="AC848" s="3">
        <f t="shared" si="290"/>
        <v>2.0113030781234338E-2</v>
      </c>
      <c r="AD848" s="48"/>
      <c r="AE848" s="46">
        <f t="shared" si="285"/>
        <v>42.092147737827851</v>
      </c>
      <c r="AF848" s="46">
        <f t="shared" si="286"/>
        <v>-248.53982570301724</v>
      </c>
      <c r="AG848" s="47">
        <f t="shared" si="287"/>
        <v>7526.8021168885753</v>
      </c>
      <c r="AH848" s="45" t="str">
        <f t="shared" si="291"/>
        <v>-248.53983,42.09215,07527</v>
      </c>
      <c r="AI848" s="44">
        <f t="shared" si="293"/>
        <v>1021.3553760223779</v>
      </c>
    </row>
    <row r="849" spans="1:35" ht="18" customHeight="1" x14ac:dyDescent="0.25">
      <c r="A849" s="36">
        <f t="shared" si="288"/>
        <v>0.74929418981481488</v>
      </c>
      <c r="B849" s="42">
        <f t="shared" si="273"/>
        <v>42.092147734789492</v>
      </c>
      <c r="C849" s="43">
        <f t="shared" si="274"/>
        <v>111.4601749530508</v>
      </c>
      <c r="D849" s="18">
        <f t="shared" si="275"/>
        <v>7.506504778712042</v>
      </c>
      <c r="E849" s="21" t="str">
        <f t="shared" si="276"/>
        <v>Umbra</v>
      </c>
      <c r="F849" s="23">
        <f>IF($E849&lt;&gt;"Umbra",fracil2($S$2,$S$3,$S$4,$A849,$Q$2,$O$3,$Q$4,$U849,$V849,$W849),0)</f>
        <v>0</v>
      </c>
      <c r="G849" s="19">
        <f t="shared" si="277"/>
        <v>69.301004996416921</v>
      </c>
      <c r="H849" s="19">
        <f t="shared" si="278"/>
        <v>-4.441456275816309</v>
      </c>
      <c r="I849" s="19">
        <f t="shared" si="279"/>
        <v>-3.2334383264214139</v>
      </c>
      <c r="J849" s="28">
        <f t="shared" si="280"/>
        <v>4.9366117987051303E-3</v>
      </c>
      <c r="K849" s="24">
        <f t="shared" si="281"/>
        <v>1048.4336935699287</v>
      </c>
      <c r="L849" s="32">
        <f t="shared" si="282"/>
        <v>0.56041632341441294</v>
      </c>
      <c r="M849" s="35">
        <f t="shared" si="283"/>
        <v>13.073045521594372</v>
      </c>
      <c r="O849" s="29">
        <f t="shared" si="284"/>
        <v>1046.5852737810756</v>
      </c>
      <c r="T849" s="48">
        <v>0.74929418981481488</v>
      </c>
      <c r="U849" s="29">
        <v>-1390.9196823128561</v>
      </c>
      <c r="V849" s="29">
        <v>4537.3047334119956</v>
      </c>
      <c r="W849" s="29">
        <v>4258.2350557822128</v>
      </c>
      <c r="X849" s="4">
        <v>-0.32650751581051196</v>
      </c>
      <c r="Y849" s="4">
        <v>-0.11566202796259067</v>
      </c>
      <c r="Z849" s="4">
        <v>-1.3447935179815301E-2</v>
      </c>
      <c r="AA849" s="3">
        <f t="shared" si="289"/>
        <v>0.34664926013734881</v>
      </c>
      <c r="AB849" s="3">
        <f t="shared" si="292"/>
        <v>2.469212137739337E-3</v>
      </c>
      <c r="AC849" s="3">
        <f t="shared" si="290"/>
        <v>2.0088551342975085E-2</v>
      </c>
      <c r="AD849" s="48"/>
      <c r="AE849" s="46">
        <f t="shared" si="285"/>
        <v>42.092147734789492</v>
      </c>
      <c r="AF849" s="46">
        <f t="shared" si="286"/>
        <v>-248.5398250469492</v>
      </c>
      <c r="AG849" s="47">
        <f t="shared" si="287"/>
        <v>7506.504778712042</v>
      </c>
      <c r="AH849" s="45" t="str">
        <f t="shared" si="291"/>
        <v>-248.53983,42.09215,07507</v>
      </c>
      <c r="AI849" s="44">
        <f t="shared" si="293"/>
        <v>1021.3553760223779</v>
      </c>
    </row>
    <row r="850" spans="1:35" ht="18" customHeight="1" x14ac:dyDescent="0.25">
      <c r="A850" s="36">
        <f t="shared" si="288"/>
        <v>0.74930554398148141</v>
      </c>
      <c r="B850" s="42">
        <f t="shared" si="273"/>
        <v>42.092147731846453</v>
      </c>
      <c r="C850" s="43">
        <f t="shared" si="274"/>
        <v>111.46017631101157</v>
      </c>
      <c r="D850" s="18">
        <f t="shared" si="275"/>
        <v>7.4868299277668484</v>
      </c>
      <c r="E850" s="21" t="str">
        <f t="shared" si="276"/>
        <v>Umbra</v>
      </c>
      <c r="F850" s="23">
        <f>IF($E850&lt;&gt;"Umbra",fracil2($S$2,$S$3,$S$4,$A850,$Q$2,$O$3,$Q$4,$U850,$V850,$W850),0)</f>
        <v>0</v>
      </c>
      <c r="G850" s="19">
        <f t="shared" si="277"/>
        <v>69.301009902218865</v>
      </c>
      <c r="H850" s="19">
        <f t="shared" si="278"/>
        <v>-4.4425278502394239</v>
      </c>
      <c r="I850" s="19">
        <f t="shared" si="279"/>
        <v>-3.2345099008445288</v>
      </c>
      <c r="J850" s="28">
        <f t="shared" si="280"/>
        <v>4.9355490458742653E-3</v>
      </c>
      <c r="K850" s="24">
        <f t="shared" si="281"/>
        <v>1048.4320754639195</v>
      </c>
      <c r="L850" s="32">
        <f t="shared" si="282"/>
        <v>0.56042997724687216</v>
      </c>
      <c r="M850" s="35">
        <f t="shared" si="283"/>
        <v>13.0723225427427</v>
      </c>
      <c r="O850" s="29">
        <f t="shared" si="284"/>
        <v>1046.5853828920026</v>
      </c>
      <c r="T850" s="48">
        <v>0.74930554398148141</v>
      </c>
      <c r="U850" s="29">
        <v>-1391.2400852973128</v>
      </c>
      <c r="V850" s="29">
        <v>4537.1912300840913</v>
      </c>
      <c r="W850" s="29">
        <v>4258.2218669956183</v>
      </c>
      <c r="X850" s="4">
        <v>-0.32650336640768057</v>
      </c>
      <c r="Y850" s="4">
        <v>-0.11566825792673105</v>
      </c>
      <c r="Z850" s="4">
        <v>-1.3432043314186511E-2</v>
      </c>
      <c r="AA850" s="3">
        <f t="shared" si="289"/>
        <v>0.34664681443069267</v>
      </c>
      <c r="AB850" s="3">
        <f t="shared" si="292"/>
        <v>2.4611606697319292E-3</v>
      </c>
      <c r="AC850" s="3">
        <f t="shared" si="290"/>
        <v>2.0064875750136994E-2</v>
      </c>
      <c r="AD850" s="48"/>
      <c r="AE850" s="46">
        <f t="shared" si="285"/>
        <v>42.092147731846453</v>
      </c>
      <c r="AF850" s="46">
        <f t="shared" si="286"/>
        <v>-248.53982368898843</v>
      </c>
      <c r="AG850" s="47">
        <f t="shared" si="287"/>
        <v>7486.8299277668484</v>
      </c>
      <c r="AH850" s="45" t="str">
        <f t="shared" si="291"/>
        <v>-248.53982,42.09215,07487</v>
      </c>
      <c r="AI850" s="44">
        <f t="shared" si="293"/>
        <v>1021.3555404551372</v>
      </c>
    </row>
    <row r="851" spans="1:35" ht="18" customHeight="1" x14ac:dyDescent="0.25">
      <c r="A851" s="36">
        <f t="shared" si="288"/>
        <v>0.74931716435185181</v>
      </c>
      <c r="B851" s="42">
        <f t="shared" si="273"/>
        <v>42.092147728840601</v>
      </c>
      <c r="C851" s="43">
        <f t="shared" si="274"/>
        <v>111.46017705008474</v>
      </c>
      <c r="D851" s="18">
        <f t="shared" si="275"/>
        <v>7.4667209534663925</v>
      </c>
      <c r="E851" s="21" t="str">
        <f t="shared" si="276"/>
        <v>Umbra</v>
      </c>
      <c r="F851" s="23">
        <f>IF($E851&lt;&gt;"Umbra",fracil2($S$2,$S$3,$S$4,$A851,$Q$2,$O$3,$Q$4,$U851,$V851,$W851),0)</f>
        <v>0</v>
      </c>
      <c r="G851" s="19">
        <f t="shared" si="277"/>
        <v>69.301014255913856</v>
      </c>
      <c r="H851" s="19">
        <f t="shared" si="278"/>
        <v>-4.4436228231833397</v>
      </c>
      <c r="I851" s="19">
        <f t="shared" si="279"/>
        <v>-3.2356048737884446</v>
      </c>
      <c r="J851" s="28">
        <f t="shared" si="280"/>
        <v>4.934465396231681E-3</v>
      </c>
      <c r="K851" s="24">
        <f t="shared" si="281"/>
        <v>1048.4303698563831</v>
      </c>
      <c r="L851" s="32">
        <f t="shared" si="282"/>
        <v>0.56044394879409276</v>
      </c>
      <c r="M851" s="35">
        <f t="shared" si="283"/>
        <v>13.071584257608203</v>
      </c>
      <c r="O851" s="29">
        <f t="shared" si="284"/>
        <v>1046.5854422407372</v>
      </c>
      <c r="T851" s="48">
        <v>0.74931716435185181</v>
      </c>
      <c r="U851" s="29">
        <v>-1391.5679452143966</v>
      </c>
      <c r="V851" s="29">
        <v>4537.0750772695837</v>
      </c>
      <c r="W851" s="29">
        <v>4258.2083872001194</v>
      </c>
      <c r="X851" s="4">
        <v>-0.32649910458512421</v>
      </c>
      <c r="Y851" s="4">
        <v>-0.11567469171542745</v>
      </c>
      <c r="Z851" s="4">
        <v>-1.3415836522519783E-2</v>
      </c>
      <c r="AA851" s="3">
        <f t="shared" si="289"/>
        <v>0.34664431953797548</v>
      </c>
      <c r="AB851" s="3">
        <f t="shared" si="292"/>
        <v>2.4524271992195619E-3</v>
      </c>
      <c r="AC851" s="3">
        <f t="shared" si="290"/>
        <v>2.0040731055016942E-2</v>
      </c>
      <c r="AD851" s="48"/>
      <c r="AE851" s="46">
        <f t="shared" si="285"/>
        <v>42.092147728840601</v>
      </c>
      <c r="AF851" s="46">
        <f t="shared" si="286"/>
        <v>-248.53982294991528</v>
      </c>
      <c r="AG851" s="47">
        <f t="shared" si="287"/>
        <v>7466.7209534663925</v>
      </c>
      <c r="AH851" s="45" t="str">
        <f t="shared" si="291"/>
        <v>-248.53982,42.09215,07467</v>
      </c>
      <c r="AI851" s="44">
        <f t="shared" si="293"/>
        <v>1021.3555404551372</v>
      </c>
    </row>
    <row r="852" spans="1:35" ht="18" customHeight="1" x14ac:dyDescent="0.25">
      <c r="A852" s="36">
        <f t="shared" si="288"/>
        <v>0.74932877314814805</v>
      </c>
      <c r="B852" s="42">
        <f t="shared" si="273"/>
        <v>42.092147725846381</v>
      </c>
      <c r="C852" s="43">
        <f t="shared" si="274"/>
        <v>111.46017346749828</v>
      </c>
      <c r="D852" s="18">
        <f t="shared" si="275"/>
        <v>7.4466768788906847</v>
      </c>
      <c r="E852" s="21" t="str">
        <f t="shared" si="276"/>
        <v>Umbra</v>
      </c>
      <c r="F852" s="23">
        <f>IF($E852&lt;&gt;"Umbra",fracil2($S$2,$S$3,$S$4,$A852,$Q$2,$O$3,$Q$4,$U852,$V852,$W852),0)</f>
        <v>0</v>
      </c>
      <c r="G852" s="19">
        <f t="shared" si="277"/>
        <v>69.301014199668529</v>
      </c>
      <c r="H852" s="19">
        <f t="shared" si="278"/>
        <v>-4.4447126081601835</v>
      </c>
      <c r="I852" s="19">
        <f t="shared" si="279"/>
        <v>-3.2366946587652885</v>
      </c>
      <c r="J852" s="28">
        <f t="shared" si="280"/>
        <v>4.9333881478693976E-3</v>
      </c>
      <c r="K852" s="24">
        <f t="shared" si="281"/>
        <v>1048.4283228058084</v>
      </c>
      <c r="L852" s="32">
        <f t="shared" si="282"/>
        <v>0.56045790609205981</v>
      </c>
      <c r="M852" s="35">
        <f t="shared" si="283"/>
        <v>13.070852710066939</v>
      </c>
      <c r="O852" s="29">
        <f t="shared" si="284"/>
        <v>1046.5851541140541</v>
      </c>
      <c r="T852" s="48">
        <v>0.74932877314814805</v>
      </c>
      <c r="U852" s="29">
        <v>-1391.8951366551642</v>
      </c>
      <c r="V852" s="29">
        <v>4536.9591532945788</v>
      </c>
      <c r="W852" s="29">
        <v>4258.1949509094893</v>
      </c>
      <c r="X852" s="4">
        <v>-0.32649483481320579</v>
      </c>
      <c r="Y852" s="4">
        <v>-0.1156811737941138</v>
      </c>
      <c r="Z852" s="4">
        <v>-1.3399720140676448E-2</v>
      </c>
      <c r="AA852" s="3">
        <f t="shared" si="289"/>
        <v>0.34664183767966461</v>
      </c>
      <c r="AB852" s="3">
        <f t="shared" si="292"/>
        <v>2.4411701699773264E-3</v>
      </c>
      <c r="AC852" s="3">
        <f t="shared" si="290"/>
        <v>2.0016721125986184E-2</v>
      </c>
      <c r="AD852" s="48"/>
      <c r="AE852" s="46">
        <f t="shared" si="285"/>
        <v>42.092147725846381</v>
      </c>
      <c r="AF852" s="46">
        <f t="shared" si="286"/>
        <v>-248.53982653250171</v>
      </c>
      <c r="AG852" s="47">
        <f t="shared" si="287"/>
        <v>7446.6768788906847</v>
      </c>
      <c r="AH852" s="45" t="str">
        <f t="shared" si="291"/>
        <v>-248.53983,42.09215,07447</v>
      </c>
      <c r="AI852" s="44">
        <f t="shared" si="293"/>
        <v>1021.3558252610311</v>
      </c>
    </row>
    <row r="853" spans="1:35" ht="18" customHeight="1" x14ac:dyDescent="0.25">
      <c r="A853" s="36">
        <f t="shared" si="288"/>
        <v>0.74934030092592596</v>
      </c>
      <c r="B853" s="42">
        <f t="shared" si="273"/>
        <v>42.092147722874763</v>
      </c>
      <c r="C853" s="43">
        <f t="shared" si="274"/>
        <v>111.46017522923958</v>
      </c>
      <c r="D853" s="18">
        <f t="shared" si="275"/>
        <v>7.4267710743843054</v>
      </c>
      <c r="E853" s="21" t="str">
        <f t="shared" si="276"/>
        <v>Umbra</v>
      </c>
      <c r="F853" s="23">
        <f>IF($E853&lt;&gt;"Umbra",fracil2($S$2,$S$3,$S$4,$A853,$Q$2,$O$3,$Q$4,$U853,$V853,$W853),0)</f>
        <v>0</v>
      </c>
      <c r="G853" s="19">
        <f t="shared" si="277"/>
        <v>69.301019557809028</v>
      </c>
      <c r="H853" s="19">
        <f t="shared" si="278"/>
        <v>-4.4457969207381751</v>
      </c>
      <c r="I853" s="19">
        <f t="shared" si="279"/>
        <v>-3.2377789713432801</v>
      </c>
      <c r="J853" s="28">
        <f t="shared" si="280"/>
        <v>4.9323205915272009E-3</v>
      </c>
      <c r="K853" s="24">
        <f t="shared" si="281"/>
        <v>1048.4267180223883</v>
      </c>
      <c r="L853" s="32">
        <f t="shared" si="282"/>
        <v>0.56047176020345613</v>
      </c>
      <c r="M853" s="35">
        <f t="shared" si="283"/>
        <v>13.070120823896831</v>
      </c>
      <c r="O853" s="29">
        <f t="shared" si="284"/>
        <v>1046.5852956895519</v>
      </c>
      <c r="T853" s="48">
        <v>0.74934030092592596</v>
      </c>
      <c r="U853" s="29">
        <v>-1392.2204560411749</v>
      </c>
      <c r="V853" s="29">
        <v>4536.8438846136405</v>
      </c>
      <c r="W853" s="29">
        <v>4258.1816073066047</v>
      </c>
      <c r="X853" s="4">
        <v>-0.32649057356751698</v>
      </c>
      <c r="Y853" s="4">
        <v>-0.11568767766226416</v>
      </c>
      <c r="Z853" s="4">
        <v>-1.3383750953274997E-2</v>
      </c>
      <c r="AA853" s="3">
        <f t="shared" si="289"/>
        <v>0.34663937771250608</v>
      </c>
      <c r="AB853" s="3">
        <f t="shared" si="292"/>
        <v>2.4358668997001426E-3</v>
      </c>
      <c r="AC853" s="3">
        <f t="shared" si="290"/>
        <v>1.9992930559610728E-2</v>
      </c>
      <c r="AD853" s="48"/>
      <c r="AE853" s="46">
        <f t="shared" si="285"/>
        <v>42.092147722874763</v>
      </c>
      <c r="AF853" s="46">
        <f t="shared" si="286"/>
        <v>-248.53982477076042</v>
      </c>
      <c r="AG853" s="47">
        <f t="shared" si="287"/>
        <v>7426.7710743843054</v>
      </c>
      <c r="AH853" s="45" t="str">
        <f t="shared" si="291"/>
        <v>-248.53982,42.09215,07427</v>
      </c>
      <c r="AI853" s="44">
        <f t="shared" si="293"/>
        <v>1021.3559595198161</v>
      </c>
    </row>
    <row r="854" spans="1:35" ht="18" customHeight="1" x14ac:dyDescent="0.25">
      <c r="A854" s="36">
        <f t="shared" si="288"/>
        <v>0.749351875</v>
      </c>
      <c r="B854" s="42">
        <f t="shared" si="273"/>
        <v>42.092147719898044</v>
      </c>
      <c r="C854" s="43">
        <f t="shared" si="274"/>
        <v>111.46017530163368</v>
      </c>
      <c r="D854" s="18">
        <f t="shared" si="275"/>
        <v>7.4068172602719642</v>
      </c>
      <c r="E854" s="21" t="str">
        <f t="shared" si="276"/>
        <v>Umbra</v>
      </c>
      <c r="F854" s="23">
        <f>IF($E854&lt;&gt;"Umbra",fracil2($S$2,$S$3,$S$4,$A854,$Q$2,$O$3,$Q$4,$U854,$V854,$W854),0)</f>
        <v>0</v>
      </c>
      <c r="G854" s="19">
        <f t="shared" si="277"/>
        <v>69.30102320524081</v>
      </c>
      <c r="H854" s="19">
        <f t="shared" si="278"/>
        <v>-4.4468832021693796</v>
      </c>
      <c r="I854" s="19">
        <f t="shared" si="279"/>
        <v>-3.2388652527744846</v>
      </c>
      <c r="J854" s="28">
        <f t="shared" si="280"/>
        <v>4.9312532080713189E-3</v>
      </c>
      <c r="K854" s="24">
        <f t="shared" si="281"/>
        <v>1048.4249735567184</v>
      </c>
      <c r="L854" s="32">
        <f t="shared" si="282"/>
        <v>0.56048566817079859</v>
      </c>
      <c r="M854" s="35">
        <f t="shared" si="283"/>
        <v>13.069388874242165</v>
      </c>
      <c r="O854" s="29">
        <f t="shared" si="284"/>
        <v>1046.5853014358156</v>
      </c>
      <c r="T854" s="48">
        <v>0.749351875</v>
      </c>
      <c r="U854" s="29">
        <v>-1392.5469451009267</v>
      </c>
      <c r="V854" s="29">
        <v>4536.7281934268221</v>
      </c>
      <c r="W854" s="29">
        <v>4258.1682315212629</v>
      </c>
      <c r="X854" s="4">
        <v>-0.32648628051195744</v>
      </c>
      <c r="Y854" s="4">
        <v>-0.1156942656562885</v>
      </c>
      <c r="Z854" s="4">
        <v>-1.3367781094764304E-2</v>
      </c>
      <c r="AA854" s="3">
        <f t="shared" si="289"/>
        <v>0.34663691672941871</v>
      </c>
      <c r="AB854" s="3">
        <f t="shared" si="292"/>
        <v>2.4262177067881897E-3</v>
      </c>
      <c r="AC854" s="3">
        <f t="shared" si="290"/>
        <v>1.9969139068778036E-2</v>
      </c>
      <c r="AD854" s="48"/>
      <c r="AE854" s="46">
        <f t="shared" si="285"/>
        <v>42.092147719898044</v>
      </c>
      <c r="AF854" s="46">
        <f t="shared" si="286"/>
        <v>-248.53982469836632</v>
      </c>
      <c r="AG854" s="47">
        <f t="shared" si="287"/>
        <v>7406.8172602719642</v>
      </c>
      <c r="AH854" s="45" t="str">
        <f t="shared" si="291"/>
        <v>-248.53982,42.09215,07407</v>
      </c>
      <c r="AI854" s="44">
        <f t="shared" si="293"/>
        <v>1021.3559595198161</v>
      </c>
    </row>
    <row r="855" spans="1:35" ht="18" customHeight="1" x14ac:dyDescent="0.25">
      <c r="A855" s="36">
        <f t="shared" si="288"/>
        <v>0.74936346064814818</v>
      </c>
      <c r="B855" s="42">
        <f t="shared" si="273"/>
        <v>42.092147716924991</v>
      </c>
      <c r="C855" s="43">
        <f t="shared" si="274"/>
        <v>111.46017368431552</v>
      </c>
      <c r="D855" s="18">
        <f t="shared" si="275"/>
        <v>7.3868753651495354</v>
      </c>
      <c r="E855" s="21" t="str">
        <f t="shared" si="276"/>
        <v>Umbra</v>
      </c>
      <c r="F855" s="23">
        <f>IF($E855&lt;&gt;"Umbra",fracil2($S$2,$S$3,$S$4,$A855,$Q$2,$O$3,$Q$4,$U855,$V855,$W855),0)</f>
        <v>0</v>
      </c>
      <c r="G855" s="19">
        <f t="shared" si="277"/>
        <v>69.301025130861518</v>
      </c>
      <c r="H855" s="19">
        <f t="shared" si="278"/>
        <v>-4.4479681903305996</v>
      </c>
      <c r="I855" s="19">
        <f t="shared" si="279"/>
        <v>-3.2399502409357046</v>
      </c>
      <c r="J855" s="28">
        <f t="shared" si="280"/>
        <v>4.9301890784251758E-3</v>
      </c>
      <c r="K855" s="24">
        <f t="shared" si="281"/>
        <v>1048.4230946378009</v>
      </c>
      <c r="L855" s="32">
        <f t="shared" si="282"/>
        <v>0.56049958826351132</v>
      </c>
      <c r="M855" s="35">
        <f t="shared" si="283"/>
        <v>13.068659059237426</v>
      </c>
      <c r="O855" s="29">
        <f t="shared" si="284"/>
        <v>1046.58517132373</v>
      </c>
      <c r="T855" s="48">
        <v>0.74936346064814818</v>
      </c>
      <c r="U855" s="29">
        <v>-1392.8736243126493</v>
      </c>
      <c r="V855" s="29">
        <v>4536.6124267110381</v>
      </c>
      <c r="W855" s="29">
        <v>4258.154863725822</v>
      </c>
      <c r="X855" s="4">
        <v>-0.32648196909855798</v>
      </c>
      <c r="Y855" s="4">
        <v>-0.11570091612524908</v>
      </c>
      <c r="Z855" s="4">
        <v>-1.3351856694579632E-2</v>
      </c>
      <c r="AA855" s="3">
        <f t="shared" si="289"/>
        <v>0.34663446195652026</v>
      </c>
      <c r="AB855" s="3">
        <f t="shared" si="292"/>
        <v>2.4168868516366818E-3</v>
      </c>
      <c r="AC855" s="3">
        <f t="shared" si="290"/>
        <v>1.9945415376318349E-2</v>
      </c>
      <c r="AD855" s="48"/>
      <c r="AE855" s="46">
        <f t="shared" si="285"/>
        <v>42.092147716924991</v>
      </c>
      <c r="AF855" s="46">
        <f t="shared" si="286"/>
        <v>-248.53982631568448</v>
      </c>
      <c r="AG855" s="47">
        <f t="shared" si="287"/>
        <v>7386.8753651495354</v>
      </c>
      <c r="AH855" s="45" t="str">
        <f t="shared" si="291"/>
        <v>-248.53983,42.09215,07387</v>
      </c>
      <c r="AI855" s="44">
        <f t="shared" si="293"/>
        <v>1021.3560937786011</v>
      </c>
    </row>
    <row r="856" spans="1:35" ht="18" customHeight="1" x14ac:dyDescent="0.25">
      <c r="A856" s="36">
        <f t="shared" si="288"/>
        <v>0.74937515046296299</v>
      </c>
      <c r="B856" s="42">
        <f t="shared" si="273"/>
        <v>42.092147713929016</v>
      </c>
      <c r="C856" s="43">
        <f t="shared" si="274"/>
        <v>111.46017470048707</v>
      </c>
      <c r="D856" s="18">
        <f t="shared" si="275"/>
        <v>7.3667656108018491</v>
      </c>
      <c r="E856" s="21" t="str">
        <f t="shared" si="276"/>
        <v>Umbra</v>
      </c>
      <c r="F856" s="23">
        <f>IF($E856&lt;&gt;"Umbra",fracil2($S$2,$S$3,$S$4,$A856,$Q$2,$O$3,$Q$4,$U856,$V856,$W856),0)</f>
        <v>0</v>
      </c>
      <c r="G856" s="19">
        <f t="shared" si="277"/>
        <v>69.301029766763705</v>
      </c>
      <c r="H856" s="19">
        <f t="shared" si="278"/>
        <v>-4.449063330211529</v>
      </c>
      <c r="I856" s="19">
        <f t="shared" si="279"/>
        <v>-3.241045380816634</v>
      </c>
      <c r="J856" s="28">
        <f t="shared" si="280"/>
        <v>4.9291185281279837E-3</v>
      </c>
      <c r="K856" s="24">
        <f t="shared" si="281"/>
        <v>1048.421413146745</v>
      </c>
      <c r="L856" s="32">
        <f t="shared" si="282"/>
        <v>0.56051362922109738</v>
      </c>
      <c r="M856" s="35">
        <f t="shared" si="283"/>
        <v>13.067920416920611</v>
      </c>
      <c r="O856" s="29">
        <f t="shared" si="284"/>
        <v>1046.5852529523406</v>
      </c>
      <c r="T856" s="48">
        <v>0.74937515046296299</v>
      </c>
      <c r="U856" s="29">
        <v>-1393.2034432461128</v>
      </c>
      <c r="V856" s="29">
        <v>4536.495539022776</v>
      </c>
      <c r="W856" s="29">
        <v>4258.1413834082632</v>
      </c>
      <c r="X856" s="4">
        <v>-0.3264775996572542</v>
      </c>
      <c r="Y856" s="4">
        <v>-0.11570769158054374</v>
      </c>
      <c r="Z856" s="4">
        <v>-1.333583629421378E-2</v>
      </c>
      <c r="AA856" s="3">
        <f t="shared" si="289"/>
        <v>0.34663199145278939</v>
      </c>
      <c r="AB856" s="3">
        <f t="shared" si="292"/>
        <v>2.4097828367974062E-3</v>
      </c>
      <c r="AC856" s="3">
        <f t="shared" si="290"/>
        <v>1.9921548742515751E-2</v>
      </c>
      <c r="AD856" s="48"/>
      <c r="AE856" s="46">
        <f t="shared" si="285"/>
        <v>42.092147713929016</v>
      </c>
      <c r="AF856" s="46">
        <f t="shared" si="286"/>
        <v>-248.53982529951293</v>
      </c>
      <c r="AG856" s="47">
        <f t="shared" si="287"/>
        <v>7366.7656108018491</v>
      </c>
      <c r="AH856" s="45" t="str">
        <f t="shared" si="291"/>
        <v>-248.53983,42.09215,07367</v>
      </c>
      <c r="AI856" s="44">
        <f t="shared" si="293"/>
        <v>1021.3562280373861</v>
      </c>
    </row>
    <row r="857" spans="1:35" ht="18" customHeight="1" x14ac:dyDescent="0.25">
      <c r="A857" s="36">
        <f t="shared" si="288"/>
        <v>0.74938672453703703</v>
      </c>
      <c r="B857" s="42">
        <f t="shared" si="273"/>
        <v>42.092147710967836</v>
      </c>
      <c r="C857" s="43">
        <f t="shared" si="274"/>
        <v>111.46017608152675</v>
      </c>
      <c r="D857" s="18">
        <f t="shared" si="275"/>
        <v>7.3468769250730475</v>
      </c>
      <c r="E857" s="21" t="str">
        <f t="shared" si="276"/>
        <v>Umbra</v>
      </c>
      <c r="F857" s="23">
        <f>IF($E857&lt;&gt;"Umbra",fracil2($S$2,$S$3,$S$4,$A857,$Q$2,$O$3,$Q$4,$U857,$V857,$W857),0)</f>
        <v>0</v>
      </c>
      <c r="G857" s="19">
        <f t="shared" si="277"/>
        <v>69.301034734423197</v>
      </c>
      <c r="H857" s="19">
        <f t="shared" si="278"/>
        <v>-4.4501465787119852</v>
      </c>
      <c r="I857" s="19">
        <f t="shared" si="279"/>
        <v>-3.2421286293170901</v>
      </c>
      <c r="J857" s="28">
        <f t="shared" si="280"/>
        <v>4.9280622225184416E-3</v>
      </c>
      <c r="K857" s="24">
        <f t="shared" si="281"/>
        <v>1048.4197807552166</v>
      </c>
      <c r="L857" s="32">
        <f t="shared" si="282"/>
        <v>0.56052752820358409</v>
      </c>
      <c r="M857" s="35">
        <f t="shared" si="283"/>
        <v>13.067189505184105</v>
      </c>
      <c r="O857" s="29">
        <f t="shared" si="284"/>
        <v>1046.5853639184372</v>
      </c>
      <c r="T857" s="48">
        <v>0.74938672453703703</v>
      </c>
      <c r="U857" s="29">
        <v>-1393.5300215965585</v>
      </c>
      <c r="V857" s="29">
        <v>4536.3797914787874</v>
      </c>
      <c r="W857" s="29">
        <v>4258.128051281391</v>
      </c>
      <c r="X857" s="4">
        <v>-0.32647325746185119</v>
      </c>
      <c r="Y857" s="4">
        <v>-0.11571445844864253</v>
      </c>
      <c r="Z857" s="4">
        <v>-1.3320027444701401E-2</v>
      </c>
      <c r="AA857" s="3">
        <f t="shared" si="289"/>
        <v>0.34662955278357671</v>
      </c>
      <c r="AB857" s="3">
        <f t="shared" si="292"/>
        <v>2.4017333016816142E-3</v>
      </c>
      <c r="AC857" s="3">
        <f t="shared" si="290"/>
        <v>1.9897997345759533E-2</v>
      </c>
      <c r="AD857" s="48"/>
      <c r="AE857" s="46">
        <f t="shared" si="285"/>
        <v>42.092147710967836</v>
      </c>
      <c r="AF857" s="46">
        <f t="shared" si="286"/>
        <v>-248.53982391847325</v>
      </c>
      <c r="AG857" s="47">
        <f t="shared" si="287"/>
        <v>7346.8769250730475</v>
      </c>
      <c r="AH857" s="45" t="str">
        <f t="shared" si="291"/>
        <v>-248.53982,42.09215,07347</v>
      </c>
      <c r="AI857" s="44">
        <f t="shared" si="293"/>
        <v>1021.3563622961711</v>
      </c>
    </row>
    <row r="858" spans="1:35" ht="18" customHeight="1" x14ac:dyDescent="0.25">
      <c r="A858" s="36">
        <f t="shared" si="288"/>
        <v>0.74939815972222223</v>
      </c>
      <c r="B858" s="42">
        <f t="shared" si="273"/>
        <v>42.092147708047946</v>
      </c>
      <c r="C858" s="43">
        <f t="shared" si="274"/>
        <v>111.46017698333584</v>
      </c>
      <c r="D858" s="18">
        <f t="shared" si="275"/>
        <v>7.3272522289180415</v>
      </c>
      <c r="E858" s="21" t="str">
        <f t="shared" si="276"/>
        <v>Umbra</v>
      </c>
      <c r="F858" s="23">
        <f>IF($E858&lt;&gt;"Umbra",fracil2($S$2,$S$3,$S$4,$A858,$Q$2,$O$3,$Q$4,$U858,$V858,$W858),0)</f>
        <v>0</v>
      </c>
      <c r="G858" s="19">
        <f t="shared" si="277"/>
        <v>69.301039167078926</v>
      </c>
      <c r="H858" s="19">
        <f t="shared" si="278"/>
        <v>-4.4512152755279075</v>
      </c>
      <c r="I858" s="19">
        <f t="shared" si="279"/>
        <v>-3.2431973261330125</v>
      </c>
      <c r="J858" s="28">
        <f t="shared" si="280"/>
        <v>4.9270223461201686E-3</v>
      </c>
      <c r="K858" s="24">
        <f t="shared" si="281"/>
        <v>1048.4181333354297</v>
      </c>
      <c r="L858" s="32">
        <f t="shared" si="282"/>
        <v>0.56054125799437282</v>
      </c>
      <c r="M858" s="35">
        <f t="shared" si="283"/>
        <v>13.066468751419503</v>
      </c>
      <c r="O858" s="29">
        <f t="shared" si="284"/>
        <v>1046.5854363538272</v>
      </c>
      <c r="T858" s="48">
        <v>0.74939815972222223</v>
      </c>
      <c r="U858" s="29">
        <v>-1393.8526405931541</v>
      </c>
      <c r="V858" s="29">
        <v>4536.2654390399193</v>
      </c>
      <c r="W858" s="29">
        <v>4258.1148961167273</v>
      </c>
      <c r="X858" s="4">
        <v>-0.32646895285382571</v>
      </c>
      <c r="Y858" s="4">
        <v>-0.11572119899391274</v>
      </c>
      <c r="Z858" s="4">
        <v>-1.3304462278624798E-2</v>
      </c>
      <c r="AA858" s="3">
        <f t="shared" si="289"/>
        <v>0.34662715097145169</v>
      </c>
      <c r="AB858" s="3">
        <f t="shared" si="292"/>
        <v>2.3934256524816965E-3</v>
      </c>
      <c r="AC858" s="3">
        <f t="shared" si="290"/>
        <v>1.9874809052994637E-2</v>
      </c>
      <c r="AD858" s="48"/>
      <c r="AE858" s="46">
        <f t="shared" si="285"/>
        <v>42.092147708047946</v>
      </c>
      <c r="AF858" s="46">
        <f t="shared" si="286"/>
        <v>-248.53982301666417</v>
      </c>
      <c r="AG858" s="47">
        <f t="shared" si="287"/>
        <v>7327.2522289180415</v>
      </c>
      <c r="AH858" s="45" t="str">
        <f t="shared" si="291"/>
        <v>-248.53982,42.09215,07327</v>
      </c>
      <c r="AI858" s="44">
        <f t="shared" si="293"/>
        <v>1021.3564965549562</v>
      </c>
    </row>
    <row r="859" spans="1:35" ht="18" customHeight="1" x14ac:dyDescent="0.25">
      <c r="A859" s="36">
        <f t="shared" si="288"/>
        <v>0.74940974537037031</v>
      </c>
      <c r="B859" s="42">
        <f t="shared" si="273"/>
        <v>42.092147705097616</v>
      </c>
      <c r="C859" s="43">
        <f t="shared" si="274"/>
        <v>111.46017419761817</v>
      </c>
      <c r="D859" s="18">
        <f t="shared" si="275"/>
        <v>7.3074102245718677</v>
      </c>
      <c r="E859" s="21" t="str">
        <f t="shared" si="276"/>
        <v>Umbra</v>
      </c>
      <c r="F859" s="23">
        <f>IF($E859&lt;&gt;"Umbra",fracil2($S$2,$S$3,$S$4,$A859,$Q$2,$O$3,$Q$4,$U859,$V859,$W859),0)</f>
        <v>0</v>
      </c>
      <c r="G859" s="19">
        <f t="shared" si="277"/>
        <v>69.301039885727107</v>
      </c>
      <c r="H859" s="19">
        <f t="shared" si="278"/>
        <v>-4.4522943928324388</v>
      </c>
      <c r="I859" s="19">
        <f t="shared" si="279"/>
        <v>-3.2442764434375437</v>
      </c>
      <c r="J859" s="28">
        <f t="shared" si="280"/>
        <v>4.9259736710028663E-3</v>
      </c>
      <c r="K859" s="24">
        <f t="shared" si="281"/>
        <v>1048.4161707165174</v>
      </c>
      <c r="L859" s="32">
        <f t="shared" si="282"/>
        <v>0.56055516787151849</v>
      </c>
      <c r="M859" s="35">
        <f t="shared" si="283"/>
        <v>13.065743741930007</v>
      </c>
      <c r="O859" s="29">
        <f t="shared" si="284"/>
        <v>1046.585212299123</v>
      </c>
      <c r="T859" s="48">
        <v>0.74940974537037031</v>
      </c>
      <c r="U859" s="29">
        <v>-1394.1792111841958</v>
      </c>
      <c r="V859" s="29">
        <v>4536.1496776051818</v>
      </c>
      <c r="W859" s="29">
        <v>4258.1015952824491</v>
      </c>
      <c r="X859" s="4">
        <v>-0.32646457975189602</v>
      </c>
      <c r="Y859" s="4">
        <v>-0.11572808016177707</v>
      </c>
      <c r="Z859" s="4">
        <v>-1.3288760694398475E-2</v>
      </c>
      <c r="AA859" s="3">
        <f t="shared" si="289"/>
        <v>0.34662472723581877</v>
      </c>
      <c r="AB859" s="3">
        <f t="shared" si="292"/>
        <v>2.383038913780262E-3</v>
      </c>
      <c r="AC859" s="3">
        <f t="shared" si="290"/>
        <v>1.9851417605326674E-2</v>
      </c>
      <c r="AD859" s="48"/>
      <c r="AE859" s="46">
        <f t="shared" si="285"/>
        <v>42.092147705097616</v>
      </c>
      <c r="AF859" s="46">
        <f t="shared" si="286"/>
        <v>-248.53982580238181</v>
      </c>
      <c r="AG859" s="47">
        <f t="shared" si="287"/>
        <v>7307.4102245718677</v>
      </c>
      <c r="AH859" s="45" t="str">
        <f t="shared" si="291"/>
        <v>-248.53983,42.09215,07307</v>
      </c>
      <c r="AI859" s="44">
        <f t="shared" si="293"/>
        <v>1021.3567290979947</v>
      </c>
    </row>
    <row r="860" spans="1:35" ht="18" customHeight="1" x14ac:dyDescent="0.25">
      <c r="A860" s="36">
        <f t="shared" si="288"/>
        <v>0.74942128472222225</v>
      </c>
      <c r="B860" s="42">
        <f t="shared" si="273"/>
        <v>42.092147702162237</v>
      </c>
      <c r="C860" s="43">
        <f t="shared" si="274"/>
        <v>111.46017443384758</v>
      </c>
      <c r="D860" s="18">
        <f t="shared" si="275"/>
        <v>7.2876564898697325</v>
      </c>
      <c r="E860" s="21" t="str">
        <f t="shared" si="276"/>
        <v>Umbra</v>
      </c>
      <c r="F860" s="23">
        <f>IF($E860&lt;&gt;"Umbra",fracil2($S$2,$S$3,$S$4,$A860,$Q$2,$O$3,$Q$4,$U860,$V860,$W860),0)</f>
        <v>0</v>
      </c>
      <c r="G860" s="19">
        <f t="shared" si="277"/>
        <v>69.301043664130063</v>
      </c>
      <c r="H860" s="19">
        <f t="shared" si="278"/>
        <v>-4.4533698665234827</v>
      </c>
      <c r="I860" s="19">
        <f t="shared" si="279"/>
        <v>-3.2453519171285876</v>
      </c>
      <c r="J860" s="28">
        <f t="shared" si="280"/>
        <v>4.9249320093559907E-3</v>
      </c>
      <c r="K860" s="24">
        <f t="shared" si="281"/>
        <v>1048.4144592057671</v>
      </c>
      <c r="L860" s="32">
        <f t="shared" si="282"/>
        <v>0.56056901774872181</v>
      </c>
      <c r="M860" s="35">
        <f t="shared" si="283"/>
        <v>13.065018908262607</v>
      </c>
      <c r="O860" s="29">
        <f t="shared" si="284"/>
        <v>1046.5852312193226</v>
      </c>
      <c r="T860" s="48">
        <v>0.74942128472222225</v>
      </c>
      <c r="U860" s="29">
        <v>-1394.5047077034674</v>
      </c>
      <c r="V860" s="29">
        <v>4536.0342884790325</v>
      </c>
      <c r="W860" s="29">
        <v>4258.088353618753</v>
      </c>
      <c r="X860" s="4">
        <v>-0.32646020538581005</v>
      </c>
      <c r="Y860" s="4">
        <v>-0.11573499630928165</v>
      </c>
      <c r="Z860" s="4">
        <v>-1.3273164561035378E-2</v>
      </c>
      <c r="AA860" s="3">
        <f t="shared" si="289"/>
        <v>0.34662231891313494</v>
      </c>
      <c r="AB860" s="3">
        <f t="shared" si="292"/>
        <v>2.3765235628811772E-3</v>
      </c>
      <c r="AC860" s="3">
        <f t="shared" si="290"/>
        <v>1.9828183327839054E-2</v>
      </c>
      <c r="AD860" s="48"/>
      <c r="AE860" s="46">
        <f t="shared" si="285"/>
        <v>42.092147702162237</v>
      </c>
      <c r="AF860" s="46">
        <f t="shared" si="286"/>
        <v>-248.53982556615242</v>
      </c>
      <c r="AG860" s="47">
        <f t="shared" si="287"/>
        <v>7287.6564898697325</v>
      </c>
      <c r="AH860" s="45" t="str">
        <f t="shared" si="291"/>
        <v>-248.53983,42.09215,07288</v>
      </c>
      <c r="AI860" s="44">
        <f t="shared" si="293"/>
        <v>1021.3567290979947</v>
      </c>
    </row>
    <row r="861" spans="1:35" ht="18" customHeight="1" x14ac:dyDescent="0.25">
      <c r="A861" s="36">
        <f t="shared" si="288"/>
        <v>0.74943288194444435</v>
      </c>
      <c r="B861" s="42">
        <f t="shared" si="273"/>
        <v>42.09214769921644</v>
      </c>
      <c r="C861" s="43">
        <f t="shared" si="274"/>
        <v>111.46017645715494</v>
      </c>
      <c r="D861" s="18">
        <f t="shared" si="275"/>
        <v>7.2678185681488685</v>
      </c>
      <c r="E861" s="21" t="str">
        <f t="shared" si="276"/>
        <v>Umbra</v>
      </c>
      <c r="F861" s="23">
        <f>IF($E861&lt;&gt;"Umbra",fracil2($S$2,$S$3,$S$4,$A861,$Q$2,$O$3,$Q$4,$U861,$V861,$W861),0)</f>
        <v>0</v>
      </c>
      <c r="G861" s="19">
        <f t="shared" si="277"/>
        <v>69.301049276398118</v>
      </c>
      <c r="H861" s="19">
        <f t="shared" si="278"/>
        <v>-4.4544506113233089</v>
      </c>
      <c r="I861" s="19">
        <f t="shared" si="279"/>
        <v>-3.2464326619284138</v>
      </c>
      <c r="J861" s="28">
        <f t="shared" si="280"/>
        <v>4.9238882019868114E-3</v>
      </c>
      <c r="K861" s="24">
        <f t="shared" si="281"/>
        <v>1048.4128843951162</v>
      </c>
      <c r="L861" s="32">
        <f t="shared" si="282"/>
        <v>0.560582933360951</v>
      </c>
      <c r="M861" s="35">
        <f t="shared" si="283"/>
        <v>13.06428917214367</v>
      </c>
      <c r="O861" s="29">
        <f t="shared" si="284"/>
        <v>1046.5853938262437</v>
      </c>
      <c r="T861" s="48">
        <v>0.74943288194444435</v>
      </c>
      <c r="U861" s="29">
        <v>-1394.8319717510171</v>
      </c>
      <c r="V861" s="29">
        <v>4535.918264219611</v>
      </c>
      <c r="W861" s="29">
        <v>4258.0750555215391</v>
      </c>
      <c r="X861" s="4">
        <v>-0.32645579217467419</v>
      </c>
      <c r="Y861" s="4">
        <v>-0.11574200579727402</v>
      </c>
      <c r="Z861" s="4">
        <v>-1.3257535818508637E-2</v>
      </c>
      <c r="AA861" s="3">
        <f t="shared" si="289"/>
        <v>0.34661990480402205</v>
      </c>
      <c r="AB861" s="3">
        <f t="shared" si="292"/>
        <v>2.3696011947519431E-3</v>
      </c>
      <c r="AC861" s="3">
        <f t="shared" si="290"/>
        <v>1.9804900545904922E-2</v>
      </c>
      <c r="AD861" s="48"/>
      <c r="AE861" s="46">
        <f t="shared" si="285"/>
        <v>42.09214769921644</v>
      </c>
      <c r="AF861" s="46">
        <f t="shared" si="286"/>
        <v>-248.53982354284506</v>
      </c>
      <c r="AG861" s="47">
        <f t="shared" si="287"/>
        <v>7267.8185681488685</v>
      </c>
      <c r="AH861" s="45" t="str">
        <f t="shared" si="291"/>
        <v>-248.53982,42.09215,07268</v>
      </c>
      <c r="AI861" s="44">
        <f t="shared" si="293"/>
        <v>1021.3568633567797</v>
      </c>
    </row>
    <row r="862" spans="1:35" ht="18" customHeight="1" x14ac:dyDescent="0.25">
      <c r="A862" s="36">
        <f t="shared" si="288"/>
        <v>0.74944451388888889</v>
      </c>
      <c r="B862" s="42">
        <f t="shared" si="273"/>
        <v>42.09214769626773</v>
      </c>
      <c r="C862" s="43">
        <f t="shared" si="274"/>
        <v>111.46017766263158</v>
      </c>
      <c r="D862" s="18">
        <f t="shared" si="275"/>
        <v>7.2479485823296272</v>
      </c>
      <c r="E862" s="21" t="str">
        <f t="shared" si="276"/>
        <v>Umbra</v>
      </c>
      <c r="F862" s="23">
        <f>IF($E862&lt;&gt;"Umbra",fracil2($S$2,$S$3,$S$4,$A862,$Q$2,$O$3,$Q$4,$U862,$V862,$W862),0)</f>
        <v>0</v>
      </c>
      <c r="G862" s="19">
        <f t="shared" si="277"/>
        <v>69.301054062081462</v>
      </c>
      <c r="H862" s="19">
        <f t="shared" si="278"/>
        <v>-4.4555327917591319</v>
      </c>
      <c r="I862" s="19">
        <f t="shared" si="279"/>
        <v>-3.2475148423642368</v>
      </c>
      <c r="J862" s="28">
        <f t="shared" si="280"/>
        <v>4.9228452643277874E-3</v>
      </c>
      <c r="K862" s="24">
        <f t="shared" si="281"/>
        <v>1048.4112413853175</v>
      </c>
      <c r="L862" s="32">
        <f t="shared" si="282"/>
        <v>0.56059688840713051</v>
      </c>
      <c r="M862" s="35">
        <f t="shared" si="283"/>
        <v>13.063559076430799</v>
      </c>
      <c r="O862" s="29">
        <f t="shared" si="284"/>
        <v>1046.5854906767966</v>
      </c>
      <c r="T862" s="48">
        <v>0.74944451388888889</v>
      </c>
      <c r="U862" s="29">
        <v>-1395.1601468167214</v>
      </c>
      <c r="V862" s="29">
        <v>4535.8019083154013</v>
      </c>
      <c r="W862" s="29">
        <v>4258.0617359307198</v>
      </c>
      <c r="X862" s="4">
        <v>-0.32645135095092359</v>
      </c>
      <c r="Y862" s="4">
        <v>-0.11574909264007258</v>
      </c>
      <c r="Z862" s="4">
        <v>-1.3241917595282891E-2</v>
      </c>
      <c r="AA862" s="3">
        <f t="shared" si="289"/>
        <v>0.3466174914315252</v>
      </c>
      <c r="AB862" s="3">
        <f t="shared" si="292"/>
        <v>2.3609299699760989E-3</v>
      </c>
      <c r="AC862" s="3">
        <f t="shared" si="290"/>
        <v>1.9781633510222729E-2</v>
      </c>
      <c r="AD862" s="48"/>
      <c r="AE862" s="46">
        <f t="shared" si="285"/>
        <v>42.09214769626773</v>
      </c>
      <c r="AF862" s="46">
        <f t="shared" si="286"/>
        <v>-248.53982233736843</v>
      </c>
      <c r="AG862" s="47">
        <f t="shared" si="287"/>
        <v>7247.9485823296272</v>
      </c>
      <c r="AH862" s="45" t="str">
        <f t="shared" si="291"/>
        <v>-248.53982,42.09215,07248</v>
      </c>
      <c r="AI862" s="44">
        <f t="shared" si="293"/>
        <v>1021.3568633567797</v>
      </c>
    </row>
    <row r="863" spans="1:35" ht="18" customHeight="1" x14ac:dyDescent="0.25">
      <c r="A863" s="36">
        <f t="shared" si="288"/>
        <v>0.74945618055555563</v>
      </c>
      <c r="B863" s="42">
        <f t="shared" si="273"/>
        <v>42.092147693317195</v>
      </c>
      <c r="C863" s="43">
        <f t="shared" si="274"/>
        <v>111.46017672671032</v>
      </c>
      <c r="D863" s="18">
        <f t="shared" si="275"/>
        <v>7.2280528975206835</v>
      </c>
      <c r="E863" s="21" t="str">
        <f t="shared" si="276"/>
        <v>Umbra</v>
      </c>
      <c r="F863" s="23">
        <f>IF($E863&lt;&gt;"Umbra",fracil2($S$2,$S$3,$S$4,$A863,$Q$2,$O$3,$Q$4,$U863,$V863,$W863),0)</f>
        <v>0</v>
      </c>
      <c r="G863" s="19">
        <f t="shared" si="277"/>
        <v>69.301056672996864</v>
      </c>
      <c r="H863" s="19">
        <f t="shared" si="278"/>
        <v>-4.4566155548102664</v>
      </c>
      <c r="I863" s="19">
        <f t="shared" si="279"/>
        <v>-3.2485976054153713</v>
      </c>
      <c r="J863" s="28">
        <f t="shared" si="280"/>
        <v>4.9218036610372828E-3</v>
      </c>
      <c r="K863" s="24">
        <f t="shared" si="281"/>
        <v>1048.4094243045429</v>
      </c>
      <c r="L863" s="32">
        <f t="shared" si="282"/>
        <v>0.5606108836399375</v>
      </c>
      <c r="M863" s="35">
        <f t="shared" si="283"/>
        <v>13.062830190998763</v>
      </c>
      <c r="O863" s="29">
        <f t="shared" si="284"/>
        <v>1046.5854153518342</v>
      </c>
      <c r="T863" s="48">
        <v>0.74945618055555563</v>
      </c>
      <c r="U863" s="29">
        <v>-1395.4891294343649</v>
      </c>
      <c r="V863" s="29">
        <v>4535.685257318456</v>
      </c>
      <c r="W863" s="29">
        <v>4258.0483991130786</v>
      </c>
      <c r="X863" s="4">
        <v>-0.32644688278010603</v>
      </c>
      <c r="Y863" s="4">
        <v>-0.11575625568423505</v>
      </c>
      <c r="Z863" s="4">
        <v>-1.3226315835311342E-2</v>
      </c>
      <c r="AA863" s="3">
        <f t="shared" si="289"/>
        <v>0.34661507964521349</v>
      </c>
      <c r="AB863" s="3">
        <f t="shared" si="292"/>
        <v>2.3514145066157672E-3</v>
      </c>
      <c r="AC863" s="3">
        <f t="shared" si="290"/>
        <v>1.9758391075805487E-2</v>
      </c>
      <c r="AD863" s="48"/>
      <c r="AE863" s="46">
        <f t="shared" si="285"/>
        <v>42.092147693317195</v>
      </c>
      <c r="AF863" s="46">
        <f t="shared" si="286"/>
        <v>-248.5398232732897</v>
      </c>
      <c r="AG863" s="47">
        <f t="shared" si="287"/>
        <v>7228.0528975206835</v>
      </c>
      <c r="AH863" s="45" t="str">
        <f t="shared" si="291"/>
        <v>-248.53982,42.09215,07228</v>
      </c>
      <c r="AI863" s="44">
        <f t="shared" si="293"/>
        <v>1021.3569582920777</v>
      </c>
    </row>
    <row r="864" spans="1:35" ht="18" customHeight="1" x14ac:dyDescent="0.25">
      <c r="A864" s="36">
        <f t="shared" si="288"/>
        <v>0.74946768518518514</v>
      </c>
      <c r="B864" s="42">
        <f t="shared" si="273"/>
        <v>42.09214769041359</v>
      </c>
      <c r="C864" s="43">
        <f t="shared" si="274"/>
        <v>111.46017483134598</v>
      </c>
      <c r="D864" s="18">
        <f t="shared" si="275"/>
        <v>7.2084610581487141</v>
      </c>
      <c r="E864" s="21" t="str">
        <f t="shared" si="276"/>
        <v>Umbra</v>
      </c>
      <c r="F864" s="23">
        <f>IF($E864&lt;&gt;"Umbra",fracil2($S$2,$S$3,$S$4,$A864,$Q$2,$O$3,$Q$4,$U864,$V864,$W864),0)</f>
        <v>0</v>
      </c>
      <c r="G864" s="19">
        <f t="shared" si="277"/>
        <v>69.301058253041361</v>
      </c>
      <c r="H864" s="19">
        <f t="shared" si="278"/>
        <v>-4.4576814129409446</v>
      </c>
      <c r="I864" s="19">
        <f t="shared" si="279"/>
        <v>-3.2496634635460495</v>
      </c>
      <c r="J864" s="28">
        <f t="shared" si="280"/>
        <v>4.9207803883719245E-3</v>
      </c>
      <c r="K864" s="24">
        <f t="shared" si="281"/>
        <v>1048.4075570401662</v>
      </c>
      <c r="L864" s="32">
        <f t="shared" si="282"/>
        <v>0.56062468241179586</v>
      </c>
      <c r="M864" s="35">
        <f t="shared" si="283"/>
        <v>13.062113410801304</v>
      </c>
      <c r="O864" s="29">
        <f t="shared" si="284"/>
        <v>1046.5852628856458</v>
      </c>
      <c r="T864" s="48">
        <v>0.74946768518518514</v>
      </c>
      <c r="U864" s="29">
        <v>-1395.8134624648058</v>
      </c>
      <c r="V864" s="29">
        <v>4535.5702463175694</v>
      </c>
      <c r="W864" s="29">
        <v>4258.0352659744913</v>
      </c>
      <c r="X864" s="4">
        <v>-0.32644246278762967</v>
      </c>
      <c r="Y864" s="4">
        <v>-0.11576337265523759</v>
      </c>
      <c r="Z864" s="4">
        <v>-1.3210986089313412E-2</v>
      </c>
      <c r="AA864" s="3">
        <f t="shared" si="289"/>
        <v>0.34661270910458614</v>
      </c>
      <c r="AB864" s="3">
        <f t="shared" si="292"/>
        <v>2.3429515499265056E-3</v>
      </c>
      <c r="AC864" s="3">
        <f t="shared" si="290"/>
        <v>1.9735553942804535E-2</v>
      </c>
      <c r="AD864" s="48"/>
      <c r="AE864" s="46">
        <f t="shared" si="285"/>
        <v>42.09214769041359</v>
      </c>
      <c r="AF864" s="46">
        <f t="shared" si="286"/>
        <v>-248.53982516865403</v>
      </c>
      <c r="AG864" s="47">
        <f t="shared" si="287"/>
        <v>7208.4610581487141</v>
      </c>
      <c r="AH864" s="45" t="str">
        <f t="shared" si="291"/>
        <v>-248.53983,42.09215,07208</v>
      </c>
      <c r="AI864" s="44">
        <f t="shared" si="293"/>
        <v>1021.357122724837</v>
      </c>
    </row>
    <row r="865" spans="1:35" ht="18" customHeight="1" x14ac:dyDescent="0.25">
      <c r="A865" s="36">
        <f t="shared" si="288"/>
        <v>0.74947928240740735</v>
      </c>
      <c r="B865" s="42">
        <f t="shared" si="273"/>
        <v>42.092147687490474</v>
      </c>
      <c r="C865" s="43">
        <f t="shared" si="274"/>
        <v>111.46017504932038</v>
      </c>
      <c r="D865" s="18">
        <f t="shared" si="275"/>
        <v>7.1887244646186446</v>
      </c>
      <c r="E865" s="21" t="str">
        <f t="shared" si="276"/>
        <v>Umbra</v>
      </c>
      <c r="F865" s="23">
        <f>IF($E865&lt;&gt;"Umbra",fracil2($S$2,$S$3,$S$4,$A865,$Q$2,$O$3,$Q$4,$U865,$V865,$W865),0)</f>
        <v>0</v>
      </c>
      <c r="G865" s="19">
        <f t="shared" si="277"/>
        <v>69.301062009846802</v>
      </c>
      <c r="H865" s="19">
        <f t="shared" si="278"/>
        <v>-4.4587559640963335</v>
      </c>
      <c r="I865" s="19">
        <f t="shared" si="279"/>
        <v>-3.2507380147014384</v>
      </c>
      <c r="J865" s="28">
        <f t="shared" si="280"/>
        <v>4.9197519044570717E-3</v>
      </c>
      <c r="K865" s="24">
        <f t="shared" si="281"/>
        <v>1048.4058474114615</v>
      </c>
      <c r="L865" s="32">
        <f t="shared" si="282"/>
        <v>0.56063858835711067</v>
      </c>
      <c r="M865" s="35">
        <f t="shared" si="283"/>
        <v>13.06138917702825</v>
      </c>
      <c r="O865" s="29">
        <f t="shared" si="284"/>
        <v>1046.5852803383887</v>
      </c>
      <c r="T865" s="48">
        <v>0.74947928240740735</v>
      </c>
      <c r="U865" s="29">
        <v>-1396.1405676866254</v>
      </c>
      <c r="V865" s="29">
        <v>4535.4542435058966</v>
      </c>
      <c r="W865" s="29">
        <v>4258.0220358019715</v>
      </c>
      <c r="X865" s="4">
        <v>-0.32643798963479659</v>
      </c>
      <c r="Y865" s="4">
        <v>-0.11577060693252754</v>
      </c>
      <c r="Z865" s="4">
        <v>-1.319557806405843E-2</v>
      </c>
      <c r="AA865" s="3">
        <f t="shared" si="289"/>
        <v>0.3466103255628401</v>
      </c>
      <c r="AB865" s="3">
        <f t="shared" si="292"/>
        <v>2.3361062813814755E-3</v>
      </c>
      <c r="AC865" s="3">
        <f t="shared" si="290"/>
        <v>1.9712600268892932E-2</v>
      </c>
      <c r="AD865" s="48"/>
      <c r="AE865" s="46">
        <f t="shared" si="285"/>
        <v>42.092147687490474</v>
      </c>
      <c r="AF865" s="46">
        <f t="shared" si="286"/>
        <v>-248.53982495067962</v>
      </c>
      <c r="AG865" s="47">
        <f t="shared" si="287"/>
        <v>7188.7244646186446</v>
      </c>
      <c r="AH865" s="45" t="str">
        <f t="shared" si="291"/>
        <v>-248.53982,42.09215,07189</v>
      </c>
      <c r="AI865" s="44">
        <f t="shared" si="293"/>
        <v>1021.357122724837</v>
      </c>
    </row>
    <row r="866" spans="1:35" ht="18" customHeight="1" x14ac:dyDescent="0.25">
      <c r="A866" s="36">
        <f t="shared" si="288"/>
        <v>0.74949084490740736</v>
      </c>
      <c r="B866" s="42">
        <f t="shared" si="273"/>
        <v>42.092147684580503</v>
      </c>
      <c r="C866" s="43">
        <f t="shared" si="274"/>
        <v>111.46017644835652</v>
      </c>
      <c r="D866" s="18">
        <f t="shared" si="275"/>
        <v>7.1690642921603285</v>
      </c>
      <c r="E866" s="21" t="str">
        <f t="shared" si="276"/>
        <v>Umbra</v>
      </c>
      <c r="F866" s="23">
        <f>IF($E866&lt;&gt;"Umbra",fracil2($S$2,$S$3,$S$4,$A866,$Q$2,$O$3,$Q$4,$U866,$V866,$W866),0)</f>
        <v>0</v>
      </c>
      <c r="G866" s="19">
        <f t="shared" si="277"/>
        <v>69.301066954985529</v>
      </c>
      <c r="H866" s="19">
        <f t="shared" si="278"/>
        <v>-4.4598268102165779</v>
      </c>
      <c r="I866" s="19">
        <f t="shared" si="279"/>
        <v>-3.2518088608216829</v>
      </c>
      <c r="J866" s="28">
        <f t="shared" si="280"/>
        <v>4.9187296427984396E-3</v>
      </c>
      <c r="K866" s="24">
        <f t="shared" si="281"/>
        <v>1048.4042398084744</v>
      </c>
      <c r="L866" s="32">
        <f t="shared" si="282"/>
        <v>0.56065244933972369</v>
      </c>
      <c r="M866" s="35">
        <f t="shared" si="283"/>
        <v>13.060666544825475</v>
      </c>
      <c r="O866" s="29">
        <f t="shared" si="284"/>
        <v>1046.5853927527373</v>
      </c>
      <c r="T866" s="48">
        <v>0.74949084490740736</v>
      </c>
      <c r="U866" s="29">
        <v>-1396.4667814187542</v>
      </c>
      <c r="V866" s="29">
        <v>4535.3385480152438</v>
      </c>
      <c r="W866" s="29">
        <v>4258.0088568574893</v>
      </c>
      <c r="X866" s="4">
        <v>-0.32643351406269322</v>
      </c>
      <c r="Y866" s="4">
        <v>-0.11577787540439996</v>
      </c>
      <c r="Z866" s="4">
        <v>-1.3180262361236855E-2</v>
      </c>
      <c r="AA866" s="3">
        <f t="shared" si="289"/>
        <v>0.3466079555526479</v>
      </c>
      <c r="AB866" s="3">
        <f t="shared" si="292"/>
        <v>2.3290744952797222E-3</v>
      </c>
      <c r="AC866" s="3">
        <f t="shared" si="290"/>
        <v>1.9689784203296708E-2</v>
      </c>
      <c r="AD866" s="48"/>
      <c r="AE866" s="46">
        <f t="shared" si="285"/>
        <v>42.092147684580503</v>
      </c>
      <c r="AF866" s="46">
        <f t="shared" si="286"/>
        <v>-248.53982355164348</v>
      </c>
      <c r="AG866" s="47">
        <f t="shared" si="287"/>
        <v>7169.0642921603285</v>
      </c>
      <c r="AH866" s="45" t="str">
        <f t="shared" si="291"/>
        <v>-248.53982,42.09215,07169</v>
      </c>
      <c r="AI866" s="44">
        <f t="shared" si="293"/>
        <v>1021.3572569836221</v>
      </c>
    </row>
    <row r="867" spans="1:35" ht="18" customHeight="1" x14ac:dyDescent="0.25">
      <c r="A867" s="36">
        <f t="shared" si="288"/>
        <v>0.74950250000000007</v>
      </c>
      <c r="B867" s="42">
        <f t="shared" si="273"/>
        <v>42.092147681654502</v>
      </c>
      <c r="C867" s="43">
        <f t="shared" si="274"/>
        <v>111.46017525746194</v>
      </c>
      <c r="D867" s="18">
        <f t="shared" si="275"/>
        <v>7.1492819738896287</v>
      </c>
      <c r="E867" s="21" t="str">
        <f t="shared" si="276"/>
        <v>Umbra</v>
      </c>
      <c r="F867" s="23">
        <f>IF($E867&lt;&gt;"Umbra",fracil2($S$2,$S$3,$S$4,$A867,$Q$2,$O$3,$Q$4,$U867,$V867,$W867),0)</f>
        <v>0</v>
      </c>
      <c r="G867" s="19">
        <f t="shared" si="277"/>
        <v>69.30106928614326</v>
      </c>
      <c r="H867" s="19">
        <f t="shared" si="278"/>
        <v>-4.4609033186442542</v>
      </c>
      <c r="I867" s="19">
        <f t="shared" si="279"/>
        <v>-3.2528853692493591</v>
      </c>
      <c r="J867" s="28">
        <f t="shared" si="280"/>
        <v>4.9177036257009102E-3</v>
      </c>
      <c r="K867" s="24">
        <f t="shared" si="281"/>
        <v>1048.402413626563</v>
      </c>
      <c r="L867" s="32">
        <f t="shared" si="282"/>
        <v>0.56066642017143176</v>
      </c>
      <c r="M867" s="35">
        <f t="shared" si="283"/>
        <v>13.059942037255368</v>
      </c>
      <c r="O867" s="29">
        <f t="shared" si="284"/>
        <v>1046.5852969276868</v>
      </c>
      <c r="T867" s="48">
        <v>0.74950250000000007</v>
      </c>
      <c r="U867" s="29">
        <v>-1396.7953997283553</v>
      </c>
      <c r="V867" s="29">
        <v>4535.2219907340477</v>
      </c>
      <c r="W867" s="29">
        <v>4257.9955960342995</v>
      </c>
      <c r="X867" s="4">
        <v>-0.32642899007629711</v>
      </c>
      <c r="Y867" s="4">
        <v>-0.11578525401461842</v>
      </c>
      <c r="Z867" s="4">
        <v>-1.3164886595364311E-2</v>
      </c>
      <c r="AA867" s="3">
        <f t="shared" si="289"/>
        <v>0.34660557532810948</v>
      </c>
      <c r="AB867" s="3">
        <f t="shared" si="292"/>
        <v>2.3196252094741542E-3</v>
      </c>
      <c r="AC867" s="3">
        <f t="shared" si="290"/>
        <v>1.9666878734778744E-2</v>
      </c>
      <c r="AD867" s="48"/>
      <c r="AE867" s="46">
        <f t="shared" si="285"/>
        <v>42.092147681654502</v>
      </c>
      <c r="AF867" s="46">
        <f t="shared" si="286"/>
        <v>-248.53982474253806</v>
      </c>
      <c r="AG867" s="47">
        <f t="shared" si="287"/>
        <v>7149.2819738896287</v>
      </c>
      <c r="AH867" s="45" t="str">
        <f t="shared" si="291"/>
        <v>-248.53982,42.09215,07149</v>
      </c>
      <c r="AI867" s="44">
        <f t="shared" si="293"/>
        <v>1021.35735191892</v>
      </c>
    </row>
    <row r="868" spans="1:35" ht="18" customHeight="1" x14ac:dyDescent="0.25">
      <c r="A868" s="36">
        <f t="shared" si="288"/>
        <v>0.74951401620370373</v>
      </c>
      <c r="B868" s="42">
        <f t="shared" si="273"/>
        <v>42.092147678767105</v>
      </c>
      <c r="C868" s="43">
        <f t="shared" si="274"/>
        <v>111.46017609227184</v>
      </c>
      <c r="D868" s="18">
        <f t="shared" si="275"/>
        <v>7.1297485910081377</v>
      </c>
      <c r="E868" s="21" t="str">
        <f t="shared" si="276"/>
        <v>Umbra</v>
      </c>
      <c r="F868" s="23">
        <f>IF($E868&lt;&gt;"Umbra",fracil2($S$2,$S$3,$S$4,$A868,$Q$2,$O$3,$Q$4,$U868,$V868,$W868),0)</f>
        <v>0</v>
      </c>
      <c r="G868" s="19">
        <f t="shared" si="277"/>
        <v>69.301073634359241</v>
      </c>
      <c r="H868" s="19">
        <f t="shared" si="278"/>
        <v>-4.4619670532292464</v>
      </c>
      <c r="I868" s="19">
        <f t="shared" si="279"/>
        <v>-3.2539491038343513</v>
      </c>
      <c r="J868" s="28">
        <f t="shared" si="280"/>
        <v>4.9166927054907546E-3</v>
      </c>
      <c r="K868" s="24">
        <f t="shared" si="281"/>
        <v>1048.4007724740188</v>
      </c>
      <c r="L868" s="32">
        <f t="shared" si="282"/>
        <v>0.56068022073442936</v>
      </c>
      <c r="M868" s="35">
        <f t="shared" si="283"/>
        <v>13.059224607328323</v>
      </c>
      <c r="O868" s="29">
        <f t="shared" si="284"/>
        <v>1046.5853639769398</v>
      </c>
      <c r="T868" s="48">
        <v>0.74951401620370373</v>
      </c>
      <c r="U868" s="29">
        <v>-1397.1202547132443</v>
      </c>
      <c r="V868" s="29">
        <v>4535.1067593445914</v>
      </c>
      <c r="W868" s="29">
        <v>4257.9825020818998</v>
      </c>
      <c r="X868" s="4">
        <v>-0.32642450338465845</v>
      </c>
      <c r="Y868" s="4">
        <v>-0.11579260158299623</v>
      </c>
      <c r="Z868" s="4">
        <v>-1.314973682240651E-2</v>
      </c>
      <c r="AA868" s="3">
        <f t="shared" si="289"/>
        <v>0.34660322931239107</v>
      </c>
      <c r="AB868" s="3">
        <f t="shared" si="292"/>
        <v>2.3130881082442248E-3</v>
      </c>
      <c r="AC868" s="3">
        <f t="shared" si="290"/>
        <v>1.9644310003499345E-2</v>
      </c>
      <c r="AD868" s="48"/>
      <c r="AE868" s="46">
        <f t="shared" si="285"/>
        <v>42.092147678767105</v>
      </c>
      <c r="AF868" s="46">
        <f t="shared" si="286"/>
        <v>-248.53982390772816</v>
      </c>
      <c r="AG868" s="47">
        <f t="shared" si="287"/>
        <v>7129.7485910081377</v>
      </c>
      <c r="AH868" s="45" t="str">
        <f t="shared" si="291"/>
        <v>-248.53982,42.09215,07130</v>
      </c>
      <c r="AI868" s="44">
        <f t="shared" si="293"/>
        <v>1021.35735191892</v>
      </c>
    </row>
    <row r="869" spans="1:35" ht="18" customHeight="1" x14ac:dyDescent="0.25">
      <c r="A869" s="36">
        <f t="shared" si="288"/>
        <v>0.74952548611111114</v>
      </c>
      <c r="B869" s="42">
        <f t="shared" si="273"/>
        <v>42.092147675896058</v>
      </c>
      <c r="C869" s="43">
        <f t="shared" si="274"/>
        <v>111.46017752599022</v>
      </c>
      <c r="D869" s="18">
        <f t="shared" si="275"/>
        <v>7.1103132275284224</v>
      </c>
      <c r="E869" s="21" t="str">
        <f t="shared" si="276"/>
        <v>Umbra</v>
      </c>
      <c r="F869" s="23">
        <f>IF($E869&lt;&gt;"Umbra",fracil2($S$2,$S$3,$S$4,$A869,$Q$2,$O$3,$Q$4,$U869,$V869,$W869),0)</f>
        <v>0</v>
      </c>
      <c r="G869" s="19">
        <f t="shared" si="277"/>
        <v>69.301078574559369</v>
      </c>
      <c r="H869" s="19">
        <f t="shared" si="278"/>
        <v>-4.4630256838449283</v>
      </c>
      <c r="I869" s="19">
        <f t="shared" si="279"/>
        <v>-3.2550077344500332</v>
      </c>
      <c r="J869" s="28">
        <f t="shared" si="280"/>
        <v>4.9156891314868075E-3</v>
      </c>
      <c r="K869" s="24">
        <f t="shared" si="281"/>
        <v>1048.3991884112236</v>
      </c>
      <c r="L869" s="32">
        <f t="shared" si="282"/>
        <v>0.56069396289061635</v>
      </c>
      <c r="M869" s="35">
        <f t="shared" si="283"/>
        <v>13.058510159571872</v>
      </c>
      <c r="O869" s="29">
        <f t="shared" si="284"/>
        <v>1046.585479180826</v>
      </c>
      <c r="T869" s="48">
        <v>0.74952548611111114</v>
      </c>
      <c r="U869" s="29">
        <v>-1397.4438463655631</v>
      </c>
      <c r="V869" s="29">
        <v>4534.9919672062297</v>
      </c>
      <c r="W869" s="29">
        <v>4257.9694738357057</v>
      </c>
      <c r="X869" s="4">
        <v>-0.32642001960145284</v>
      </c>
      <c r="Y869" s="4">
        <v>-0.1157999739920799</v>
      </c>
      <c r="Z869" s="4">
        <v>-1.3134695845420647E-2</v>
      </c>
      <c r="AA869" s="3">
        <f t="shared" si="289"/>
        <v>0.34660089931812199</v>
      </c>
      <c r="AB869" s="3">
        <f t="shared" si="292"/>
        <v>2.3057389404784875E-3</v>
      </c>
      <c r="AC869" s="3">
        <f t="shared" si="290"/>
        <v>1.9621903418133455E-2</v>
      </c>
      <c r="AD869" s="48"/>
      <c r="AE869" s="46">
        <f t="shared" si="285"/>
        <v>42.092147675896058</v>
      </c>
      <c r="AF869" s="46">
        <f t="shared" si="286"/>
        <v>-248.53982247400978</v>
      </c>
      <c r="AG869" s="47">
        <f t="shared" si="287"/>
        <v>7110.3132275284224</v>
      </c>
      <c r="AH869" s="45" t="str">
        <f t="shared" si="291"/>
        <v>-248.53982,42.09215,07110</v>
      </c>
      <c r="AI869" s="44">
        <f t="shared" si="293"/>
        <v>1021.357486177705</v>
      </c>
    </row>
    <row r="870" spans="1:35" ht="18" customHeight="1" x14ac:dyDescent="0.25">
      <c r="A870" s="36">
        <f t="shared" si="288"/>
        <v>0.74953708333333335</v>
      </c>
      <c r="B870" s="42">
        <f t="shared" si="273"/>
        <v>42.092147673001413</v>
      </c>
      <c r="C870" s="43">
        <f t="shared" si="274"/>
        <v>111.46017461965731</v>
      </c>
      <c r="D870" s="18">
        <f t="shared" si="275"/>
        <v>7.0907051139674877</v>
      </c>
      <c r="E870" s="21" t="str">
        <f t="shared" si="276"/>
        <v>Umbra</v>
      </c>
      <c r="F870" s="23">
        <f>IF($E870&lt;&gt;"Umbra",fracil2($S$2,$S$3,$S$4,$A870,$Q$2,$O$3,$Q$4,$U870,$V870,$W870),0)</f>
        <v>0</v>
      </c>
      <c r="G870" s="19">
        <f t="shared" si="277"/>
        <v>69.301079128684563</v>
      </c>
      <c r="H870" s="19">
        <f t="shared" si="278"/>
        <v>-4.464092063330539</v>
      </c>
      <c r="I870" s="19">
        <f t="shared" si="279"/>
        <v>-3.2560741139356439</v>
      </c>
      <c r="J870" s="28">
        <f t="shared" si="280"/>
        <v>4.9146791735521873E-3</v>
      </c>
      <c r="K870" s="24">
        <f t="shared" si="281"/>
        <v>1048.3972406157327</v>
      </c>
      <c r="L870" s="32">
        <f t="shared" si="282"/>
        <v>0.56070785752122232</v>
      </c>
      <c r="M870" s="35">
        <f t="shared" si="283"/>
        <v>13.057793746156815</v>
      </c>
      <c r="O870" s="29">
        <f t="shared" si="284"/>
        <v>1046.5852454296462</v>
      </c>
      <c r="T870" s="48">
        <v>0.74953708333333335</v>
      </c>
      <c r="U870" s="29">
        <v>-1397.7706850280028</v>
      </c>
      <c r="V870" s="29">
        <v>4534.876014161563</v>
      </c>
      <c r="W870" s="29">
        <v>4257.9563297888744</v>
      </c>
      <c r="X870" s="4">
        <v>-0.32641547618910099</v>
      </c>
      <c r="Y870" s="4">
        <v>-0.11580747413510241</v>
      </c>
      <c r="Z870" s="4">
        <v>-1.3119554141660389E-2</v>
      </c>
      <c r="AA870" s="3">
        <f t="shared" si="289"/>
        <v>0.34659855288530267</v>
      </c>
      <c r="AB870" s="3">
        <f t="shared" si="292"/>
        <v>2.2956906788016312E-3</v>
      </c>
      <c r="AC870" s="3">
        <f t="shared" si="290"/>
        <v>1.9599346852251547E-2</v>
      </c>
      <c r="AD870" s="48"/>
      <c r="AE870" s="46">
        <f t="shared" si="285"/>
        <v>42.092147673001413</v>
      </c>
      <c r="AF870" s="46">
        <f t="shared" si="286"/>
        <v>-248.53982538034268</v>
      </c>
      <c r="AG870" s="47">
        <f t="shared" si="287"/>
        <v>7090.7051139674877</v>
      </c>
      <c r="AH870" s="45" t="str">
        <f t="shared" si="291"/>
        <v>-248.53983,42.09215,07091</v>
      </c>
      <c r="AI870" s="44">
        <f t="shared" si="293"/>
        <v>1021.3577187207436</v>
      </c>
    </row>
    <row r="871" spans="1:35" ht="18" customHeight="1" x14ac:dyDescent="0.25">
      <c r="A871" s="36">
        <f t="shared" si="288"/>
        <v>0.74954870370370363</v>
      </c>
      <c r="B871" s="42">
        <f t="shared" si="273"/>
        <v>42.092147670101618</v>
      </c>
      <c r="C871" s="43">
        <f t="shared" si="274"/>
        <v>111.46017834301584</v>
      </c>
      <c r="D871" s="18">
        <f t="shared" si="275"/>
        <v>7.0710494620070676</v>
      </c>
      <c r="E871" s="21" t="str">
        <f t="shared" si="276"/>
        <v>Umbra</v>
      </c>
      <c r="F871" s="23">
        <f>IF($E871&lt;&gt;"Umbra",fracil2($S$2,$S$3,$S$4,$A871,$Q$2,$O$3,$Q$4,$U871,$V871,$W871),0)</f>
        <v>0</v>
      </c>
      <c r="G871" s="19">
        <f t="shared" si="277"/>
        <v>69.301086438608849</v>
      </c>
      <c r="H871" s="19">
        <f t="shared" si="278"/>
        <v>-4.4651635686366502</v>
      </c>
      <c r="I871" s="19">
        <f t="shared" si="279"/>
        <v>-3.2571456192417552</v>
      </c>
      <c r="J871" s="28">
        <f t="shared" si="280"/>
        <v>4.9136688163452479E-3</v>
      </c>
      <c r="K871" s="24">
        <f t="shared" si="281"/>
        <v>1048.3958221333796</v>
      </c>
      <c r="L871" s="32">
        <f t="shared" si="282"/>
        <v>0.56072177339273854</v>
      </c>
      <c r="M871" s="35">
        <f t="shared" si="283"/>
        <v>13.057068887240948</v>
      </c>
      <c r="O871" s="29">
        <f t="shared" si="284"/>
        <v>1046.5855447274494</v>
      </c>
      <c r="T871" s="48">
        <v>0.74954870370370363</v>
      </c>
      <c r="U871" s="29">
        <v>-1398.0986898912327</v>
      </c>
      <c r="V871" s="29">
        <v>4534.7596381794056</v>
      </c>
      <c r="W871" s="29">
        <v>4257.9431538754434</v>
      </c>
      <c r="X871" s="4">
        <v>-0.32641090158267561</v>
      </c>
      <c r="Y871" s="4">
        <v>-0.11581505592509972</v>
      </c>
      <c r="Z871" s="4">
        <v>-1.3104409672524169E-2</v>
      </c>
      <c r="AA871" s="3">
        <f t="shared" si="289"/>
        <v>0.34659620512033085</v>
      </c>
      <c r="AB871" s="3">
        <f t="shared" si="292"/>
        <v>2.2915286126936312E-3</v>
      </c>
      <c r="AC871" s="3">
        <f t="shared" si="290"/>
        <v>1.9576786239757345E-2</v>
      </c>
      <c r="AD871" s="48"/>
      <c r="AE871" s="46">
        <f t="shared" si="285"/>
        <v>42.092147670101618</v>
      </c>
      <c r="AF871" s="46">
        <f t="shared" si="286"/>
        <v>-248.53982165698415</v>
      </c>
      <c r="AG871" s="47">
        <f t="shared" si="287"/>
        <v>7071.0494620070676</v>
      </c>
      <c r="AH871" s="45" t="str">
        <f t="shared" si="291"/>
        <v>-248.53982,42.09215,07071</v>
      </c>
      <c r="AI871" s="44">
        <f t="shared" si="293"/>
        <v>1021.3580035266375</v>
      </c>
    </row>
    <row r="872" spans="1:35" ht="18" customHeight="1" x14ac:dyDescent="0.25">
      <c r="A872" s="36">
        <f t="shared" si="288"/>
        <v>0.74956039351851855</v>
      </c>
      <c r="B872" s="42">
        <f t="shared" si="273"/>
        <v>42.092147667194368</v>
      </c>
      <c r="C872" s="43">
        <f t="shared" si="274"/>
        <v>111.46017545210542</v>
      </c>
      <c r="D872" s="18">
        <f t="shared" si="275"/>
        <v>7.0513302274021044</v>
      </c>
      <c r="E872" s="21" t="str">
        <f t="shared" si="276"/>
        <v>Umbra</v>
      </c>
      <c r="F872" s="23">
        <f>IF($E872&lt;&gt;"Umbra",fracil2($S$2,$S$3,$S$4,$A872,$Q$2,$O$3,$Q$4,$U872,$V872,$W872),0)</f>
        <v>0</v>
      </c>
      <c r="G872" s="19">
        <f t="shared" si="277"/>
        <v>69.301087028355511</v>
      </c>
      <c r="H872" s="19">
        <f t="shared" si="278"/>
        <v>-4.4662360110371511</v>
      </c>
      <c r="I872" s="19">
        <f t="shared" si="279"/>
        <v>-3.258218061642256</v>
      </c>
      <c r="J872" s="28">
        <f t="shared" si="280"/>
        <v>4.9126579489377304E-3</v>
      </c>
      <c r="K872" s="24">
        <f t="shared" si="281"/>
        <v>1048.3938665986727</v>
      </c>
      <c r="L872" s="32">
        <f t="shared" si="282"/>
        <v>0.56073577367287997</v>
      </c>
      <c r="M872" s="35">
        <f t="shared" si="283"/>
        <v>13.056348362501055</v>
      </c>
      <c r="O872" s="29">
        <f t="shared" si="284"/>
        <v>1046.585312215972</v>
      </c>
      <c r="T872" s="48">
        <v>0.74956039351851855</v>
      </c>
      <c r="U872" s="29">
        <v>-1398.4281318460548</v>
      </c>
      <c r="V872" s="29">
        <v>4534.6427429760561</v>
      </c>
      <c r="W872" s="29">
        <v>4257.929935340363</v>
      </c>
      <c r="X872" s="4">
        <v>-0.32640629173250857</v>
      </c>
      <c r="Y872" s="4">
        <v>-0.11582272652259702</v>
      </c>
      <c r="Z872" s="4">
        <v>-1.3089250776156426E-2</v>
      </c>
      <c r="AA872" s="3">
        <f t="shared" si="289"/>
        <v>0.34659385416879063</v>
      </c>
      <c r="AB872" s="3">
        <f t="shared" si="292"/>
        <v>2.2800782015024814E-3</v>
      </c>
      <c r="AC872" s="3">
        <f t="shared" si="290"/>
        <v>1.9554204208444771E-2</v>
      </c>
      <c r="AD872" s="48"/>
      <c r="AE872" s="46">
        <f t="shared" si="285"/>
        <v>42.092147667194368</v>
      </c>
      <c r="AF872" s="46">
        <f t="shared" si="286"/>
        <v>-248.53982454789457</v>
      </c>
      <c r="AG872" s="47">
        <f t="shared" si="287"/>
        <v>7051.3302274021044</v>
      </c>
      <c r="AH872" s="45" t="str">
        <f t="shared" si="291"/>
        <v>-248.53982,42.09215,07051</v>
      </c>
      <c r="AI872" s="44">
        <f t="shared" si="293"/>
        <v>1021.3582158084175</v>
      </c>
    </row>
    <row r="873" spans="1:35" ht="18" customHeight="1" x14ac:dyDescent="0.25">
      <c r="A873" s="36">
        <f t="shared" si="288"/>
        <v>0.74957192129629624</v>
      </c>
      <c r="B873" s="42">
        <f t="shared" si="273"/>
        <v>42.092147664330959</v>
      </c>
      <c r="C873" s="43">
        <f t="shared" si="274"/>
        <v>111.46017477730256</v>
      </c>
      <c r="D873" s="18">
        <f t="shared" si="275"/>
        <v>7.0318964858333857</v>
      </c>
      <c r="E873" s="21" t="str">
        <f t="shared" si="276"/>
        <v>Umbra</v>
      </c>
      <c r="F873" s="23">
        <f>IF($E873&lt;&gt;"Umbra",fracil2($S$2,$S$3,$S$4,$A873,$Q$2,$O$3,$Q$4,$U873,$V873,$W873),0)</f>
        <v>0</v>
      </c>
      <c r="G873" s="19">
        <f t="shared" si="277"/>
        <v>69.301089822389528</v>
      </c>
      <c r="H873" s="19">
        <f t="shared" si="278"/>
        <v>-4.4672937612637815</v>
      </c>
      <c r="I873" s="19">
        <f t="shared" si="279"/>
        <v>-3.2592758118688865</v>
      </c>
      <c r="J873" s="28">
        <f t="shared" si="280"/>
        <v>4.9116637973092266E-3</v>
      </c>
      <c r="K873" s="24">
        <f t="shared" si="281"/>
        <v>1048.3921145710942</v>
      </c>
      <c r="L873" s="32">
        <f t="shared" si="282"/>
        <v>0.56074957603940512</v>
      </c>
      <c r="M873" s="35">
        <f t="shared" si="283"/>
        <v>13.055636065494483</v>
      </c>
      <c r="O873" s="29">
        <f t="shared" si="284"/>
        <v>1046.5852578879765</v>
      </c>
      <c r="T873" s="48">
        <v>0.74957192129629624</v>
      </c>
      <c r="U873" s="29">
        <v>-1398.7531727206024</v>
      </c>
      <c r="V873" s="29">
        <v>4534.527400165387</v>
      </c>
      <c r="W873" s="29">
        <v>4257.9169081820137</v>
      </c>
      <c r="X873" s="4">
        <v>-0.32640172947331625</v>
      </c>
      <c r="Y873" s="4">
        <v>-0.11583034614686942</v>
      </c>
      <c r="Z873" s="4">
        <v>-1.3074342464652987E-2</v>
      </c>
      <c r="AA873" s="3">
        <f t="shared" si="289"/>
        <v>0.3465915413315197</v>
      </c>
      <c r="AB873" s="3">
        <f t="shared" si="292"/>
        <v>2.2738994088855728E-3</v>
      </c>
      <c r="AC873" s="3">
        <f t="shared" si="290"/>
        <v>1.9531995542271828E-2</v>
      </c>
      <c r="AD873" s="48"/>
      <c r="AE873" s="46">
        <f t="shared" si="285"/>
        <v>42.092147664330959</v>
      </c>
      <c r="AF873" s="46">
        <f t="shared" si="286"/>
        <v>-248.53982522269746</v>
      </c>
      <c r="AG873" s="47">
        <f t="shared" si="287"/>
        <v>7031.8964858333857</v>
      </c>
      <c r="AH873" s="45" t="str">
        <f t="shared" si="291"/>
        <v>-248.53983,42.09215,07032</v>
      </c>
      <c r="AI873" s="44">
        <f t="shared" si="293"/>
        <v>1021.3582158084175</v>
      </c>
    </row>
    <row r="874" spans="1:35" ht="18" customHeight="1" x14ac:dyDescent="0.25">
      <c r="A874" s="36">
        <f t="shared" si="288"/>
        <v>0.74958349537037039</v>
      </c>
      <c r="B874" s="42">
        <f t="shared" si="273"/>
        <v>42.092147661459371</v>
      </c>
      <c r="C874" s="43">
        <f t="shared" si="274"/>
        <v>111.46017695478555</v>
      </c>
      <c r="D874" s="18">
        <f t="shared" si="275"/>
        <v>7.0123936272721039</v>
      </c>
      <c r="E874" s="21" t="str">
        <f t="shared" si="276"/>
        <v>Umbra</v>
      </c>
      <c r="F874" s="23">
        <f>IF($E874&lt;&gt;"Umbra",fracil2($S$2,$S$3,$S$4,$A874,$Q$2,$O$3,$Q$4,$U874,$V874,$W874),0)</f>
        <v>0</v>
      </c>
      <c r="G874" s="19">
        <f t="shared" si="277"/>
        <v>69.301095531683757</v>
      </c>
      <c r="H874" s="19">
        <f t="shared" si="278"/>
        <v>-4.4683563673053142</v>
      </c>
      <c r="I874" s="19">
        <f t="shared" si="279"/>
        <v>-3.2603384179104191</v>
      </c>
      <c r="J874" s="28">
        <f t="shared" si="280"/>
        <v>4.9106682908994443E-3</v>
      </c>
      <c r="K874" s="24">
        <f t="shared" si="281"/>
        <v>1048.3905862202882</v>
      </c>
      <c r="L874" s="32">
        <f t="shared" si="282"/>
        <v>0.56076342959400682</v>
      </c>
      <c r="M874" s="35">
        <f t="shared" si="283"/>
        <v>13.054918344928113</v>
      </c>
      <c r="O874" s="29">
        <f t="shared" si="284"/>
        <v>1046.5854328929838</v>
      </c>
      <c r="T874" s="48">
        <v>0.74958349537037039</v>
      </c>
      <c r="U874" s="29">
        <v>-1399.0797374452204</v>
      </c>
      <c r="V874" s="29">
        <v>4534.411507312554</v>
      </c>
      <c r="W874" s="29">
        <v>4257.9038346921443</v>
      </c>
      <c r="X874" s="4">
        <v>-0.32639713119589508</v>
      </c>
      <c r="Y874" s="4">
        <v>-0.11583805500659143</v>
      </c>
      <c r="Z874" s="4">
        <v>-1.3059414240614993E-2</v>
      </c>
      <c r="AA874" s="3">
        <f t="shared" si="289"/>
        <v>0.34658922450204427</v>
      </c>
      <c r="AB874" s="3">
        <f t="shared" si="292"/>
        <v>2.267821533595068E-3</v>
      </c>
      <c r="AC874" s="3">
        <f t="shared" si="290"/>
        <v>1.9509757284313249E-2</v>
      </c>
      <c r="AD874" s="48"/>
      <c r="AE874" s="46">
        <f t="shared" si="285"/>
        <v>42.092147661459371</v>
      </c>
      <c r="AF874" s="46">
        <f t="shared" si="286"/>
        <v>-248.53982304521446</v>
      </c>
      <c r="AG874" s="47">
        <f t="shared" si="287"/>
        <v>7012.3936272721039</v>
      </c>
      <c r="AH874" s="45" t="str">
        <f t="shared" si="291"/>
        <v>-248.53982,42.09215,07012</v>
      </c>
      <c r="AI874" s="44">
        <f t="shared" si="293"/>
        <v>1021.3584056790135</v>
      </c>
    </row>
    <row r="875" spans="1:35" ht="18" customHeight="1" x14ac:dyDescent="0.25">
      <c r="A875" s="36">
        <f t="shared" si="288"/>
        <v>0.74959491898148156</v>
      </c>
      <c r="B875" s="42">
        <f t="shared" si="273"/>
        <v>42.092147658632918</v>
      </c>
      <c r="C875" s="43">
        <f t="shared" si="274"/>
        <v>111.46017489444614</v>
      </c>
      <c r="D875" s="18">
        <f t="shared" si="275"/>
        <v>6.9931857235505959</v>
      </c>
      <c r="E875" s="21" t="str">
        <f t="shared" si="276"/>
        <v>Umbra</v>
      </c>
      <c r="F875" s="23">
        <f>IF($E875&lt;&gt;"Umbra",fracil2($S$2,$S$3,$S$4,$A875,$Q$2,$O$3,$Q$4,$U875,$V875,$W875),0)</f>
        <v>0</v>
      </c>
      <c r="G875" s="19">
        <f t="shared" si="277"/>
        <v>69.30109687517907</v>
      </c>
      <c r="H875" s="19">
        <f t="shared" si="278"/>
        <v>-4.4694013001835531</v>
      </c>
      <c r="I875" s="19">
        <f t="shared" si="279"/>
        <v>-3.261383350788658</v>
      </c>
      <c r="J875" s="28">
        <f t="shared" si="280"/>
        <v>4.9096902499273024E-3</v>
      </c>
      <c r="K875" s="24">
        <f t="shared" si="281"/>
        <v>1048.3887432159254</v>
      </c>
      <c r="L875" s="32">
        <f t="shared" si="282"/>
        <v>0.56077710300940986</v>
      </c>
      <c r="M875" s="35">
        <f t="shared" si="283"/>
        <v>13.054215713428269</v>
      </c>
      <c r="O875" s="29">
        <f t="shared" si="284"/>
        <v>1046.5852671641865</v>
      </c>
      <c r="T875" s="48">
        <v>0.74959491898148156</v>
      </c>
      <c r="U875" s="29">
        <v>-1399.4017234762903</v>
      </c>
      <c r="V875" s="29">
        <v>4534.2972301902973</v>
      </c>
      <c r="W875" s="29">
        <v>4257.8909589215928</v>
      </c>
      <c r="X875" s="4">
        <v>-0.32639258343576155</v>
      </c>
      <c r="Y875" s="4">
        <v>-0.11584570693738594</v>
      </c>
      <c r="Z875" s="4">
        <v>-1.3044743087732825E-2</v>
      </c>
      <c r="AA875" s="3">
        <f t="shared" si="289"/>
        <v>0.34658694675350693</v>
      </c>
      <c r="AB875" s="3">
        <f t="shared" si="292"/>
        <v>2.2581169414106206E-3</v>
      </c>
      <c r="AC875" s="3">
        <f t="shared" si="290"/>
        <v>1.9487902049817117E-2</v>
      </c>
      <c r="AD875" s="48"/>
      <c r="AE875" s="46">
        <f t="shared" si="285"/>
        <v>42.092147658632918</v>
      </c>
      <c r="AF875" s="46">
        <f t="shared" si="286"/>
        <v>-248.53982510555386</v>
      </c>
      <c r="AG875" s="47">
        <f t="shared" si="287"/>
        <v>6993.1857235505959</v>
      </c>
      <c r="AH875" s="45" t="str">
        <f t="shared" si="291"/>
        <v>-248.53983,42.09215,06993</v>
      </c>
      <c r="AI875" s="44">
        <f t="shared" si="293"/>
        <v>1021.3585955496094</v>
      </c>
    </row>
    <row r="876" spans="1:35" ht="18" customHeight="1" x14ac:dyDescent="0.25">
      <c r="A876" s="36">
        <f t="shared" si="288"/>
        <v>0.74960653935185195</v>
      </c>
      <c r="B876" s="42">
        <f t="shared" si="273"/>
        <v>42.092147655758751</v>
      </c>
      <c r="C876" s="43">
        <f t="shared" si="274"/>
        <v>111.46017891573354</v>
      </c>
      <c r="D876" s="18">
        <f t="shared" si="275"/>
        <v>6.9736406400925262</v>
      </c>
      <c r="E876" s="21" t="str">
        <f t="shared" si="276"/>
        <v>Umbra</v>
      </c>
      <c r="F876" s="23">
        <f>IF($E876&lt;&gt;"Umbra",fracil2($S$2,$S$3,$S$4,$A876,$Q$2,$O$3,$Q$4,$U876,$V876,$W876),0)</f>
        <v>0</v>
      </c>
      <c r="G876" s="19">
        <f t="shared" si="277"/>
        <v>69.301104468558506</v>
      </c>
      <c r="H876" s="19">
        <f t="shared" si="278"/>
        <v>-4.4704669154585677</v>
      </c>
      <c r="I876" s="19">
        <f t="shared" si="279"/>
        <v>-3.2624489660636726</v>
      </c>
      <c r="J876" s="28">
        <f t="shared" si="280"/>
        <v>4.9086970501793651E-3</v>
      </c>
      <c r="K876" s="24">
        <f t="shared" si="281"/>
        <v>1048.3873601550761</v>
      </c>
      <c r="L876" s="32">
        <f t="shared" si="282"/>
        <v>0.5607910057816915</v>
      </c>
      <c r="M876" s="35">
        <f t="shared" si="283"/>
        <v>13.053494564994702</v>
      </c>
      <c r="O876" s="29">
        <f t="shared" si="284"/>
        <v>1046.5855904170926</v>
      </c>
      <c r="T876" s="48">
        <v>0.74960653935185195</v>
      </c>
      <c r="U876" s="29">
        <v>-1399.7297286230191</v>
      </c>
      <c r="V876" s="29">
        <v>4534.1808073759757</v>
      </c>
      <c r="W876" s="29">
        <v>4257.8778571271105</v>
      </c>
      <c r="X876" s="4">
        <v>-0.32638793608792649</v>
      </c>
      <c r="Y876" s="4">
        <v>-0.11585355514342019</v>
      </c>
      <c r="Z876" s="4">
        <v>-1.3029847396197079E-2</v>
      </c>
      <c r="AA876" s="3">
        <f t="shared" si="289"/>
        <v>0.34658463322293165</v>
      </c>
      <c r="AB876" s="3">
        <f t="shared" si="292"/>
        <v>2.2538494410394307E-3</v>
      </c>
      <c r="AC876" s="3">
        <f t="shared" si="290"/>
        <v>1.946571239720777E-2</v>
      </c>
      <c r="AD876" s="48"/>
      <c r="AE876" s="46">
        <f t="shared" si="285"/>
        <v>42.092147655758751</v>
      </c>
      <c r="AF876" s="46">
        <f t="shared" si="286"/>
        <v>-248.53982108426646</v>
      </c>
      <c r="AG876" s="47">
        <f t="shared" si="287"/>
        <v>6973.6406400925262</v>
      </c>
      <c r="AH876" s="45" t="str">
        <f t="shared" si="291"/>
        <v>-248.53982,42.09215,06974</v>
      </c>
      <c r="AI876" s="44">
        <f t="shared" si="293"/>
        <v>1021.3589378436938</v>
      </c>
    </row>
    <row r="877" spans="1:35" ht="18" customHeight="1" x14ac:dyDescent="0.25">
      <c r="A877" s="36">
        <f t="shared" si="288"/>
        <v>0.74961807870370378</v>
      </c>
      <c r="B877" s="42">
        <f t="shared" si="273"/>
        <v>42.092147652913233</v>
      </c>
      <c r="C877" s="43">
        <f t="shared" si="274"/>
        <v>111.46017778089178</v>
      </c>
      <c r="D877" s="18">
        <f t="shared" si="275"/>
        <v>6.9542777183432918</v>
      </c>
      <c r="E877" s="21" t="str">
        <f t="shared" si="276"/>
        <v>Umbra</v>
      </c>
      <c r="F877" s="23">
        <f>IF($E877&lt;&gt;"Umbra",fracil2($S$2,$S$3,$S$4,$A877,$Q$2,$O$3,$Q$4,$U877,$V877,$W877),0)</f>
        <v>0</v>
      </c>
      <c r="G877" s="19">
        <f t="shared" si="277"/>
        <v>69.301106781751173</v>
      </c>
      <c r="H877" s="19">
        <f t="shared" si="278"/>
        <v>-4.4715206481070728</v>
      </c>
      <c r="I877" s="19">
        <f t="shared" si="279"/>
        <v>-3.2635026987121778</v>
      </c>
      <c r="J877" s="28">
        <f t="shared" si="280"/>
        <v>4.9077155751009191E-3</v>
      </c>
      <c r="K877" s="24">
        <f t="shared" si="281"/>
        <v>1048.3855787457508</v>
      </c>
      <c r="L877" s="32">
        <f t="shared" si="282"/>
        <v>0.56080481209800381</v>
      </c>
      <c r="M877" s="35">
        <f t="shared" si="283"/>
        <v>13.052785293824186</v>
      </c>
      <c r="O877" s="29">
        <f t="shared" si="284"/>
        <v>1046.5854991008896</v>
      </c>
      <c r="T877" s="48">
        <v>0.74961807870370378</v>
      </c>
      <c r="U877" s="29">
        <v>-1400.0550416715421</v>
      </c>
      <c r="V877" s="29">
        <v>4534.0653306443855</v>
      </c>
      <c r="W877" s="29">
        <v>4257.8648774425355</v>
      </c>
      <c r="X877" s="4">
        <v>-0.32638331282795568</v>
      </c>
      <c r="Y877" s="4">
        <v>-0.11586139041467022</v>
      </c>
      <c r="Z877" s="4">
        <v>-1.3015122028500619E-2</v>
      </c>
      <c r="AA877" s="3">
        <f t="shared" si="289"/>
        <v>0.34658234531318616</v>
      </c>
      <c r="AB877" s="3">
        <f t="shared" si="292"/>
        <v>2.2437141751468566E-3</v>
      </c>
      <c r="AC877" s="3">
        <f t="shared" si="290"/>
        <v>1.9443776541589925E-2</v>
      </c>
      <c r="AD877" s="48"/>
      <c r="AE877" s="46">
        <f t="shared" si="285"/>
        <v>42.092147652913233</v>
      </c>
      <c r="AF877" s="46">
        <f t="shared" si="286"/>
        <v>-248.5398222191082</v>
      </c>
      <c r="AG877" s="47">
        <f t="shared" si="287"/>
        <v>6954.2777183432918</v>
      </c>
      <c r="AH877" s="45" t="str">
        <f t="shared" si="291"/>
        <v>-248.53982,42.09215,06954</v>
      </c>
      <c r="AI877" s="44">
        <f t="shared" si="293"/>
        <v>1021.3590327789917</v>
      </c>
    </row>
    <row r="878" spans="1:35" ht="18" customHeight="1" x14ac:dyDescent="0.25">
      <c r="A878" s="36">
        <f t="shared" si="288"/>
        <v>0.74962972222222224</v>
      </c>
      <c r="B878" s="42">
        <f t="shared" si="273"/>
        <v>42.092147650047323</v>
      </c>
      <c r="C878" s="43">
        <f t="shared" si="274"/>
        <v>111.46017644106618</v>
      </c>
      <c r="D878" s="18">
        <f t="shared" si="275"/>
        <v>6.9347630661513904</v>
      </c>
      <c r="E878" s="21" t="str">
        <f t="shared" si="276"/>
        <v>Umbra</v>
      </c>
      <c r="F878" s="23">
        <f>IF($E878&lt;&gt;"Umbra",fracil2($S$2,$S$3,$S$4,$A878,$Q$2,$O$3,$Q$4,$U878,$V878,$W878),0)</f>
        <v>0</v>
      </c>
      <c r="G878" s="19">
        <f t="shared" si="277"/>
        <v>69.301108913512053</v>
      </c>
      <c r="H878" s="19">
        <f t="shared" si="278"/>
        <v>-4.4725825667400017</v>
      </c>
      <c r="I878" s="19">
        <f t="shared" si="279"/>
        <v>-3.2645646173451066</v>
      </c>
      <c r="J878" s="28">
        <f t="shared" si="280"/>
        <v>4.9067285733032607E-3</v>
      </c>
      <c r="K878" s="24">
        <f t="shared" si="281"/>
        <v>1048.3837679686444</v>
      </c>
      <c r="L878" s="32">
        <f t="shared" si="282"/>
        <v>0.56081874060338899</v>
      </c>
      <c r="M878" s="35">
        <f t="shared" si="283"/>
        <v>13.052070653186652</v>
      </c>
      <c r="O878" s="29">
        <f t="shared" si="284"/>
        <v>1046.5853913027988</v>
      </c>
      <c r="T878" s="48">
        <v>0.74962972222222224</v>
      </c>
      <c r="U878" s="29">
        <v>-1400.3832714676932</v>
      </c>
      <c r="V878" s="29">
        <v>4533.9488089513161</v>
      </c>
      <c r="W878" s="29">
        <v>4257.8517960475765</v>
      </c>
      <c r="X878" s="4">
        <v>-0.32637863431939801</v>
      </c>
      <c r="Y878" s="4">
        <v>-0.11586934657823005</v>
      </c>
      <c r="Z878" s="4">
        <v>-1.3000311906777959E-2</v>
      </c>
      <c r="AA878" s="3">
        <f t="shared" si="289"/>
        <v>0.34658004346230731</v>
      </c>
      <c r="AB878" s="3">
        <f t="shared" si="292"/>
        <v>2.2364324580815198E-3</v>
      </c>
      <c r="AC878" s="3">
        <f t="shared" si="290"/>
        <v>1.9421714502165992E-2</v>
      </c>
      <c r="AD878" s="48"/>
      <c r="AE878" s="46">
        <f t="shared" si="285"/>
        <v>42.092147650047323</v>
      </c>
      <c r="AF878" s="46">
        <f t="shared" si="286"/>
        <v>-248.53982355893382</v>
      </c>
      <c r="AG878" s="47">
        <f t="shared" si="287"/>
        <v>6934.7630661513904</v>
      </c>
      <c r="AH878" s="45" t="str">
        <f t="shared" si="291"/>
        <v>-248.53982,42.09215,06935</v>
      </c>
      <c r="AI878" s="44">
        <f t="shared" si="293"/>
        <v>1021.3591277142897</v>
      </c>
    </row>
    <row r="879" spans="1:35" ht="18" customHeight="1" x14ac:dyDescent="0.25">
      <c r="A879" s="36">
        <f t="shared" si="288"/>
        <v>0.74964146990740732</v>
      </c>
      <c r="B879" s="42">
        <f t="shared" si="273"/>
        <v>42.092147647160672</v>
      </c>
      <c r="C879" s="43">
        <f t="shared" si="274"/>
        <v>111.46017544534254</v>
      </c>
      <c r="D879" s="18">
        <f t="shared" si="275"/>
        <v>6.9150946574573027</v>
      </c>
      <c r="E879" s="21" t="str">
        <f t="shared" si="276"/>
        <v>Umbra</v>
      </c>
      <c r="F879" s="23">
        <f>IF($E879&lt;&gt;"Umbra",fracil2($S$2,$S$3,$S$4,$A879,$Q$2,$O$3,$Q$4,$U879,$V879,$W879),0)</f>
        <v>0</v>
      </c>
      <c r="G879" s="19">
        <f t="shared" si="277"/>
        <v>69.30111142302809</v>
      </c>
      <c r="H879" s="19">
        <f t="shared" si="278"/>
        <v>-4.4736529912887741</v>
      </c>
      <c r="I879" s="19">
        <f t="shared" si="279"/>
        <v>-3.2656350418938791</v>
      </c>
      <c r="J879" s="28">
        <f t="shared" si="280"/>
        <v>4.9057361060873619E-3</v>
      </c>
      <c r="K879" s="24">
        <f t="shared" si="281"/>
        <v>1048.3819718077566</v>
      </c>
      <c r="L879" s="32">
        <f t="shared" si="282"/>
        <v>0.56083279091341054</v>
      </c>
      <c r="M879" s="35">
        <f t="shared" si="283"/>
        <v>13.051350014513243</v>
      </c>
      <c r="O879" s="29">
        <f t="shared" si="284"/>
        <v>1046.5853111711217</v>
      </c>
      <c r="T879" s="48">
        <v>0.74964146990740732</v>
      </c>
      <c r="U879" s="29">
        <v>-1400.7144607634552</v>
      </c>
      <c r="V879" s="29">
        <v>4533.8312268021282</v>
      </c>
      <c r="W879" s="29">
        <v>4257.8386115840867</v>
      </c>
      <c r="X879" s="4">
        <v>-0.32637389893689778</v>
      </c>
      <c r="Y879" s="4">
        <v>-0.1158774280689551</v>
      </c>
      <c r="Z879" s="4">
        <v>-1.2985418301715719E-2</v>
      </c>
      <c r="AA879" s="3">
        <f t="shared" si="289"/>
        <v>0.34657772769123341</v>
      </c>
      <c r="AB879" s="3">
        <f t="shared" si="292"/>
        <v>2.2290895449017622E-3</v>
      </c>
      <c r="AC879" s="3">
        <f t="shared" si="290"/>
        <v>1.9399528173307722E-2</v>
      </c>
      <c r="AD879" s="48"/>
      <c r="AE879" s="46">
        <f t="shared" si="285"/>
        <v>42.092147647160672</v>
      </c>
      <c r="AF879" s="46">
        <f t="shared" si="286"/>
        <v>-248.53982455465746</v>
      </c>
      <c r="AG879" s="47">
        <f t="shared" si="287"/>
        <v>6915.0946574573027</v>
      </c>
      <c r="AH879" s="45" t="str">
        <f t="shared" si="291"/>
        <v>-248.53982,42.09215,06915</v>
      </c>
      <c r="AI879" s="44">
        <f t="shared" si="293"/>
        <v>1021.3592226495877</v>
      </c>
    </row>
    <row r="880" spans="1:35" ht="18" customHeight="1" x14ac:dyDescent="0.25">
      <c r="A880" s="36">
        <f t="shared" si="288"/>
        <v>0.74965277777777783</v>
      </c>
      <c r="B880" s="42">
        <f t="shared" si="273"/>
        <v>42.092147644386557</v>
      </c>
      <c r="C880" s="43">
        <f t="shared" si="274"/>
        <v>111.46017517498353</v>
      </c>
      <c r="D880" s="18">
        <f t="shared" si="275"/>
        <v>6.896180676019867</v>
      </c>
      <c r="E880" s="21" t="str">
        <f t="shared" si="276"/>
        <v>Umbra</v>
      </c>
      <c r="F880" s="23">
        <f>IF($E880&lt;&gt;"Umbra",fracil2($S$2,$S$3,$S$4,$A880,$Q$2,$O$3,$Q$4,$U880,$V880,$W880),0)</f>
        <v>0</v>
      </c>
      <c r="G880" s="19">
        <f t="shared" si="277"/>
        <v>69.301114535653255</v>
      </c>
      <c r="H880" s="19">
        <f t="shared" si="278"/>
        <v>-4.4746826228158998</v>
      </c>
      <c r="I880" s="19">
        <f t="shared" si="279"/>
        <v>-3.2666646734210047</v>
      </c>
      <c r="J880" s="28">
        <f t="shared" si="280"/>
        <v>4.9047838275243132E-3</v>
      </c>
      <c r="K880" s="24">
        <f t="shared" si="281"/>
        <v>1048.3803001441272</v>
      </c>
      <c r="L880" s="32">
        <f t="shared" si="282"/>
        <v>0.56084631234148863</v>
      </c>
      <c r="M880" s="35">
        <f t="shared" si="283"/>
        <v>13.050656315347807</v>
      </c>
      <c r="O880" s="29">
        <f t="shared" si="284"/>
        <v>1046.5852893639685</v>
      </c>
      <c r="T880" s="48">
        <v>0.74965277777777783</v>
      </c>
      <c r="U880" s="29">
        <v>-1401.033300067018</v>
      </c>
      <c r="V880" s="29">
        <v>4533.7180198842752</v>
      </c>
      <c r="W880" s="29">
        <v>4257.8259328413042</v>
      </c>
      <c r="X880" s="4">
        <v>-0.32636932647549871</v>
      </c>
      <c r="Y880" s="4">
        <v>-0.11588525809876062</v>
      </c>
      <c r="Z880" s="4">
        <v>-1.2971126671758966E-2</v>
      </c>
      <c r="AA880" s="3">
        <f t="shared" si="289"/>
        <v>0.3465755046679177</v>
      </c>
      <c r="AB880" s="3">
        <f t="shared" si="292"/>
        <v>2.2221814973317502E-3</v>
      </c>
      <c r="AC880" s="3">
        <f t="shared" si="290"/>
        <v>1.9378238647915162E-2</v>
      </c>
      <c r="AD880" s="48"/>
      <c r="AE880" s="46">
        <f t="shared" si="285"/>
        <v>42.092147644386557</v>
      </c>
      <c r="AF880" s="46">
        <f t="shared" si="286"/>
        <v>-248.53982482501647</v>
      </c>
      <c r="AG880" s="47">
        <f t="shared" si="287"/>
        <v>6896.180676019867</v>
      </c>
      <c r="AH880" s="45" t="str">
        <f t="shared" si="291"/>
        <v>-248.53982,42.09215,06896</v>
      </c>
      <c r="AI880" s="44">
        <f t="shared" si="293"/>
        <v>1021.3592226495877</v>
      </c>
    </row>
    <row r="881" spans="1:35" ht="18" customHeight="1" x14ac:dyDescent="0.25">
      <c r="A881" s="36">
        <f t="shared" si="288"/>
        <v>0.74966443287037032</v>
      </c>
      <c r="B881" s="42">
        <f t="shared" si="273"/>
        <v>42.092147641530268</v>
      </c>
      <c r="C881" s="43">
        <f t="shared" si="274"/>
        <v>111.46017794836779</v>
      </c>
      <c r="D881" s="18">
        <f t="shared" si="275"/>
        <v>6.8766935580933932</v>
      </c>
      <c r="E881" s="21" t="str">
        <f t="shared" si="276"/>
        <v>Umbra</v>
      </c>
      <c r="F881" s="23">
        <f>IF($E881&lt;&gt;"Umbra",fracil2($S$2,$S$3,$S$4,$A881,$Q$2,$O$3,$Q$4,$U881,$V881,$W881),0)</f>
        <v>0</v>
      </c>
      <c r="G881" s="19">
        <f t="shared" si="277"/>
        <v>69.301120848663771</v>
      </c>
      <c r="H881" s="19">
        <f t="shared" si="278"/>
        <v>-4.4757446218645116</v>
      </c>
      <c r="I881" s="19">
        <f t="shared" si="279"/>
        <v>-3.2677266724696166</v>
      </c>
      <c r="J881" s="28">
        <f t="shared" si="280"/>
        <v>4.9038048874260583E-3</v>
      </c>
      <c r="K881" s="24">
        <f t="shared" si="281"/>
        <v>1048.3788235865686</v>
      </c>
      <c r="L881" s="32">
        <f t="shared" si="282"/>
        <v>0.56086024464186857</v>
      </c>
      <c r="M881" s="35">
        <f t="shared" si="283"/>
        <v>13.049938507608839</v>
      </c>
      <c r="O881" s="29">
        <f t="shared" si="284"/>
        <v>1046.5855122817975</v>
      </c>
      <c r="T881" s="48">
        <v>0.74966443287037032</v>
      </c>
      <c r="U881" s="29">
        <v>-1401.3621634584608</v>
      </c>
      <c r="V881" s="29">
        <v>4533.6012441146177</v>
      </c>
      <c r="W881" s="29">
        <v>4257.812869904049</v>
      </c>
      <c r="X881" s="4">
        <v>-0.32636459559412889</v>
      </c>
      <c r="Y881" s="4">
        <v>-0.11589338755294162</v>
      </c>
      <c r="Z881" s="4">
        <v>-1.2956435478801388E-2</v>
      </c>
      <c r="AA881" s="3">
        <f t="shared" si="289"/>
        <v>0.34657321846347561</v>
      </c>
      <c r="AB881" s="3">
        <f t="shared" si="292"/>
        <v>2.2162488814785283E-3</v>
      </c>
      <c r="AC881" s="3">
        <f t="shared" si="290"/>
        <v>1.9356353983627856E-2</v>
      </c>
      <c r="AD881" s="48"/>
      <c r="AE881" s="46">
        <f t="shared" si="285"/>
        <v>42.092147641530268</v>
      </c>
      <c r="AF881" s="46">
        <f t="shared" si="286"/>
        <v>-248.5398220516322</v>
      </c>
      <c r="AG881" s="47">
        <f t="shared" si="287"/>
        <v>6876.6935580933932</v>
      </c>
      <c r="AH881" s="45" t="str">
        <f t="shared" si="291"/>
        <v>-248.53982,42.09215,06877</v>
      </c>
      <c r="AI881" s="44">
        <f t="shared" si="293"/>
        <v>1021.3594551926262</v>
      </c>
    </row>
    <row r="882" spans="1:35" ht="18" customHeight="1" x14ac:dyDescent="0.25">
      <c r="A882" s="36">
        <f t="shared" si="288"/>
        <v>0.74967597222222215</v>
      </c>
      <c r="B882" s="42">
        <f t="shared" si="273"/>
        <v>42.09214763870834</v>
      </c>
      <c r="C882" s="43">
        <f t="shared" si="274"/>
        <v>111.46017920956422</v>
      </c>
      <c r="D882" s="18">
        <f t="shared" si="275"/>
        <v>6.8574285378344939</v>
      </c>
      <c r="E882" s="21" t="str">
        <f t="shared" si="276"/>
        <v>Umbra</v>
      </c>
      <c r="F882" s="23">
        <f>IF($E882&lt;&gt;"Umbra",fracil2($S$2,$S$3,$S$4,$A882,$Q$2,$O$3,$Q$4,$U882,$V882,$W882),0)</f>
        <v>0</v>
      </c>
      <c r="G882" s="19">
        <f t="shared" si="277"/>
        <v>69.301125582898493</v>
      </c>
      <c r="H882" s="19">
        <f t="shared" si="278"/>
        <v>-4.4767939555522185</v>
      </c>
      <c r="I882" s="19">
        <f t="shared" si="279"/>
        <v>-3.2687760061573234</v>
      </c>
      <c r="J882" s="28">
        <f t="shared" si="280"/>
        <v>4.9028392263409252E-3</v>
      </c>
      <c r="K882" s="24">
        <f t="shared" si="281"/>
        <v>1048.3772451567397</v>
      </c>
      <c r="L882" s="32">
        <f t="shared" si="282"/>
        <v>0.56087403696101834</v>
      </c>
      <c r="M882" s="35">
        <f t="shared" si="283"/>
        <v>13.049230365557754</v>
      </c>
      <c r="O882" s="29">
        <f t="shared" si="284"/>
        <v>1046.5856136155771</v>
      </c>
      <c r="T882" s="48">
        <v>0.74967597222222215</v>
      </c>
      <c r="U882" s="29">
        <v>-1401.6876404156214</v>
      </c>
      <c r="V882" s="29">
        <v>4533.4856610712332</v>
      </c>
      <c r="W882" s="29">
        <v>4257.799955847242</v>
      </c>
      <c r="X882" s="4">
        <v>-0.32635990021368033</v>
      </c>
      <c r="Y882" s="4">
        <v>-0.11590148179724677</v>
      </c>
      <c r="Z882" s="4">
        <v>-1.294194083391835E-2</v>
      </c>
      <c r="AA882" s="3">
        <f t="shared" si="289"/>
        <v>0.34657096211718252</v>
      </c>
      <c r="AB882" s="3">
        <f t="shared" si="292"/>
        <v>2.2085231374798868E-3</v>
      </c>
      <c r="AC882" s="3">
        <f t="shared" si="290"/>
        <v>1.9334762176075427E-2</v>
      </c>
      <c r="AD882" s="48"/>
      <c r="AE882" s="46">
        <f t="shared" si="285"/>
        <v>42.09214763870834</v>
      </c>
      <c r="AF882" s="46">
        <f t="shared" si="286"/>
        <v>-248.53982079043578</v>
      </c>
      <c r="AG882" s="47">
        <f t="shared" si="287"/>
        <v>6857.4285378344939</v>
      </c>
      <c r="AH882" s="45" t="str">
        <f t="shared" si="291"/>
        <v>-248.53982,42.09215,06857</v>
      </c>
      <c r="AI882" s="44">
        <f t="shared" si="293"/>
        <v>1021.3595501279242</v>
      </c>
    </row>
    <row r="883" spans="1:35" ht="18" customHeight="1" x14ac:dyDescent="0.25">
      <c r="A883" s="36">
        <f t="shared" si="288"/>
        <v>0.74968759259259254</v>
      </c>
      <c r="B883" s="42">
        <f t="shared" si="273"/>
        <v>42.092147635874575</v>
      </c>
      <c r="C883" s="43">
        <f t="shared" si="274"/>
        <v>111.46017614097133</v>
      </c>
      <c r="D883" s="18">
        <f t="shared" si="275"/>
        <v>6.8380700389006961</v>
      </c>
      <c r="E883" s="21" t="str">
        <f t="shared" si="276"/>
        <v>Umbra</v>
      </c>
      <c r="F883" s="23">
        <f>IF($E883&lt;&gt;"Umbra",fracil2($S$2,$S$3,$S$4,$A883,$Q$2,$O$3,$Q$4,$U883,$V883,$W883),0)</f>
        <v>0</v>
      </c>
      <c r="G883" s="19">
        <f t="shared" si="277"/>
        <v>69.301125927319589</v>
      </c>
      <c r="H883" s="19">
        <f t="shared" si="278"/>
        <v>-4.4778467311638144</v>
      </c>
      <c r="I883" s="19">
        <f t="shared" si="279"/>
        <v>-3.2698287817689193</v>
      </c>
      <c r="J883" s="28">
        <f t="shared" si="280"/>
        <v>4.9018712103162387E-3</v>
      </c>
      <c r="K883" s="24">
        <f t="shared" si="281"/>
        <v>1048.3753107709815</v>
      </c>
      <c r="L883" s="32">
        <f t="shared" si="282"/>
        <v>0.5608879261835662</v>
      </c>
      <c r="M883" s="35">
        <f t="shared" si="283"/>
        <v>13.048523151982543</v>
      </c>
      <c r="O883" s="29">
        <f t="shared" si="284"/>
        <v>1046.5853668196792</v>
      </c>
      <c r="T883" s="48">
        <v>0.74968759259259254</v>
      </c>
      <c r="U883" s="29">
        <v>-1402.0150589452971</v>
      </c>
      <c r="V883" s="29">
        <v>4533.3693786888989</v>
      </c>
      <c r="W883" s="29">
        <v>4257.7869791283701</v>
      </c>
      <c r="X883" s="4">
        <v>-0.32635516327467984</v>
      </c>
      <c r="Y883" s="4">
        <v>-0.11590967388069719</v>
      </c>
      <c r="Z883" s="4">
        <v>-1.2927405986574617E-2</v>
      </c>
      <c r="AA883" s="3">
        <f t="shared" si="289"/>
        <v>0.34656869870303381</v>
      </c>
      <c r="AB883" s="3">
        <f t="shared" si="292"/>
        <v>2.1992008373384335E-3</v>
      </c>
      <c r="AC883" s="3">
        <f t="shared" si="290"/>
        <v>1.9313110551210804E-2</v>
      </c>
      <c r="AD883" s="48"/>
      <c r="AE883" s="46">
        <f t="shared" si="285"/>
        <v>42.092147635874575</v>
      </c>
      <c r="AF883" s="46">
        <f t="shared" si="286"/>
        <v>-248.53982385902867</v>
      </c>
      <c r="AG883" s="47">
        <f t="shared" si="287"/>
        <v>6838.0700389006961</v>
      </c>
      <c r="AH883" s="45" t="str">
        <f t="shared" si="291"/>
        <v>-248.53982,42.09215,06838</v>
      </c>
      <c r="AI883" s="44">
        <f t="shared" si="293"/>
        <v>1021.3597826709628</v>
      </c>
    </row>
    <row r="884" spans="1:35" ht="18" customHeight="1" x14ac:dyDescent="0.25">
      <c r="A884" s="36">
        <f t="shared" si="288"/>
        <v>0.74969915509259266</v>
      </c>
      <c r="B884" s="42">
        <f t="shared" si="273"/>
        <v>42.092147633057756</v>
      </c>
      <c r="C884" s="43">
        <f t="shared" si="274"/>
        <v>111.46017615205884</v>
      </c>
      <c r="D884" s="18">
        <f t="shared" si="275"/>
        <v>6.8188153742321447</v>
      </c>
      <c r="E884" s="21" t="str">
        <f t="shared" si="276"/>
        <v>Umbra</v>
      </c>
      <c r="F884" s="23">
        <f>IF($E884&lt;&gt;"Umbra",fracil2($S$2,$S$3,$S$4,$A884,$Q$2,$O$3,$Q$4,$U884,$V884,$W884),0)</f>
        <v>0</v>
      </c>
      <c r="G884" s="19">
        <f t="shared" si="277"/>
        <v>69.301129387443879</v>
      </c>
      <c r="H884" s="19">
        <f t="shared" si="278"/>
        <v>-4.4788950312824616</v>
      </c>
      <c r="I884" s="19">
        <f t="shared" si="279"/>
        <v>-3.2708770818875665</v>
      </c>
      <c r="J884" s="28">
        <f t="shared" si="280"/>
        <v>4.9009103884563691E-3</v>
      </c>
      <c r="K884" s="24">
        <f t="shared" si="281"/>
        <v>1048.3736334268337</v>
      </c>
      <c r="L884" s="32">
        <f t="shared" si="282"/>
        <v>0.56090174192679798</v>
      </c>
      <c r="M884" s="35">
        <f t="shared" si="283"/>
        <v>13.047816632685761</v>
      </c>
      <c r="O884" s="29">
        <f t="shared" si="284"/>
        <v>1046.5853676406966</v>
      </c>
      <c r="T884" s="48">
        <v>0.74969915509259266</v>
      </c>
      <c r="U884" s="29">
        <v>-1402.3410815481818</v>
      </c>
      <c r="V884" s="29">
        <v>4533.2535821982128</v>
      </c>
      <c r="W884" s="29">
        <v>4257.7740720135971</v>
      </c>
      <c r="X884" s="4">
        <v>-0.32635043282651743</v>
      </c>
      <c r="Y884" s="4">
        <v>-0.1159178810250428</v>
      </c>
      <c r="Z884" s="4">
        <v>-1.2912979784437766E-2</v>
      </c>
      <c r="AA884" s="3">
        <f t="shared" si="289"/>
        <v>0.34656645133986141</v>
      </c>
      <c r="AB884" s="3">
        <f t="shared" si="292"/>
        <v>2.1936798779940269E-3</v>
      </c>
      <c r="AC884" s="3">
        <f t="shared" si="290"/>
        <v>1.929162083755186E-2</v>
      </c>
      <c r="AD884" s="48"/>
      <c r="AE884" s="46">
        <f t="shared" si="285"/>
        <v>42.092147633057756</v>
      </c>
      <c r="AF884" s="46">
        <f t="shared" si="286"/>
        <v>-248.53982384794116</v>
      </c>
      <c r="AG884" s="47">
        <f t="shared" si="287"/>
        <v>6818.8153742321447</v>
      </c>
      <c r="AH884" s="45" t="str">
        <f t="shared" si="291"/>
        <v>-248.53982,42.09215,06819</v>
      </c>
      <c r="AI884" s="44">
        <f t="shared" si="293"/>
        <v>1021.3597826709628</v>
      </c>
    </row>
    <row r="885" spans="1:35" ht="18" customHeight="1" x14ac:dyDescent="0.25">
      <c r="A885" s="36">
        <f t="shared" si="288"/>
        <v>0.74971071759259267</v>
      </c>
      <c r="B885" s="42">
        <f t="shared" si="273"/>
        <v>42.092147630245265</v>
      </c>
      <c r="C885" s="43">
        <f t="shared" si="274"/>
        <v>111.460177147455</v>
      </c>
      <c r="D885" s="18">
        <f t="shared" si="275"/>
        <v>6.7995776395637222</v>
      </c>
      <c r="E885" s="21" t="str">
        <f t="shared" si="276"/>
        <v>Umbra</v>
      </c>
      <c r="F885" s="23">
        <f>IF($E885&lt;&gt;"Umbra",fracil2($S$2,$S$3,$S$4,$A885,$Q$2,$O$3,$Q$4,$U885,$V885,$W885),0)</f>
        <v>0</v>
      </c>
      <c r="G885" s="19">
        <f t="shared" si="277"/>
        <v>69.301133846307962</v>
      </c>
      <c r="H885" s="19">
        <f t="shared" si="278"/>
        <v>-4.4799427880859</v>
      </c>
      <c r="I885" s="19">
        <f t="shared" si="279"/>
        <v>-3.2719248386910049</v>
      </c>
      <c r="J885" s="28">
        <f t="shared" si="280"/>
        <v>4.8999525271485114E-3</v>
      </c>
      <c r="K885" s="24">
        <f t="shared" si="281"/>
        <v>1048.3720370569176</v>
      </c>
      <c r="L885" s="32">
        <f t="shared" si="282"/>
        <v>0.56091555460660059</v>
      </c>
      <c r="M885" s="35">
        <f t="shared" si="283"/>
        <v>13.047109732828291</v>
      </c>
      <c r="O885" s="29">
        <f t="shared" si="284"/>
        <v>1046.585447603491</v>
      </c>
      <c r="T885" s="48">
        <v>0.74971071759259267</v>
      </c>
      <c r="U885" s="29">
        <v>-1402.6671763105201</v>
      </c>
      <c r="V885" s="29">
        <v>4533.1377501696979</v>
      </c>
      <c r="W885" s="29">
        <v>4257.7611762477854</v>
      </c>
      <c r="X885" s="4">
        <v>-0.32634568758982713</v>
      </c>
      <c r="Y885" s="4">
        <v>-0.11592614003043965</v>
      </c>
      <c r="Z885" s="4">
        <v>-1.2898597124287325E-2</v>
      </c>
      <c r="AA885" s="3">
        <f t="shared" si="289"/>
        <v>0.34656420986392816</v>
      </c>
      <c r="AB885" s="3">
        <f t="shared" si="292"/>
        <v>2.1870517331079257E-3</v>
      </c>
      <c r="AC885" s="3">
        <f t="shared" si="290"/>
        <v>1.9270196054486287E-2</v>
      </c>
      <c r="AD885" s="48"/>
      <c r="AE885" s="46">
        <f t="shared" si="285"/>
        <v>42.092147630245265</v>
      </c>
      <c r="AF885" s="46">
        <f t="shared" si="286"/>
        <v>-248.539822852545</v>
      </c>
      <c r="AG885" s="47">
        <f t="shared" si="287"/>
        <v>6799.5776395637222</v>
      </c>
      <c r="AH885" s="45" t="str">
        <f t="shared" si="291"/>
        <v>-248.53982,42.09215,06800</v>
      </c>
      <c r="AI885" s="44">
        <f t="shared" si="293"/>
        <v>1021.3597826709628</v>
      </c>
    </row>
    <row r="886" spans="1:35" ht="18" customHeight="1" x14ac:dyDescent="0.25">
      <c r="A886" s="36">
        <f t="shared" si="288"/>
        <v>0.74972222222222218</v>
      </c>
      <c r="B886" s="42">
        <f t="shared" si="273"/>
        <v>42.092147627453059</v>
      </c>
      <c r="C886" s="43">
        <f t="shared" si="274"/>
        <v>111.46017631765312</v>
      </c>
      <c r="D886" s="18">
        <f t="shared" si="275"/>
        <v>6.7804658065160766</v>
      </c>
      <c r="E886" s="21" t="str">
        <f t="shared" si="276"/>
        <v>Umbra</v>
      </c>
      <c r="F886" s="23">
        <f>IF($E886&lt;&gt;"Umbra",fracil2($S$2,$S$3,$S$4,$A886,$Q$2,$O$3,$Q$4,$U886,$V886,$W886),0)</f>
        <v>0</v>
      </c>
      <c r="G886" s="19">
        <f t="shared" si="277"/>
        <v>69.301136425067511</v>
      </c>
      <c r="H886" s="19">
        <f t="shared" si="278"/>
        <v>-4.4809829981308784</v>
      </c>
      <c r="I886" s="19">
        <f t="shared" si="279"/>
        <v>-3.2729650487359834</v>
      </c>
      <c r="J886" s="28">
        <f t="shared" si="280"/>
        <v>4.8990030816933594E-3</v>
      </c>
      <c r="K886" s="24">
        <f t="shared" si="281"/>
        <v>1048.3703052413684</v>
      </c>
      <c r="L886" s="32">
        <f t="shared" si="282"/>
        <v>0.56092929678761405</v>
      </c>
      <c r="M886" s="35">
        <f t="shared" si="283"/>
        <v>13.04640928461048</v>
      </c>
      <c r="O886" s="29">
        <f t="shared" si="284"/>
        <v>1046.5853808148336</v>
      </c>
      <c r="T886" s="48">
        <v>0.74972222222222218</v>
      </c>
      <c r="U886" s="29">
        <v>-1402.9914920922099</v>
      </c>
      <c r="V886" s="29">
        <v>4533.0225401694424</v>
      </c>
      <c r="W886" s="29">
        <v>4257.7483648786483</v>
      </c>
      <c r="X886" s="4">
        <v>-0.32634095505043925</v>
      </c>
      <c r="Y886" s="4">
        <v>-0.11593440214340794</v>
      </c>
      <c r="Z886" s="4">
        <v>-1.2884337891803255E-2</v>
      </c>
      <c r="AA886" s="3">
        <f t="shared" si="289"/>
        <v>0.34656198681692196</v>
      </c>
      <c r="AB886" s="3">
        <f t="shared" si="292"/>
        <v>2.1791829576206343E-3</v>
      </c>
      <c r="AC886" s="3">
        <f t="shared" si="290"/>
        <v>1.9248955200812573E-2</v>
      </c>
      <c r="AD886" s="48"/>
      <c r="AE886" s="46">
        <f t="shared" si="285"/>
        <v>42.092147627453059</v>
      </c>
      <c r="AF886" s="46">
        <f t="shared" si="286"/>
        <v>-248.53982368234688</v>
      </c>
      <c r="AG886" s="47">
        <f t="shared" si="287"/>
        <v>6780.4658065160766</v>
      </c>
      <c r="AH886" s="45" t="str">
        <f t="shared" si="291"/>
        <v>-248.53982,42.09215,06780</v>
      </c>
      <c r="AI886" s="44">
        <f t="shared" si="293"/>
        <v>1021.3597826709628</v>
      </c>
    </row>
    <row r="887" spans="1:35" ht="18" customHeight="1" x14ac:dyDescent="0.25">
      <c r="A887" s="36">
        <f t="shared" si="288"/>
        <v>0.74973393518518516</v>
      </c>
      <c r="B887" s="42">
        <f t="shared" si="273"/>
        <v>42.092147624614618</v>
      </c>
      <c r="C887" s="43">
        <f t="shared" si="274"/>
        <v>111.4601763531558</v>
      </c>
      <c r="D887" s="18">
        <f t="shared" si="275"/>
        <v>6.7610255202780536</v>
      </c>
      <c r="E887" s="21" t="str">
        <f t="shared" si="276"/>
        <v>Umbra</v>
      </c>
      <c r="F887" s="23">
        <f>IF($E887&lt;&gt;"Umbra",fracil2($S$2,$S$3,$S$4,$A887,$Q$2,$O$3,$Q$4,$U887,$V887,$W887),0)</f>
        <v>0</v>
      </c>
      <c r="G887" s="19">
        <f t="shared" si="277"/>
        <v>69.301139943318006</v>
      </c>
      <c r="H887" s="19">
        <f t="shared" si="278"/>
        <v>-4.4820414236150752</v>
      </c>
      <c r="I887" s="19">
        <f t="shared" si="279"/>
        <v>-3.2740234742201801</v>
      </c>
      <c r="J887" s="28">
        <f t="shared" si="280"/>
        <v>4.8980394601805541E-3</v>
      </c>
      <c r="K887" s="24">
        <f t="shared" si="281"/>
        <v>1048.3686147435583</v>
      </c>
      <c r="L887" s="32">
        <f t="shared" si="282"/>
        <v>0.56094328479324751</v>
      </c>
      <c r="M887" s="35">
        <f t="shared" si="283"/>
        <v>13.045695902349541</v>
      </c>
      <c r="O887" s="29">
        <f t="shared" si="284"/>
        <v>1046.5853835983719</v>
      </c>
      <c r="T887" s="48">
        <v>0.74973393518518516</v>
      </c>
      <c r="U887" s="29">
        <v>-1403.3217447256641</v>
      </c>
      <c r="V887" s="29">
        <v>4532.905210978819</v>
      </c>
      <c r="W887" s="29">
        <v>4257.7353333353258</v>
      </c>
      <c r="X887" s="4">
        <v>-0.3263361220046217</v>
      </c>
      <c r="Y887" s="4">
        <v>-0.11594286596079789</v>
      </c>
      <c r="Z887" s="4">
        <v>-1.2869864757192394E-2</v>
      </c>
      <c r="AA887" s="3">
        <f t="shared" si="289"/>
        <v>0.34655972949996272</v>
      </c>
      <c r="AB887" s="3">
        <f t="shared" si="292"/>
        <v>2.1725241398321891E-3</v>
      </c>
      <c r="AC887" s="3">
        <f t="shared" si="290"/>
        <v>1.9227395783836757E-2</v>
      </c>
      <c r="AD887" s="48"/>
      <c r="AE887" s="46">
        <f t="shared" si="285"/>
        <v>42.092147624614618</v>
      </c>
      <c r="AF887" s="46">
        <f t="shared" si="286"/>
        <v>-248.53982364684418</v>
      </c>
      <c r="AG887" s="47">
        <f t="shared" si="287"/>
        <v>6761.0255202780536</v>
      </c>
      <c r="AH887" s="45" t="str">
        <f t="shared" si="291"/>
        <v>-248.53982,42.09215,06761</v>
      </c>
      <c r="AI887" s="44">
        <f t="shared" si="293"/>
        <v>1021.3597826709628</v>
      </c>
    </row>
    <row r="888" spans="1:35" ht="18" customHeight="1" x14ac:dyDescent="0.25">
      <c r="A888" s="36">
        <f t="shared" si="288"/>
        <v>0.74974543981481478</v>
      </c>
      <c r="B888" s="42">
        <f t="shared" si="273"/>
        <v>42.092147621831785</v>
      </c>
      <c r="C888" s="43">
        <f t="shared" si="274"/>
        <v>111.46017605185936</v>
      </c>
      <c r="D888" s="18">
        <f t="shared" si="275"/>
        <v>6.7419537881296492</v>
      </c>
      <c r="E888" s="21" t="str">
        <f t="shared" si="276"/>
        <v>Umbra</v>
      </c>
      <c r="F888" s="23">
        <f>IF($E888&lt;&gt;"Umbra",fracil2($S$2,$S$3,$S$4,$A888,$Q$2,$O$3,$Q$4,$U888,$V888,$W888),0)</f>
        <v>0</v>
      </c>
      <c r="G888" s="19">
        <f t="shared" si="277"/>
        <v>69.301143052792341</v>
      </c>
      <c r="H888" s="19">
        <f t="shared" si="278"/>
        <v>-4.4830796585075179</v>
      </c>
      <c r="I888" s="19">
        <f t="shared" si="279"/>
        <v>-3.2750617091126228</v>
      </c>
      <c r="J888" s="28">
        <f t="shared" si="280"/>
        <v>4.8970962639585123E-3</v>
      </c>
      <c r="K888" s="24">
        <f t="shared" si="281"/>
        <v>1048.3669296146102</v>
      </c>
      <c r="L888" s="32">
        <f t="shared" si="282"/>
        <v>0.56095702175064355</v>
      </c>
      <c r="M888" s="35">
        <f t="shared" si="283"/>
        <v>13.044996374562587</v>
      </c>
      <c r="O888" s="29">
        <f t="shared" si="284"/>
        <v>1046.5853593035347</v>
      </c>
      <c r="T888" s="48">
        <v>0.74974543981481478</v>
      </c>
      <c r="U888" s="29">
        <v>-1403.6460922857593</v>
      </c>
      <c r="V888" s="29">
        <v>4532.7899696343165</v>
      </c>
      <c r="W888" s="29">
        <v>4257.7225488475997</v>
      </c>
      <c r="X888" s="4">
        <v>-0.32633136178383243</v>
      </c>
      <c r="Y888" s="4">
        <v>-0.11595122784013341</v>
      </c>
      <c r="Z888" s="4">
        <v>-1.2855696543377588E-2</v>
      </c>
      <c r="AA888" s="3">
        <f t="shared" si="289"/>
        <v>0.34655751882615454</v>
      </c>
      <c r="AB888" s="3">
        <f t="shared" si="292"/>
        <v>2.1652589023083363E-3</v>
      </c>
      <c r="AC888" s="3">
        <f t="shared" si="290"/>
        <v>1.9206290650213512E-2</v>
      </c>
      <c r="AD888" s="48"/>
      <c r="AE888" s="46">
        <f t="shared" si="285"/>
        <v>42.092147621831785</v>
      </c>
      <c r="AF888" s="46">
        <f t="shared" si="286"/>
        <v>-248.53982394814062</v>
      </c>
      <c r="AG888" s="47">
        <f t="shared" si="287"/>
        <v>6741.9537881296492</v>
      </c>
      <c r="AH888" s="45" t="str">
        <f t="shared" si="291"/>
        <v>-248.53982,42.09215,06742</v>
      </c>
      <c r="AI888" s="44">
        <f t="shared" si="293"/>
        <v>1021.3597826709628</v>
      </c>
    </row>
    <row r="889" spans="1:35" ht="18" customHeight="1" x14ac:dyDescent="0.25">
      <c r="A889" s="36">
        <f t="shared" si="288"/>
        <v>0.74975704861111103</v>
      </c>
      <c r="B889" s="42">
        <f t="shared" si="273"/>
        <v>42.092147619026491</v>
      </c>
      <c r="C889" s="43">
        <f t="shared" si="274"/>
        <v>111.46017881612025</v>
      </c>
      <c r="D889" s="18">
        <f t="shared" si="275"/>
        <v>6.722716565220253</v>
      </c>
      <c r="E889" s="21" t="str">
        <f t="shared" si="276"/>
        <v>Umbra</v>
      </c>
      <c r="F889" s="23">
        <f>IF($E889&lt;&gt;"Umbra",fracil2($S$2,$S$3,$S$4,$A889,$Q$2,$O$3,$Q$4,$U889,$V889,$W889),0)</f>
        <v>0</v>
      </c>
      <c r="G889" s="19">
        <f t="shared" si="277"/>
        <v>69.30114931183283</v>
      </c>
      <c r="H889" s="19">
        <f t="shared" si="278"/>
        <v>-4.4841280739614486</v>
      </c>
      <c r="I889" s="19">
        <f t="shared" si="279"/>
        <v>-3.2761101245665536</v>
      </c>
      <c r="J889" s="28">
        <f t="shared" si="280"/>
        <v>4.8961468346126477E-3</v>
      </c>
      <c r="K889" s="24">
        <f t="shared" si="281"/>
        <v>1048.3654769219941</v>
      </c>
      <c r="L889" s="32">
        <f t="shared" si="282"/>
        <v>0.56097087879630825</v>
      </c>
      <c r="M889" s="35">
        <f t="shared" si="283"/>
        <v>13.044287673993878</v>
      </c>
      <c r="O889" s="29">
        <f t="shared" si="284"/>
        <v>1046.5855814890867</v>
      </c>
      <c r="T889" s="48">
        <v>0.74975704861111103</v>
      </c>
      <c r="U889" s="29">
        <v>-1403.9736114450252</v>
      </c>
      <c r="V889" s="29">
        <v>4532.6735912485165</v>
      </c>
      <c r="W889" s="29">
        <v>4257.7096534254306</v>
      </c>
      <c r="X889" s="4">
        <v>-0.32632654160524494</v>
      </c>
      <c r="Y889" s="4">
        <v>-0.11595972027599573</v>
      </c>
      <c r="Z889" s="4">
        <v>-1.284143534603883E-2</v>
      </c>
      <c r="AA889" s="3">
        <f t="shared" si="289"/>
        <v>0.34655529276620972</v>
      </c>
      <c r="AB889" s="3">
        <f t="shared" si="292"/>
        <v>2.1599055995299003E-3</v>
      </c>
      <c r="AC889" s="3">
        <f t="shared" si="290"/>
        <v>1.9185047075801685E-2</v>
      </c>
      <c r="AD889" s="48"/>
      <c r="AE889" s="46">
        <f t="shared" si="285"/>
        <v>42.092147619026491</v>
      </c>
      <c r="AF889" s="46">
        <f t="shared" si="286"/>
        <v>-248.53982118387975</v>
      </c>
      <c r="AG889" s="47">
        <f t="shared" si="287"/>
        <v>6722.716565220253</v>
      </c>
      <c r="AH889" s="45" t="str">
        <f t="shared" si="291"/>
        <v>-248.53982,42.09215,06723</v>
      </c>
      <c r="AI889" s="44">
        <f t="shared" si="293"/>
        <v>1021.3600152140014</v>
      </c>
    </row>
    <row r="890" spans="1:35" ht="18" customHeight="1" x14ac:dyDescent="0.25">
      <c r="A890" s="36">
        <f t="shared" si="288"/>
        <v>0.74976862268518518</v>
      </c>
      <c r="B890" s="42">
        <f t="shared" si="273"/>
        <v>42.092147616236389</v>
      </c>
      <c r="C890" s="43">
        <f t="shared" si="274"/>
        <v>111.46017884795988</v>
      </c>
      <c r="D890" s="18">
        <f t="shared" si="275"/>
        <v>6.7035705786784092</v>
      </c>
      <c r="E890" s="21" t="str">
        <f t="shared" si="276"/>
        <v>Umbra</v>
      </c>
      <c r="F890" s="23">
        <f>IF($E890&lt;&gt;"Umbra",fracil2($S$2,$S$3,$S$4,$A890,$Q$2,$O$3,$Q$4,$U890,$V890,$W890),0)</f>
        <v>0</v>
      </c>
      <c r="G890" s="19">
        <f t="shared" si="277"/>
        <v>69.301152773669997</v>
      </c>
      <c r="H890" s="19">
        <f t="shared" si="278"/>
        <v>-4.4851704848883394</v>
      </c>
      <c r="I890" s="19">
        <f t="shared" si="279"/>
        <v>-3.2771525354934443</v>
      </c>
      <c r="J890" s="28">
        <f t="shared" si="280"/>
        <v>4.8952041402827596E-3</v>
      </c>
      <c r="K890" s="24">
        <f t="shared" si="281"/>
        <v>1048.3638128085413</v>
      </c>
      <c r="L890" s="32">
        <f t="shared" si="282"/>
        <v>0.560984693578363</v>
      </c>
      <c r="M890" s="35">
        <f t="shared" si="283"/>
        <v>13.043585067742262</v>
      </c>
      <c r="O890" s="29">
        <f t="shared" si="284"/>
        <v>1046.5855839793098</v>
      </c>
      <c r="T890" s="48">
        <v>0.74976862268518518</v>
      </c>
      <c r="U890" s="29">
        <v>-1404.2999334097576</v>
      </c>
      <c r="V890" s="29">
        <v>4532.5576280517025</v>
      </c>
      <c r="W890" s="29">
        <v>4257.6968191625347</v>
      </c>
      <c r="X890" s="4">
        <v>-0.32632172565681694</v>
      </c>
      <c r="Y890" s="4">
        <v>-0.11596823033737619</v>
      </c>
      <c r="Z890" s="4">
        <v>-1.2827271724568302E-2</v>
      </c>
      <c r="AA890" s="3">
        <f t="shared" si="289"/>
        <v>0.34655308104693217</v>
      </c>
      <c r="AB890" s="3">
        <f t="shared" si="292"/>
        <v>2.1515558297351338E-3</v>
      </c>
      <c r="AC890" s="3">
        <f t="shared" si="290"/>
        <v>1.9163948919335164E-2</v>
      </c>
      <c r="AD890" s="48"/>
      <c r="AE890" s="46">
        <f t="shared" si="285"/>
        <v>42.092147616236389</v>
      </c>
      <c r="AF890" s="46">
        <f t="shared" si="286"/>
        <v>-248.53982115204013</v>
      </c>
      <c r="AG890" s="47">
        <f t="shared" si="287"/>
        <v>6703.5705786784092</v>
      </c>
      <c r="AH890" s="45" t="str">
        <f t="shared" si="291"/>
        <v>-248.53982,42.09215,06704</v>
      </c>
      <c r="AI890" s="44">
        <f t="shared" si="293"/>
        <v>1021.3601101492993</v>
      </c>
    </row>
    <row r="891" spans="1:35" ht="18" customHeight="1" x14ac:dyDescent="0.25">
      <c r="A891" s="36">
        <f t="shared" si="288"/>
        <v>0.74978013888888884</v>
      </c>
      <c r="B891" s="42">
        <f t="shared" si="273"/>
        <v>42.092147613465507</v>
      </c>
      <c r="C891" s="43">
        <f t="shared" si="274"/>
        <v>111.46017805504607</v>
      </c>
      <c r="D891" s="18">
        <f t="shared" si="275"/>
        <v>6.6845450320388409</v>
      </c>
      <c r="E891" s="21" t="str">
        <f t="shared" si="276"/>
        <v>Umbra</v>
      </c>
      <c r="F891" s="23">
        <f>IF($E891&lt;&gt;"Umbra",fracil2($S$2,$S$3,$S$4,$A891,$Q$2,$O$3,$Q$4,$U891,$V891,$W891),0)</f>
        <v>0</v>
      </c>
      <c r="G891" s="19">
        <f t="shared" si="277"/>
        <v>69.301155374567955</v>
      </c>
      <c r="H891" s="19">
        <f t="shared" si="278"/>
        <v>-4.4862060279001508</v>
      </c>
      <c r="I891" s="19">
        <f t="shared" si="279"/>
        <v>-3.2781880785052557</v>
      </c>
      <c r="J891" s="28">
        <f t="shared" si="280"/>
        <v>4.8942693991011034E-3</v>
      </c>
      <c r="K891" s="24">
        <f t="shared" si="281"/>
        <v>1048.3620932055417</v>
      </c>
      <c r="L891" s="32">
        <f t="shared" si="282"/>
        <v>0.5609984373650948</v>
      </c>
      <c r="M891" s="35">
        <f t="shared" si="283"/>
        <v>13.042887703775961</v>
      </c>
      <c r="O891" s="29">
        <f t="shared" si="284"/>
        <v>1046.585520157103</v>
      </c>
      <c r="T891" s="48">
        <v>0.74978013888888884</v>
      </c>
      <c r="U891" s="29">
        <v>-1404.6245545859831</v>
      </c>
      <c r="V891" s="29">
        <v>4532.4422590872737</v>
      </c>
      <c r="W891" s="29">
        <v>4257.6840656350969</v>
      </c>
      <c r="X891" s="4">
        <v>-0.32631692202391244</v>
      </c>
      <c r="Y891" s="4">
        <v>-0.11597674265881736</v>
      </c>
      <c r="Z891" s="4">
        <v>-1.2813225436444245E-2</v>
      </c>
      <c r="AA891" s="3">
        <f t="shared" si="289"/>
        <v>0.34655088685933966</v>
      </c>
      <c r="AB891" s="3">
        <f t="shared" si="292"/>
        <v>2.1444474143800722E-3</v>
      </c>
      <c r="AC891" s="3">
        <f t="shared" si="290"/>
        <v>1.914302561024657E-2</v>
      </c>
      <c r="AD891" s="48"/>
      <c r="AE891" s="46">
        <f t="shared" si="285"/>
        <v>42.092147613465507</v>
      </c>
      <c r="AF891" s="46">
        <f t="shared" si="286"/>
        <v>-248.53982194495393</v>
      </c>
      <c r="AG891" s="47">
        <f t="shared" si="287"/>
        <v>6684.5450320388409</v>
      </c>
      <c r="AH891" s="45" t="str">
        <f t="shared" si="291"/>
        <v>-248.53982,42.09215,06685</v>
      </c>
      <c r="AI891" s="44">
        <f t="shared" si="293"/>
        <v>1021.3601101492993</v>
      </c>
    </row>
    <row r="892" spans="1:35" ht="18" customHeight="1" x14ac:dyDescent="0.25">
      <c r="A892" s="36">
        <f t="shared" si="288"/>
        <v>0.74979179398148155</v>
      </c>
      <c r="B892" s="42">
        <f t="shared" si="273"/>
        <v>42.09214761066594</v>
      </c>
      <c r="C892" s="43">
        <f t="shared" si="274"/>
        <v>111.46017753687744</v>
      </c>
      <c r="D892" s="18">
        <f t="shared" si="275"/>
        <v>6.66530991997206</v>
      </c>
      <c r="E892" s="21" t="str">
        <f t="shared" si="276"/>
        <v>Umbra</v>
      </c>
      <c r="F892" s="23">
        <f>IF($E892&lt;&gt;"Umbra",fracil2($S$2,$S$3,$S$4,$A892,$Q$2,$O$3,$Q$4,$U892,$V892,$W892),0)</f>
        <v>0</v>
      </c>
      <c r="G892" s="19">
        <f t="shared" si="277"/>
        <v>69.301158292629765</v>
      </c>
      <c r="H892" s="19">
        <f t="shared" si="278"/>
        <v>-4.4872530886794113</v>
      </c>
      <c r="I892" s="19">
        <f t="shared" si="279"/>
        <v>-3.2792351392845163</v>
      </c>
      <c r="J892" s="28">
        <f t="shared" si="280"/>
        <v>4.8933265189566155E-3</v>
      </c>
      <c r="K892" s="24">
        <f t="shared" si="281"/>
        <v>1048.3603778040469</v>
      </c>
      <c r="L892" s="32">
        <f t="shared" si="282"/>
        <v>0.56101234429017544</v>
      </c>
      <c r="M892" s="35">
        <f t="shared" si="283"/>
        <v>13.042182363503803</v>
      </c>
      <c r="O892" s="29">
        <f t="shared" si="284"/>
        <v>1046.5854784246094</v>
      </c>
      <c r="T892" s="48">
        <v>0.74979179398148155</v>
      </c>
      <c r="U892" s="29">
        <v>-1404.9531081330458</v>
      </c>
      <c r="V892" s="29">
        <v>4532.3254821956407</v>
      </c>
      <c r="W892" s="29">
        <v>4257.6711716283589</v>
      </c>
      <c r="X892" s="4">
        <v>-0.32631204646217343</v>
      </c>
      <c r="Y892" s="4">
        <v>-0.11598540782499873</v>
      </c>
      <c r="Z892" s="4">
        <v>-1.2799055447130286E-2</v>
      </c>
      <c r="AA892" s="3">
        <f t="shared" si="289"/>
        <v>0.34654867236075459</v>
      </c>
      <c r="AB892" s="3">
        <f t="shared" si="292"/>
        <v>2.1375464295676806E-3</v>
      </c>
      <c r="AC892" s="3">
        <f t="shared" si="290"/>
        <v>1.9121918104495997E-2</v>
      </c>
      <c r="AD892" s="48"/>
      <c r="AE892" s="46">
        <f t="shared" si="285"/>
        <v>42.09214761066594</v>
      </c>
      <c r="AF892" s="46">
        <f t="shared" si="286"/>
        <v>-248.53982246312256</v>
      </c>
      <c r="AG892" s="47">
        <f t="shared" si="287"/>
        <v>6665.30991997206</v>
      </c>
      <c r="AH892" s="45" t="str">
        <f t="shared" si="291"/>
        <v>-248.53982,42.09215,06665</v>
      </c>
      <c r="AI892" s="44">
        <f t="shared" si="293"/>
        <v>1021.3601101492993</v>
      </c>
    </row>
    <row r="893" spans="1:35" ht="18" customHeight="1" x14ac:dyDescent="0.25">
      <c r="A893" s="36">
        <f t="shared" si="288"/>
        <v>0.74980326388888896</v>
      </c>
      <c r="B893" s="42">
        <f t="shared" si="273"/>
        <v>42.09214760791577</v>
      </c>
      <c r="C893" s="43">
        <f t="shared" si="274"/>
        <v>111.4601771093141</v>
      </c>
      <c r="D893" s="18">
        <f t="shared" si="275"/>
        <v>6.6464008023040151</v>
      </c>
      <c r="E893" s="21" t="str">
        <f t="shared" si="276"/>
        <v>Umbra</v>
      </c>
      <c r="F893" s="23">
        <f>IF($E893&lt;&gt;"Umbra",fracil2($S$2,$S$3,$S$4,$A893,$Q$2,$O$3,$Q$4,$U893,$V893,$W893),0)</f>
        <v>0</v>
      </c>
      <c r="G893" s="19">
        <f t="shared" si="277"/>
        <v>69.301161244519733</v>
      </c>
      <c r="H893" s="19">
        <f t="shared" si="278"/>
        <v>-4.4882824384637061</v>
      </c>
      <c r="I893" s="19">
        <f t="shared" si="279"/>
        <v>-3.2802644890688111</v>
      </c>
      <c r="J893" s="28">
        <f t="shared" si="280"/>
        <v>4.8924014132735788E-3</v>
      </c>
      <c r="K893" s="24">
        <f t="shared" si="281"/>
        <v>1048.3586983958678</v>
      </c>
      <c r="L893" s="32">
        <f t="shared" si="282"/>
        <v>0.56102602780728883</v>
      </c>
      <c r="M893" s="35">
        <f t="shared" si="283"/>
        <v>13.04148888589526</v>
      </c>
      <c r="O893" s="29">
        <f t="shared" si="284"/>
        <v>1046.5854439783188</v>
      </c>
      <c r="T893" s="48">
        <v>0.74980326388888896</v>
      </c>
      <c r="U893" s="29">
        <v>-1405.2764430094064</v>
      </c>
      <c r="V893" s="29">
        <v>4532.2105499166473</v>
      </c>
      <c r="W893" s="29">
        <v>4257.6584961478784</v>
      </c>
      <c r="X893" s="4">
        <v>-0.32630723647834642</v>
      </c>
      <c r="Y893" s="4">
        <v>-0.11599397888538879</v>
      </c>
      <c r="Z893" s="4">
        <v>-1.2785151133323569E-2</v>
      </c>
      <c r="AA893" s="3">
        <f t="shared" si="289"/>
        <v>0.3465464987635879</v>
      </c>
      <c r="AB893" s="3">
        <f t="shared" si="292"/>
        <v>2.1313266219395509E-3</v>
      </c>
      <c r="AC893" s="3">
        <f t="shared" si="290"/>
        <v>1.910120641374094E-2</v>
      </c>
      <c r="AD893" s="48"/>
      <c r="AE893" s="46">
        <f t="shared" si="285"/>
        <v>42.09214760791577</v>
      </c>
      <c r="AF893" s="46">
        <f t="shared" si="286"/>
        <v>-248.53982289068591</v>
      </c>
      <c r="AG893" s="47">
        <f t="shared" si="287"/>
        <v>6646.4008023040151</v>
      </c>
      <c r="AH893" s="45" t="str">
        <f t="shared" si="291"/>
        <v>-248.53982,42.09215,06646</v>
      </c>
      <c r="AI893" s="44">
        <f t="shared" si="293"/>
        <v>1021.3601101492993</v>
      </c>
    </row>
    <row r="894" spans="1:35" ht="18" customHeight="1" x14ac:dyDescent="0.25">
      <c r="A894" s="36">
        <f t="shared" si="288"/>
        <v>0.74981491898148145</v>
      </c>
      <c r="B894" s="42">
        <f t="shared" si="273"/>
        <v>42.092147605124694</v>
      </c>
      <c r="C894" s="43">
        <f t="shared" si="274"/>
        <v>111.46017863931128</v>
      </c>
      <c r="D894" s="18">
        <f t="shared" si="275"/>
        <v>6.6271984520026308</v>
      </c>
      <c r="E894" s="21" t="str">
        <f t="shared" si="276"/>
        <v>Umbra</v>
      </c>
      <c r="F894" s="23">
        <f>IF($E894&lt;&gt;"Umbra",fracil2($S$2,$S$3,$S$4,$A894,$Q$2,$O$3,$Q$4,$U894,$V894,$W894),0)</f>
        <v>0</v>
      </c>
      <c r="G894" s="19">
        <f t="shared" si="277"/>
        <v>69.301166241211874</v>
      </c>
      <c r="H894" s="19">
        <f t="shared" si="278"/>
        <v>-4.4893285012623059</v>
      </c>
      <c r="I894" s="19">
        <f t="shared" si="279"/>
        <v>-3.2813105518674108</v>
      </c>
      <c r="J894" s="28">
        <f t="shared" si="280"/>
        <v>4.8914640274799791E-3</v>
      </c>
      <c r="K894" s="24">
        <f t="shared" si="281"/>
        <v>1048.3571512290841</v>
      </c>
      <c r="L894" s="32">
        <f t="shared" si="282"/>
        <v>0.56103992863971397</v>
      </c>
      <c r="M894" s="35">
        <f t="shared" si="283"/>
        <v>13.040782665194047</v>
      </c>
      <c r="O894" s="29">
        <f t="shared" si="284"/>
        <v>1046.5855669253401</v>
      </c>
      <c r="T894" s="48">
        <v>0.74981491898148145</v>
      </c>
      <c r="U894" s="29">
        <v>-1405.6051467672444</v>
      </c>
      <c r="V894" s="29">
        <v>4532.0936987513369</v>
      </c>
      <c r="W894" s="29">
        <v>4257.6456241028736</v>
      </c>
      <c r="X894" s="4">
        <v>-0.32630233295599187</v>
      </c>
      <c r="Y894" s="4">
        <v>-0.1160027416662576</v>
      </c>
      <c r="Z894" s="4">
        <v>-1.2771062090067111E-2</v>
      </c>
      <c r="AA894" s="3">
        <f t="shared" si="289"/>
        <v>0.3465442952834743</v>
      </c>
      <c r="AB894" s="3">
        <f t="shared" si="292"/>
        <v>2.1253219759714307E-3</v>
      </c>
      <c r="AC894" s="3">
        <f t="shared" si="290"/>
        <v>1.9080219620093677E-2</v>
      </c>
      <c r="AD894" s="48"/>
      <c r="AE894" s="46">
        <f t="shared" si="285"/>
        <v>42.092147605124694</v>
      </c>
      <c r="AF894" s="46">
        <f t="shared" si="286"/>
        <v>-248.53982136068873</v>
      </c>
      <c r="AG894" s="47">
        <f t="shared" si="287"/>
        <v>6627.1984520026308</v>
      </c>
      <c r="AH894" s="45" t="str">
        <f t="shared" si="291"/>
        <v>-248.53982,42.09215,06627</v>
      </c>
      <c r="AI894" s="44">
        <f t="shared" si="293"/>
        <v>1021.3602444080843</v>
      </c>
    </row>
    <row r="895" spans="1:35" ht="18" customHeight="1" x14ac:dyDescent="0.25">
      <c r="A895" s="36">
        <f t="shared" si="288"/>
        <v>0.74982655092592587</v>
      </c>
      <c r="B895" s="42">
        <f t="shared" si="273"/>
        <v>42.09214760234466</v>
      </c>
      <c r="C895" s="43">
        <f t="shared" si="274"/>
        <v>111.46017905761936</v>
      </c>
      <c r="D895" s="18">
        <f t="shared" si="275"/>
        <v>6.6080603644813891</v>
      </c>
      <c r="E895" s="21" t="str">
        <f t="shared" si="276"/>
        <v>Umbra</v>
      </c>
      <c r="F895" s="23">
        <f>IF($E895&lt;&gt;"Umbra",fracil2($S$2,$S$3,$S$4,$A895,$Q$2,$O$3,$Q$4,$U895,$V895,$W895),0)</f>
        <v>0</v>
      </c>
      <c r="G895" s="19">
        <f t="shared" si="277"/>
        <v>69.301170095004181</v>
      </c>
      <c r="H895" s="19">
        <f t="shared" si="278"/>
        <v>-4.4903706456021002</v>
      </c>
      <c r="I895" s="19">
        <f t="shared" si="279"/>
        <v>-3.2823526962072052</v>
      </c>
      <c r="J895" s="28">
        <f t="shared" si="280"/>
        <v>4.8905318400502247E-3</v>
      </c>
      <c r="K895" s="24">
        <f t="shared" si="281"/>
        <v>1048.355520609332</v>
      </c>
      <c r="L895" s="32">
        <f t="shared" si="282"/>
        <v>0.56105380009974659</v>
      </c>
      <c r="M895" s="35">
        <f t="shared" si="283"/>
        <v>13.040079914556424</v>
      </c>
      <c r="O895" s="29">
        <f t="shared" si="284"/>
        <v>1046.5856004891552</v>
      </c>
      <c r="T895" s="48">
        <v>0.74982655092592587</v>
      </c>
      <c r="U895" s="29">
        <v>-1405.9331061836901</v>
      </c>
      <c r="V895" s="29">
        <v>4531.9771016190607</v>
      </c>
      <c r="W895" s="29">
        <v>4257.6327951357252</v>
      </c>
      <c r="X895" s="4">
        <v>-0.32629742760850849</v>
      </c>
      <c r="Y895" s="4">
        <v>-0.11601153158753477</v>
      </c>
      <c r="Z895" s="4">
        <v>-1.2757048813089894E-2</v>
      </c>
      <c r="AA895" s="3">
        <f t="shared" si="289"/>
        <v>0.34654210280950709</v>
      </c>
      <c r="AB895" s="3">
        <f t="shared" si="292"/>
        <v>2.1180925507697955E-3</v>
      </c>
      <c r="AC895" s="3">
        <f t="shared" si="290"/>
        <v>1.9059345754463101E-2</v>
      </c>
      <c r="AD895" s="48"/>
      <c r="AE895" s="46">
        <f t="shared" si="285"/>
        <v>42.09214760234466</v>
      </c>
      <c r="AF895" s="46">
        <f t="shared" si="286"/>
        <v>-248.53982094238063</v>
      </c>
      <c r="AG895" s="47">
        <f t="shared" si="287"/>
        <v>6608.0603644813891</v>
      </c>
      <c r="AH895" s="45" t="str">
        <f t="shared" si="291"/>
        <v>-248.53982,42.09215,06608</v>
      </c>
      <c r="AI895" s="44">
        <f t="shared" si="293"/>
        <v>1021.3603393433823</v>
      </c>
    </row>
    <row r="896" spans="1:35" ht="18" customHeight="1" x14ac:dyDescent="0.25">
      <c r="A896" s="36">
        <f t="shared" si="288"/>
        <v>0.74983815972222223</v>
      </c>
      <c r="B896" s="42">
        <f t="shared" si="273"/>
        <v>42.092147599575213</v>
      </c>
      <c r="C896" s="43">
        <f t="shared" si="274"/>
        <v>111.4601792340431</v>
      </c>
      <c r="D896" s="18">
        <f t="shared" si="275"/>
        <v>6.5889823734887614</v>
      </c>
      <c r="E896" s="21" t="str">
        <f t="shared" si="276"/>
        <v>Umbra</v>
      </c>
      <c r="F896" s="23">
        <f>IF($E896&lt;&gt;"Umbra",fracil2($S$2,$S$3,$S$4,$A896,$Q$2,$O$3,$Q$4,$U896,$V896,$W896),0)</f>
        <v>0</v>
      </c>
      <c r="G896" s="19">
        <f t="shared" si="277"/>
        <v>69.301173691868271</v>
      </c>
      <c r="H896" s="19">
        <f t="shared" si="278"/>
        <v>-4.49140942921884</v>
      </c>
      <c r="I896" s="19">
        <f t="shared" si="279"/>
        <v>-3.283391479823945</v>
      </c>
      <c r="J896" s="28">
        <f t="shared" si="280"/>
        <v>4.889604664286811E-3</v>
      </c>
      <c r="K896" s="24">
        <f t="shared" si="281"/>
        <v>1048.3538761110722</v>
      </c>
      <c r="L896" s="32">
        <f t="shared" si="282"/>
        <v>0.56106764168665624</v>
      </c>
      <c r="M896" s="35">
        <f t="shared" si="283"/>
        <v>13.039379604274531</v>
      </c>
      <c r="O896" s="29">
        <f t="shared" si="284"/>
        <v>1046.5856146049309</v>
      </c>
      <c r="T896" s="48">
        <v>0.74983815972222223</v>
      </c>
      <c r="U896" s="29">
        <v>-1406.2603892065849</v>
      </c>
      <c r="V896" s="29">
        <v>4531.8607343789681</v>
      </c>
      <c r="W896" s="29">
        <v>4257.6200064536561</v>
      </c>
      <c r="X896" s="4">
        <v>-0.32629251915391044</v>
      </c>
      <c r="Y896" s="4">
        <v>-0.11602035124460472</v>
      </c>
      <c r="Z896" s="4">
        <v>-1.2743109137804314E-2</v>
      </c>
      <c r="AA896" s="3">
        <f t="shared" si="289"/>
        <v>0.34653992091709213</v>
      </c>
      <c r="AB896" s="3">
        <f t="shared" si="292"/>
        <v>2.1111622087311615E-3</v>
      </c>
      <c r="AC896" s="3">
        <f t="shared" si="290"/>
        <v>1.9038581591674316E-2</v>
      </c>
      <c r="AD896" s="48"/>
      <c r="AE896" s="46">
        <f t="shared" si="285"/>
        <v>42.092147599575213</v>
      </c>
      <c r="AF896" s="46">
        <f t="shared" si="286"/>
        <v>-248.5398207659569</v>
      </c>
      <c r="AG896" s="47">
        <f t="shared" si="287"/>
        <v>6588.9823734887614</v>
      </c>
      <c r="AH896" s="45" t="str">
        <f t="shared" si="291"/>
        <v>-248.53982,42.09215,06589</v>
      </c>
      <c r="AI896" s="44">
        <f t="shared" si="293"/>
        <v>1021.3604342786803</v>
      </c>
    </row>
    <row r="897" spans="1:35" ht="18" customHeight="1" x14ac:dyDescent="0.25">
      <c r="A897" s="36">
        <f t="shared" si="288"/>
        <v>0.74984957175925926</v>
      </c>
      <c r="B897" s="42">
        <f t="shared" si="273"/>
        <v>42.092147596857501</v>
      </c>
      <c r="C897" s="43">
        <f t="shared" si="274"/>
        <v>111.46017925195144</v>
      </c>
      <c r="D897" s="18">
        <f t="shared" si="275"/>
        <v>6.5702487433545684</v>
      </c>
      <c r="E897" s="21" t="str">
        <f t="shared" si="276"/>
        <v>Umbra</v>
      </c>
      <c r="F897" s="23">
        <f>IF($E897&lt;&gt;"Umbra",fracil2($S$2,$S$3,$S$4,$A897,$Q$2,$O$3,$Q$4,$U897,$V897,$W897),0)</f>
        <v>0</v>
      </c>
      <c r="G897" s="19">
        <f t="shared" si="277"/>
        <v>69.301177065733114</v>
      </c>
      <c r="H897" s="19">
        <f t="shared" si="278"/>
        <v>-4.4924294067537236</v>
      </c>
      <c r="I897" s="19">
        <f t="shared" si="279"/>
        <v>-3.2844114573588286</v>
      </c>
      <c r="J897" s="28">
        <f t="shared" si="280"/>
        <v>4.8886961673417157E-3</v>
      </c>
      <c r="K897" s="24">
        <f t="shared" si="281"/>
        <v>1048.3522491416479</v>
      </c>
      <c r="L897" s="32">
        <f t="shared" si="282"/>
        <v>0.56108124642178037</v>
      </c>
      <c r="M897" s="35">
        <f t="shared" si="283"/>
        <v>13.038692082616985</v>
      </c>
      <c r="O897" s="29">
        <f t="shared" si="284"/>
        <v>1046.5856159768466</v>
      </c>
      <c r="T897" s="48">
        <v>0.74984957175925926</v>
      </c>
      <c r="U897" s="29">
        <v>-1406.5821081179988</v>
      </c>
      <c r="V897" s="29">
        <v>4531.7463351354281</v>
      </c>
      <c r="W897" s="29">
        <v>4257.6074486095349</v>
      </c>
      <c r="X897" s="4">
        <v>-0.32628768168217803</v>
      </c>
      <c r="Y897" s="4">
        <v>-0.11602906619136215</v>
      </c>
      <c r="Z897" s="4">
        <v>-1.2729448678125557E-2</v>
      </c>
      <c r="AA897" s="3">
        <f t="shared" si="289"/>
        <v>0.34653778189747053</v>
      </c>
      <c r="AB897" s="3">
        <f t="shared" si="292"/>
        <v>2.1045385303289236E-3</v>
      </c>
      <c r="AC897" s="3">
        <f t="shared" si="290"/>
        <v>1.9018233406313523E-2</v>
      </c>
      <c r="AD897" s="48"/>
      <c r="AE897" s="46">
        <f t="shared" si="285"/>
        <v>42.092147596857501</v>
      </c>
      <c r="AF897" s="46">
        <f t="shared" si="286"/>
        <v>-248.53982074804856</v>
      </c>
      <c r="AG897" s="47">
        <f t="shared" si="287"/>
        <v>6570.2487433545684</v>
      </c>
      <c r="AH897" s="45" t="str">
        <f t="shared" si="291"/>
        <v>-248.53982,42.09215,06570</v>
      </c>
      <c r="AI897" s="44">
        <f t="shared" si="293"/>
        <v>1021.3605292139782</v>
      </c>
    </row>
    <row r="898" spans="1:35" ht="18" customHeight="1" x14ac:dyDescent="0.25">
      <c r="A898" s="36">
        <f t="shared" si="288"/>
        <v>0.74986120370370368</v>
      </c>
      <c r="B898" s="42">
        <f t="shared" si="273"/>
        <v>42.092147594092538</v>
      </c>
      <c r="C898" s="43">
        <f t="shared" si="274"/>
        <v>111.46017842818947</v>
      </c>
      <c r="D898" s="18">
        <f t="shared" si="275"/>
        <v>6.5511785884291385</v>
      </c>
      <c r="E898" s="21" t="str">
        <f t="shared" si="276"/>
        <v>Umbra</v>
      </c>
      <c r="F898" s="23">
        <f>IF($E898&lt;&gt;"Umbra",fracil2($S$2,$S$3,$S$4,$A898,$Q$2,$O$3,$Q$4,$U898,$V898,$W898),0)</f>
        <v>0</v>
      </c>
      <c r="G898" s="19">
        <f t="shared" si="277"/>
        <v>69.301179643296493</v>
      </c>
      <c r="H898" s="19">
        <f t="shared" si="278"/>
        <v>-4.4934673901234623</v>
      </c>
      <c r="I898" s="19">
        <f t="shared" si="279"/>
        <v>-3.2854494407285673</v>
      </c>
      <c r="J898" s="28">
        <f t="shared" si="280"/>
        <v>4.8877733693264841E-3</v>
      </c>
      <c r="K898" s="24">
        <f t="shared" si="281"/>
        <v>1048.3505255839607</v>
      </c>
      <c r="L898" s="32">
        <f t="shared" si="282"/>
        <v>0.56109511144428637</v>
      </c>
      <c r="M898" s="35">
        <f t="shared" si="283"/>
        <v>13.037993050309465</v>
      </c>
      <c r="O898" s="29">
        <f t="shared" si="284"/>
        <v>1046.5855496744962</v>
      </c>
      <c r="T898" s="48">
        <v>0.74986120370370368</v>
      </c>
      <c r="U898" s="29">
        <v>-1406.9099558200392</v>
      </c>
      <c r="V898" s="29">
        <v>4531.6297459605667</v>
      </c>
      <c r="W898" s="29">
        <v>4257.5946651805498</v>
      </c>
      <c r="X898" s="4">
        <v>-0.32628273933014562</v>
      </c>
      <c r="Y898" s="4">
        <v>-0.11603799328328471</v>
      </c>
      <c r="Z898" s="4">
        <v>-1.2715571048764415E-2</v>
      </c>
      <c r="AA898" s="3">
        <f t="shared" si="289"/>
        <v>0.34653560800744787</v>
      </c>
      <c r="AB898" s="3">
        <f t="shared" si="292"/>
        <v>2.0975692487533886E-3</v>
      </c>
      <c r="AC898" s="3">
        <f t="shared" si="290"/>
        <v>1.8997561798440019E-2</v>
      </c>
      <c r="AD898" s="48"/>
      <c r="AE898" s="46">
        <f t="shared" si="285"/>
        <v>42.092147594092538</v>
      </c>
      <c r="AF898" s="46">
        <f t="shared" si="286"/>
        <v>-248.53982157181053</v>
      </c>
      <c r="AG898" s="47">
        <f t="shared" si="287"/>
        <v>6551.1785884291385</v>
      </c>
      <c r="AH898" s="45" t="str">
        <f t="shared" si="291"/>
        <v>-248.53982,42.09215,06551</v>
      </c>
      <c r="AI898" s="44">
        <f t="shared" si="293"/>
        <v>1021.3605292139782</v>
      </c>
    </row>
    <row r="899" spans="1:35" ht="18" customHeight="1" x14ac:dyDescent="0.25">
      <c r="A899" s="36">
        <f t="shared" si="288"/>
        <v>0.74987269675925916</v>
      </c>
      <c r="B899" s="42">
        <f t="shared" si="273"/>
        <v>42.09214759136497</v>
      </c>
      <c r="C899" s="43">
        <f t="shared" si="274"/>
        <v>111.46017811049221</v>
      </c>
      <c r="D899" s="18">
        <f t="shared" si="275"/>
        <v>6.5323542831283703</v>
      </c>
      <c r="E899" s="21" t="str">
        <f t="shared" si="276"/>
        <v>Umbra</v>
      </c>
      <c r="F899" s="23">
        <f>IF($E899&lt;&gt;"Umbra",fracil2($S$2,$S$3,$S$4,$A899,$Q$2,$O$3,$Q$4,$U899,$V899,$W899),0)</f>
        <v>0</v>
      </c>
      <c r="G899" s="19">
        <f t="shared" si="277"/>
        <v>69.30118269186859</v>
      </c>
      <c r="H899" s="19">
        <f t="shared" si="278"/>
        <v>-4.4944921835445051</v>
      </c>
      <c r="I899" s="19">
        <f t="shared" si="279"/>
        <v>-3.28647423414961</v>
      </c>
      <c r="J899" s="28">
        <f t="shared" si="280"/>
        <v>4.8868644355489158E-3</v>
      </c>
      <c r="K899" s="24">
        <f t="shared" si="281"/>
        <v>1048.3488644218498</v>
      </c>
      <c r="L899" s="32">
        <f t="shared" si="282"/>
        <v>0.5611088082597232</v>
      </c>
      <c r="M899" s="35">
        <f t="shared" si="283"/>
        <v>13.037302521704996</v>
      </c>
      <c r="O899" s="29">
        <f t="shared" si="284"/>
        <v>1046.5855240623653</v>
      </c>
      <c r="T899" s="48">
        <v>0.74987269675925916</v>
      </c>
      <c r="U899" s="29">
        <v>-1407.2339227990265</v>
      </c>
      <c r="V899" s="29">
        <v>4531.514526276077</v>
      </c>
      <c r="W899" s="29">
        <v>4257.5820465537927</v>
      </c>
      <c r="X899" s="4">
        <v>-0.32627784272515503</v>
      </c>
      <c r="Y899" s="4">
        <v>-0.11604686083568884</v>
      </c>
      <c r="Z899" s="4">
        <v>-1.2701900765492677E-2</v>
      </c>
      <c r="AA899" s="3">
        <f t="shared" si="289"/>
        <v>0.34653346569452015</v>
      </c>
      <c r="AB899" s="3">
        <f t="shared" si="292"/>
        <v>2.091192186078727E-3</v>
      </c>
      <c r="AC899" s="3">
        <f t="shared" si="290"/>
        <v>1.8977199111477504E-2</v>
      </c>
      <c r="AD899" s="48"/>
      <c r="AE899" s="46">
        <f t="shared" si="285"/>
        <v>42.09214759136497</v>
      </c>
      <c r="AF899" s="46">
        <f t="shared" si="286"/>
        <v>-248.53982188950778</v>
      </c>
      <c r="AG899" s="47">
        <f t="shared" si="287"/>
        <v>6532.3542831283703</v>
      </c>
      <c r="AH899" s="45" t="str">
        <f t="shared" si="291"/>
        <v>-248.53982,42.09215,06532</v>
      </c>
      <c r="AI899" s="44">
        <f t="shared" si="293"/>
        <v>1021.3605292139782</v>
      </c>
    </row>
    <row r="900" spans="1:35" ht="18" customHeight="1" x14ac:dyDescent="0.25">
      <c r="A900" s="36">
        <f t="shared" si="288"/>
        <v>0.74988428240740745</v>
      </c>
      <c r="B900" s="42">
        <f t="shared" si="273"/>
        <v>42.09214758862074</v>
      </c>
      <c r="C900" s="43">
        <f t="shared" si="274"/>
        <v>111.46017717027887</v>
      </c>
      <c r="D900" s="18">
        <f t="shared" si="275"/>
        <v>6.5134015933426781</v>
      </c>
      <c r="E900" s="21" t="str">
        <f t="shared" si="276"/>
        <v>Umbra</v>
      </c>
      <c r="F900" s="23">
        <f>IF($E900&lt;&gt;"Umbra",fracil2($S$2,$S$3,$S$4,$A900,$Q$2,$O$3,$Q$4,$U900,$V900,$W900),0)</f>
        <v>0</v>
      </c>
      <c r="G900" s="19">
        <f t="shared" si="277"/>
        <v>69.301185129893881</v>
      </c>
      <c r="H900" s="19">
        <f t="shared" si="278"/>
        <v>-4.4955237338511322</v>
      </c>
      <c r="I900" s="19">
        <f t="shared" si="279"/>
        <v>-3.2875057844562372</v>
      </c>
      <c r="J900" s="28">
        <f t="shared" si="280"/>
        <v>4.8859511950102418E-3</v>
      </c>
      <c r="K900" s="24">
        <f t="shared" si="281"/>
        <v>1048.3471423882622</v>
      </c>
      <c r="L900" s="32">
        <f t="shared" si="282"/>
        <v>0.56112261343689973</v>
      </c>
      <c r="M900" s="35">
        <f t="shared" si="283"/>
        <v>13.036607899932461</v>
      </c>
      <c r="O900" s="29">
        <f t="shared" si="284"/>
        <v>1046.5854483974606</v>
      </c>
      <c r="T900" s="48">
        <v>0.74988428240740745</v>
      </c>
      <c r="U900" s="29">
        <v>-1407.5604464535797</v>
      </c>
      <c r="V900" s="29">
        <v>4531.3983866206872</v>
      </c>
      <c r="W900" s="29">
        <v>4257.5693418663368</v>
      </c>
      <c r="X900" s="4">
        <v>-0.3262728953400133</v>
      </c>
      <c r="Y900" s="4">
        <v>-0.11605584248758095</v>
      </c>
      <c r="Z900" s="4">
        <v>-1.2688163773506712E-2</v>
      </c>
      <c r="AA900" s="3">
        <f t="shared" si="289"/>
        <v>0.34653131216240879</v>
      </c>
      <c r="AB900" s="3">
        <f t="shared" si="292"/>
        <v>2.0845957574833424E-3</v>
      </c>
      <c r="AC900" s="3">
        <f t="shared" si="290"/>
        <v>1.8956737123933368E-2</v>
      </c>
      <c r="AD900" s="48"/>
      <c r="AE900" s="46">
        <f t="shared" si="285"/>
        <v>42.09214758862074</v>
      </c>
      <c r="AF900" s="46">
        <f t="shared" si="286"/>
        <v>-248.53982282972112</v>
      </c>
      <c r="AG900" s="47">
        <f t="shared" si="287"/>
        <v>6513.4015933426781</v>
      </c>
      <c r="AH900" s="45" t="str">
        <f t="shared" si="291"/>
        <v>-248.53982,42.09215,06513</v>
      </c>
      <c r="AI900" s="44">
        <f t="shared" si="293"/>
        <v>1021.3606241492762</v>
      </c>
    </row>
    <row r="901" spans="1:35" ht="18" customHeight="1" x14ac:dyDescent="0.25">
      <c r="A901" s="36">
        <f t="shared" si="288"/>
        <v>0.74989585648148138</v>
      </c>
      <c r="B901" s="42">
        <f t="shared" si="273"/>
        <v>42.092147585882536</v>
      </c>
      <c r="C901" s="43">
        <f t="shared" si="274"/>
        <v>111.46017832769722</v>
      </c>
      <c r="D901" s="18">
        <f t="shared" si="275"/>
        <v>6.4944787940685273</v>
      </c>
      <c r="E901" s="21" t="str">
        <f t="shared" si="276"/>
        <v>Umbra</v>
      </c>
      <c r="F901" s="23">
        <f>IF($E901&lt;&gt;"Umbra",fracil2($S$2,$S$3,$S$4,$A901,$Q$2,$O$3,$Q$4,$U901,$V901,$W901),0)</f>
        <v>0</v>
      </c>
      <c r="G901" s="19">
        <f t="shared" si="277"/>
        <v>69.301189697394236</v>
      </c>
      <c r="H901" s="19">
        <f t="shared" si="278"/>
        <v>-4.4965544567119</v>
      </c>
      <c r="I901" s="19">
        <f t="shared" si="279"/>
        <v>-3.288536507317005</v>
      </c>
      <c r="J901" s="28">
        <f t="shared" si="280"/>
        <v>4.8850412229542971E-3</v>
      </c>
      <c r="K901" s="24">
        <f t="shared" si="281"/>
        <v>1048.3455919571934</v>
      </c>
      <c r="L901" s="32">
        <f t="shared" si="282"/>
        <v>0.56113640118921337</v>
      </c>
      <c r="M901" s="35">
        <f t="shared" si="283"/>
        <v>13.035912252563355</v>
      </c>
      <c r="O901" s="29">
        <f t="shared" si="284"/>
        <v>1046.5855413892373</v>
      </c>
      <c r="T901" s="48">
        <v>0.74989585648148138</v>
      </c>
      <c r="U901" s="29">
        <v>-1407.8868026991872</v>
      </c>
      <c r="V901" s="29">
        <v>4531.2822957438466</v>
      </c>
      <c r="W901" s="29">
        <v>4257.556657215735</v>
      </c>
      <c r="X901" s="4">
        <v>-0.32626793803003384</v>
      </c>
      <c r="Y901" s="4">
        <v>-0.11606486466775813</v>
      </c>
      <c r="Z901" s="4">
        <v>-1.2674475958982204E-2</v>
      </c>
      <c r="AA901" s="3">
        <f t="shared" si="289"/>
        <v>0.34652916549339657</v>
      </c>
      <c r="AB901" s="3">
        <f t="shared" si="292"/>
        <v>2.0792034567088565E-3</v>
      </c>
      <c r="AC901" s="3">
        <f t="shared" si="290"/>
        <v>1.8936348454837139E-2</v>
      </c>
      <c r="AD901" s="48"/>
      <c r="AE901" s="46">
        <f t="shared" si="285"/>
        <v>42.092147585882536</v>
      </c>
      <c r="AF901" s="46">
        <f t="shared" si="286"/>
        <v>-248.53982167230276</v>
      </c>
      <c r="AG901" s="47">
        <f t="shared" si="287"/>
        <v>6494.4787940685273</v>
      </c>
      <c r="AH901" s="45" t="str">
        <f t="shared" si="291"/>
        <v>-248.53982,42.09215,06494</v>
      </c>
      <c r="AI901" s="44">
        <f t="shared" si="293"/>
        <v>1021.3607584080612</v>
      </c>
    </row>
    <row r="902" spans="1:35" ht="18" customHeight="1" x14ac:dyDescent="0.25">
      <c r="A902" s="36">
        <f t="shared" si="288"/>
        <v>0.74990745370370371</v>
      </c>
      <c r="B902" s="42">
        <f t="shared" ref="B902:B965" si="294">latitude($U902,$V902,$W902)</f>
        <v>42.092147583145106</v>
      </c>
      <c r="C902" s="43">
        <f t="shared" ref="C902:C965" si="295">longitude($S$2,$S$3,$S$4,$A902,$U902,$V902)</f>
        <v>111.46017693676971</v>
      </c>
      <c r="D902" s="18">
        <f t="shared" ref="D902:D965" si="296">altitude($U902,$V902,$W902)</f>
        <v>6.4755501320796611</v>
      </c>
      <c r="E902" s="21" t="str">
        <f t="shared" ref="E902:E965" si="297">illum2($S$2,$S$3,$S$4,$A902,$U902,$V902,$W902)</f>
        <v>Umbra</v>
      </c>
      <c r="F902" s="23">
        <f>IF($E902&lt;&gt;"Umbra",fracil2($S$2,$S$3,$S$4,$A902,$Q$2,$O$3,$Q$4,$U902,$V902,$W902),0)</f>
        <v>0</v>
      </c>
      <c r="G902" s="19">
        <f t="shared" ref="G902:G965" si="298">azimuth($S$2,$S$3,$S$4,$A902,$Q$2,$O$3,$Q$4,$U902,$V902,$W902)</f>
        <v>69.301191672432253</v>
      </c>
      <c r="H902" s="19">
        <f t="shared" ref="H902:H965" si="299">elev($S$2,$S$3,$S$4,$A902,$Q$2,$O$3,$Q$4,$U902,$V902,$W902)</f>
        <v>-4.497584534258765</v>
      </c>
      <c r="I902" s="19">
        <f t="shared" ref="I902:I965" si="300">elev($S$2,$S$3,$S$4,$A902,$Q$2,$O$3,$Q$4,$U902,$V902,$W902)+DEGREES(ACOS($Q$3/$Q$4))</f>
        <v>-3.28956658486387</v>
      </c>
      <c r="J902" s="28">
        <f t="shared" ref="J902:J965" si="301">vang($S$2,$S$3,$S$4,$A902,$Q$2,$O$3,$Q$4,$U902,$V902,$W902,$X902,$Y902,$Z902)</f>
        <v>4.8841330774479904E-3</v>
      </c>
      <c r="K902" s="24">
        <f t="shared" ref="K902:K965" si="302">slant_rng($S$2,$S$3,$S$4,$A902,$Q$2,$O$3,$Q$4,$U902,$V902,$W902)</f>
        <v>1048.3438364487022</v>
      </c>
      <c r="L902" s="32">
        <f t="shared" ref="L902:L965" si="303">radec2("ra",$S$2,$S$3,$S$4,$A902,$Q$2,$O$3,$Q$4,$U902,$V902,$W902)/24</f>
        <v>0.56115021570816759</v>
      </c>
      <c r="M902" s="35">
        <f t="shared" ref="M902:M965" si="304">radec2("dec",$S$2,$S$3,$S$4,$A902,$Q$2,$O$3,$Q$4,$U902,$V902,$W902)</f>
        <v>13.035218949111167</v>
      </c>
      <c r="O902" s="29">
        <f t="shared" ref="O902:O965" si="305">DEGREES(ACOS(SIN(RADIANS($B902))*SIN(RADIANS($O$2))+COS(RADIANS($B902))*COS(RADIANS($O$2))*COS(RADIANS($C902-$O$3))))*111.2</f>
        <v>1046.5854294855878</v>
      </c>
      <c r="T902" s="48">
        <v>0.74990745370370371</v>
      </c>
      <c r="U902" s="29">
        <v>-1408.2136075097042</v>
      </c>
      <c r="V902" s="29">
        <v>4531.1660344678794</v>
      </c>
      <c r="W902" s="29">
        <v>4257.5439686352738</v>
      </c>
      <c r="X902" s="4">
        <v>-0.32626296116750086</v>
      </c>
      <c r="Y902" s="4">
        <v>-0.11607394523830394</v>
      </c>
      <c r="Z902" s="4">
        <v>-1.2660812277354855E-2</v>
      </c>
      <c r="AA902" s="3">
        <f t="shared" si="289"/>
        <v>0.34652702168877592</v>
      </c>
      <c r="AB902" s="3">
        <f t="shared" si="292"/>
        <v>2.071388129500187E-3</v>
      </c>
      <c r="AC902" s="3">
        <f t="shared" si="290"/>
        <v>1.8915995798775082E-2</v>
      </c>
      <c r="AD902" s="48"/>
      <c r="AE902" s="46">
        <f t="shared" ref="AE902:AE965" si="306">$B902</f>
        <v>42.092147583145106</v>
      </c>
      <c r="AF902" s="46">
        <f t="shared" ref="AF902:AF965" si="307">$C902-360</f>
        <v>-248.5398230632303</v>
      </c>
      <c r="AG902" s="47">
        <f t="shared" ref="AG902:AG965" si="308">$D902*1000</f>
        <v>6475.5501320796611</v>
      </c>
      <c r="AH902" s="45" t="str">
        <f t="shared" si="291"/>
        <v>-248.53982,42.09215,06476</v>
      </c>
      <c r="AI902" s="44">
        <f t="shared" si="293"/>
        <v>1021.3608926668462</v>
      </c>
    </row>
    <row r="903" spans="1:35" ht="18" customHeight="1" x14ac:dyDescent="0.25">
      <c r="A903" s="36">
        <f t="shared" ref="A903:A966" si="309">$T903+$S$5/86400</f>
        <v>0.74991912037037034</v>
      </c>
      <c r="B903" s="42">
        <f t="shared" si="294"/>
        <v>42.09214758039294</v>
      </c>
      <c r="C903" s="43">
        <f t="shared" si="295"/>
        <v>111.46018036330315</v>
      </c>
      <c r="D903" s="18">
        <f t="shared" si="296"/>
        <v>6.4565069005084297</v>
      </c>
      <c r="E903" s="21" t="str">
        <f t="shared" si="297"/>
        <v>Umbra</v>
      </c>
      <c r="F903" s="23">
        <f>IF($E903&lt;&gt;"Umbra",fracil2($S$2,$S$3,$S$4,$A903,$Q$2,$O$3,$Q$4,$U903,$V903,$W903),0)</f>
        <v>0</v>
      </c>
      <c r="G903" s="19">
        <f t="shared" si="298"/>
        <v>69.301198570865026</v>
      </c>
      <c r="H903" s="19">
        <f t="shared" si="299"/>
        <v>-4.4986226819681123</v>
      </c>
      <c r="I903" s="19">
        <f t="shared" si="300"/>
        <v>-3.2906047325732173</v>
      </c>
      <c r="J903" s="28">
        <f t="shared" si="301"/>
        <v>4.8832212132137801E-3</v>
      </c>
      <c r="K903" s="24">
        <f t="shared" si="302"/>
        <v>1048.3424586956282</v>
      </c>
      <c r="L903" s="32">
        <f t="shared" si="303"/>
        <v>0.56116410763574243</v>
      </c>
      <c r="M903" s="35">
        <f t="shared" si="304"/>
        <v>13.034516577966183</v>
      </c>
      <c r="O903" s="29">
        <f t="shared" si="305"/>
        <v>1046.5857049213721</v>
      </c>
      <c r="T903" s="48">
        <v>0.74991912037037034</v>
      </c>
      <c r="U903" s="29">
        <v>-1408.5427410395098</v>
      </c>
      <c r="V903" s="29">
        <v>4531.0489337351273</v>
      </c>
      <c r="W903" s="29">
        <v>4257.5312032547499</v>
      </c>
      <c r="X903" s="4">
        <v>-0.32625793596663644</v>
      </c>
      <c r="Y903" s="4">
        <v>-0.11608313694995144</v>
      </c>
      <c r="Z903" s="4">
        <v>-1.2647094596554149E-2</v>
      </c>
      <c r="AA903" s="3">
        <f t="shared" ref="AA903:AA966" si="310">SQRT($X903*$X903+$Y903*$Y903+$Z903*$Z903)</f>
        <v>0.34652486846846248</v>
      </c>
      <c r="AB903" s="3">
        <f t="shared" si="292"/>
        <v>2.0671891587287876E-3</v>
      </c>
      <c r="AC903" s="3">
        <f t="shared" ref="AC903:AC966" si="311">vrel($S$2,$S$3,$S$4,$A903,$B903,$C903,$U903,$V903,$W903,$X903,$Y903,$Z903)</f>
        <v>1.8895562775029524E-2</v>
      </c>
      <c r="AD903" s="48"/>
      <c r="AE903" s="46">
        <f t="shared" si="306"/>
        <v>42.09214758039294</v>
      </c>
      <c r="AF903" s="46">
        <f t="shared" si="307"/>
        <v>-248.53981963669685</v>
      </c>
      <c r="AG903" s="47">
        <f t="shared" si="308"/>
        <v>6456.5069005084297</v>
      </c>
      <c r="AH903" s="45" t="str">
        <f t="shared" ref="AH903:AH966" si="312">CONCATENATE(TEXT($AF903,"00.00000"),",",TEXT($AE903,"00.00000"),",",TEXT($AG903,"00000"))</f>
        <v>-248.53982,42.09215,06457</v>
      </c>
      <c r="AI903" s="44">
        <f t="shared" si="293"/>
        <v>1021.3611611844177</v>
      </c>
    </row>
    <row r="904" spans="1:35" ht="18" customHeight="1" x14ac:dyDescent="0.25">
      <c r="A904" s="36">
        <f t="shared" si="309"/>
        <v>0.74993062500000007</v>
      </c>
      <c r="B904" s="42">
        <f t="shared" si="294"/>
        <v>42.092147577687079</v>
      </c>
      <c r="C904" s="43">
        <f t="shared" si="295"/>
        <v>111.4601784493002</v>
      </c>
      <c r="D904" s="18">
        <f t="shared" si="296"/>
        <v>6.4377722185881794</v>
      </c>
      <c r="E904" s="21" t="str">
        <f t="shared" si="297"/>
        <v>Umbra</v>
      </c>
      <c r="F904" s="23">
        <f>IF($E904&lt;&gt;"Umbra",fracil2($S$2,$S$3,$S$4,$A904,$Q$2,$O$3,$Q$4,$U904,$V904,$W904),0)</f>
        <v>0</v>
      </c>
      <c r="G904" s="19">
        <f t="shared" si="298"/>
        <v>69.30119997882764</v>
      </c>
      <c r="H904" s="19">
        <f t="shared" si="299"/>
        <v>-4.4996420058544766</v>
      </c>
      <c r="I904" s="19">
        <f t="shared" si="300"/>
        <v>-3.2916240564595816</v>
      </c>
      <c r="J904" s="28">
        <f t="shared" si="301"/>
        <v>4.8823262363117473E-3</v>
      </c>
      <c r="K904" s="24">
        <f t="shared" si="302"/>
        <v>1048.3406786439989</v>
      </c>
      <c r="L904" s="32">
        <f t="shared" si="303"/>
        <v>0.56117780751747492</v>
      </c>
      <c r="M904" s="35">
        <f t="shared" si="304"/>
        <v>13.033830903383198</v>
      </c>
      <c r="O904" s="29">
        <f t="shared" si="305"/>
        <v>1046.5855509615221</v>
      </c>
      <c r="T904" s="48">
        <v>0.74993062500000007</v>
      </c>
      <c r="U904" s="29">
        <v>-1408.8668850048352</v>
      </c>
      <c r="V904" s="29">
        <v>4530.9335973644229</v>
      </c>
      <c r="W904" s="29">
        <v>4257.5186447065789</v>
      </c>
      <c r="X904" s="4">
        <v>-0.32625297486325538</v>
      </c>
      <c r="Y904" s="4">
        <v>-0.11609223306228174</v>
      </c>
      <c r="Z904" s="4">
        <v>-1.26336257038009E-2</v>
      </c>
      <c r="AA904" s="3">
        <f t="shared" si="310"/>
        <v>0.34652275348515693</v>
      </c>
      <c r="AB904" s="3">
        <f t="shared" ref="AB904:AB967" si="313">-($AC904-$AC903)/(($A904-$A903)*86400)*1000/9.806</f>
        <v>2.0582786138312699E-3</v>
      </c>
      <c r="AC904" s="3">
        <f t="shared" si="311"/>
        <v>1.8875500395822638E-2</v>
      </c>
      <c r="AD904" s="48"/>
      <c r="AE904" s="46">
        <f t="shared" si="306"/>
        <v>42.092147577687079</v>
      </c>
      <c r="AF904" s="46">
        <f t="shared" si="307"/>
        <v>-248.5398215506998</v>
      </c>
      <c r="AG904" s="47">
        <f t="shared" si="308"/>
        <v>6437.7722185881794</v>
      </c>
      <c r="AH904" s="45" t="str">
        <f t="shared" si="312"/>
        <v>-248.53982,42.09215,06438</v>
      </c>
      <c r="AI904" s="44">
        <f t="shared" ref="AI904:AI967" si="314">IFERROR(ACOS(SIN(RADIANS($B903))*SIN(RADIANS($B904))+COS(RADIANS($B903))*COS(RADIANS($B904))*COS(RADIANS($C903-$C904)))*6371,0)+AI903</f>
        <v>1021.361325617177</v>
      </c>
    </row>
    <row r="905" spans="1:35" ht="18" customHeight="1" x14ac:dyDescent="0.25">
      <c r="A905" s="36">
        <f t="shared" si="309"/>
        <v>0.74994221064814814</v>
      </c>
      <c r="B905" s="42">
        <f t="shared" si="294"/>
        <v>42.092147574964876</v>
      </c>
      <c r="C905" s="43">
        <f t="shared" si="295"/>
        <v>111.4601795058244</v>
      </c>
      <c r="D905" s="18">
        <f t="shared" si="296"/>
        <v>6.4189122983916604</v>
      </c>
      <c r="E905" s="21" t="str">
        <f t="shared" si="297"/>
        <v>Umbra</v>
      </c>
      <c r="F905" s="23">
        <f>IF($E905&lt;&gt;"Umbra",fracil2($S$2,$S$3,$S$4,$A905,$Q$2,$O$3,$Q$4,$U905,$V905,$W905),0)</f>
        <v>0</v>
      </c>
      <c r="G905" s="19">
        <f t="shared" si="298"/>
        <v>69.301204432419354</v>
      </c>
      <c r="H905" s="19">
        <f t="shared" si="299"/>
        <v>-4.5006692792644634</v>
      </c>
      <c r="I905" s="19">
        <f t="shared" si="300"/>
        <v>-3.2926513298695683</v>
      </c>
      <c r="J905" s="28">
        <f t="shared" si="301"/>
        <v>4.8814270669973519E-3</v>
      </c>
      <c r="K905" s="24">
        <f t="shared" si="302"/>
        <v>1048.3391269107801</v>
      </c>
      <c r="L905" s="32">
        <f t="shared" si="303"/>
        <v>0.56119159973110755</v>
      </c>
      <c r="M905" s="35">
        <f t="shared" si="304"/>
        <v>13.03313763075799</v>
      </c>
      <c r="O905" s="29">
        <f t="shared" si="305"/>
        <v>1046.585635841479</v>
      </c>
      <c r="T905" s="48">
        <v>0.74994221064814814</v>
      </c>
      <c r="U905" s="29">
        <v>-1409.193539700492</v>
      </c>
      <c r="V905" s="29">
        <v>4530.8173566881624</v>
      </c>
      <c r="W905" s="29">
        <v>4257.5060022067191</v>
      </c>
      <c r="X905" s="4">
        <v>-0.32624796289165481</v>
      </c>
      <c r="Y905" s="4">
        <v>-0.11610144450030568</v>
      </c>
      <c r="Z905" s="4">
        <v>-1.2620094381898825E-2</v>
      </c>
      <c r="AA905" s="3">
        <f t="shared" si="310"/>
        <v>0.34652062779612436</v>
      </c>
      <c r="AB905" s="3">
        <f t="shared" si="313"/>
        <v>2.0533519625613988E-3</v>
      </c>
      <c r="AC905" s="3">
        <f t="shared" si="311"/>
        <v>1.885534509130855E-2</v>
      </c>
      <c r="AD905" s="48"/>
      <c r="AE905" s="46">
        <f t="shared" si="306"/>
        <v>42.092147574964876</v>
      </c>
      <c r="AF905" s="46">
        <f t="shared" si="307"/>
        <v>-248.53982049417561</v>
      </c>
      <c r="AG905" s="47">
        <f t="shared" si="308"/>
        <v>6418.9122983916604</v>
      </c>
      <c r="AH905" s="45" t="str">
        <f t="shared" si="312"/>
        <v>-248.53982,42.09215,06419</v>
      </c>
      <c r="AI905" s="44">
        <f t="shared" si="314"/>
        <v>1021.3614598759621</v>
      </c>
    </row>
    <row r="906" spans="1:35" ht="18" customHeight="1" x14ac:dyDescent="0.25">
      <c r="A906" s="36">
        <f t="shared" si="309"/>
        <v>0.74995380787037036</v>
      </c>
      <c r="B906" s="42">
        <f t="shared" si="294"/>
        <v>42.092147572245771</v>
      </c>
      <c r="C906" s="43">
        <f t="shared" si="295"/>
        <v>111.46017874372828</v>
      </c>
      <c r="D906" s="18">
        <f t="shared" si="296"/>
        <v>6.4000619372945948</v>
      </c>
      <c r="E906" s="21" t="str">
        <f t="shared" si="297"/>
        <v>Umbra</v>
      </c>
      <c r="F906" s="23">
        <f>IF($E906&lt;&gt;"Umbra",fracil2($S$2,$S$3,$S$4,$A906,$Q$2,$O$3,$Q$4,$U906,$V906,$W906),0)</f>
        <v>0</v>
      </c>
      <c r="G906" s="19">
        <f t="shared" si="298"/>
        <v>69.301207033449856</v>
      </c>
      <c r="H906" s="19">
        <f t="shared" si="299"/>
        <v>-4.5016953453189812</v>
      </c>
      <c r="I906" s="19">
        <f t="shared" si="300"/>
        <v>-3.2936773959240861</v>
      </c>
      <c r="J906" s="28">
        <f t="shared" si="301"/>
        <v>4.8805302936991909E-3</v>
      </c>
      <c r="K906" s="24">
        <f t="shared" si="302"/>
        <v>1048.3374301127672</v>
      </c>
      <c r="L906" s="32">
        <f t="shared" si="303"/>
        <v>0.56120540450293521</v>
      </c>
      <c r="M906" s="35">
        <f t="shared" si="304"/>
        <v>13.032446532427073</v>
      </c>
      <c r="O906" s="29">
        <f t="shared" si="305"/>
        <v>1046.5855744984126</v>
      </c>
      <c r="T906" s="48">
        <v>0.74995380787037036</v>
      </c>
      <c r="U906" s="29">
        <v>-1409.5203736152216</v>
      </c>
      <c r="V906" s="29">
        <v>4530.7010411944639</v>
      </c>
      <c r="W906" s="29">
        <v>4257.4933661148189</v>
      </c>
      <c r="X906" s="4">
        <v>-0.32624293610899152</v>
      </c>
      <c r="Y906" s="4">
        <v>-0.11611070461639199</v>
      </c>
      <c r="Z906" s="4">
        <v>-1.2606596355194006E-2</v>
      </c>
      <c r="AA906" s="3">
        <f t="shared" si="310"/>
        <v>0.34651850651760774</v>
      </c>
      <c r="AB906" s="3">
        <f t="shared" si="313"/>
        <v>2.046248637512852E-3</v>
      </c>
      <c r="AC906" s="3">
        <f t="shared" si="311"/>
        <v>1.8835239446140833E-2</v>
      </c>
      <c r="AD906" s="48"/>
      <c r="AE906" s="46">
        <f t="shared" si="306"/>
        <v>42.092147572245771</v>
      </c>
      <c r="AF906" s="46">
        <f t="shared" si="307"/>
        <v>-248.53982125627172</v>
      </c>
      <c r="AG906" s="47">
        <f t="shared" si="308"/>
        <v>6400.0619372945948</v>
      </c>
      <c r="AH906" s="45" t="str">
        <f t="shared" si="312"/>
        <v>-248.53982,42.09215,06400</v>
      </c>
      <c r="AI906" s="44">
        <f t="shared" si="314"/>
        <v>1021.3614598759621</v>
      </c>
    </row>
    <row r="907" spans="1:35" ht="18" customHeight="1" x14ac:dyDescent="0.25">
      <c r="A907" s="36">
        <f t="shared" si="309"/>
        <v>0.74996533564814805</v>
      </c>
      <c r="B907" s="42">
        <f t="shared" si="294"/>
        <v>42.092147569547201</v>
      </c>
      <c r="C907" s="43">
        <f t="shared" si="295"/>
        <v>111.46017868321698</v>
      </c>
      <c r="D907" s="18">
        <f t="shared" si="296"/>
        <v>6.3813412786785193</v>
      </c>
      <c r="E907" s="21" t="str">
        <f t="shared" si="297"/>
        <v>Umbra</v>
      </c>
      <c r="F907" s="23">
        <f>IF($E907&lt;&gt;"Umbra",fracil2($S$2,$S$3,$S$4,$A907,$Q$2,$O$3,$Q$4,$U907,$V907,$W907),0)</f>
        <v>0</v>
      </c>
      <c r="G907" s="19">
        <f t="shared" si="298"/>
        <v>69.30121032527741</v>
      </c>
      <c r="H907" s="19">
        <f t="shared" si="299"/>
        <v>-4.5027146187888842</v>
      </c>
      <c r="I907" s="19">
        <f t="shared" si="300"/>
        <v>-3.2946966693939892</v>
      </c>
      <c r="J907" s="28">
        <f t="shared" si="301"/>
        <v>4.8796415403783242E-3</v>
      </c>
      <c r="K907" s="24">
        <f t="shared" si="302"/>
        <v>1048.3358013138948</v>
      </c>
      <c r="L907" s="32">
        <f t="shared" si="303"/>
        <v>0.56121912388144946</v>
      </c>
      <c r="M907" s="35">
        <f t="shared" si="304"/>
        <v>13.031759479139557</v>
      </c>
      <c r="O907" s="29">
        <f t="shared" si="305"/>
        <v>1046.5855695656062</v>
      </c>
      <c r="T907" s="48">
        <v>0.74996533564814805</v>
      </c>
      <c r="U907" s="29">
        <v>-1409.8452998774787</v>
      </c>
      <c r="V907" s="29">
        <v>4530.5853936101976</v>
      </c>
      <c r="W907" s="29">
        <v>4257.4808169674261</v>
      </c>
      <c r="X907" s="4">
        <v>-0.32623792648951772</v>
      </c>
      <c r="Y907" s="4">
        <v>-0.1161199545764931</v>
      </c>
      <c r="Z907" s="4">
        <v>-1.2593218047911005E-2</v>
      </c>
      <c r="AA907" s="3">
        <f t="shared" si="310"/>
        <v>0.34651640317859272</v>
      </c>
      <c r="AB907" s="3">
        <f t="shared" si="313"/>
        <v>2.040306538543318E-3</v>
      </c>
      <c r="AC907" s="3">
        <f t="shared" si="311"/>
        <v>1.8815312229207702E-2</v>
      </c>
      <c r="AD907" s="48"/>
      <c r="AE907" s="46">
        <f t="shared" si="306"/>
        <v>42.092147569547201</v>
      </c>
      <c r="AF907" s="46">
        <f t="shared" si="307"/>
        <v>-248.53982131678302</v>
      </c>
      <c r="AG907" s="47">
        <f t="shared" si="308"/>
        <v>6381.3412786785193</v>
      </c>
      <c r="AH907" s="45" t="str">
        <f t="shared" si="312"/>
        <v>-248.53982,42.09215,06381</v>
      </c>
      <c r="AI907" s="44">
        <f t="shared" si="314"/>
        <v>1021.3614598759621</v>
      </c>
    </row>
    <row r="908" spans="1:35" ht="18" customHeight="1" x14ac:dyDescent="0.25">
      <c r="A908" s="36">
        <f t="shared" si="309"/>
        <v>0.74997693287037037</v>
      </c>
      <c r="B908" s="42">
        <f t="shared" si="294"/>
        <v>42.092147566836267</v>
      </c>
      <c r="C908" s="43">
        <f t="shared" si="295"/>
        <v>111.46018024991562</v>
      </c>
      <c r="D908" s="18">
        <f t="shared" si="296"/>
        <v>6.3625205602011192</v>
      </c>
      <c r="E908" s="21" t="str">
        <f t="shared" si="297"/>
        <v>Umbra</v>
      </c>
      <c r="F908" s="23">
        <f>IF($E908&lt;&gt;"Umbra",fracil2($S$2,$S$3,$S$4,$A908,$Q$2,$O$3,$Q$4,$U908,$V908,$W908),0)</f>
        <v>0</v>
      </c>
      <c r="G908" s="19">
        <f t="shared" si="298"/>
        <v>69.30121529109023</v>
      </c>
      <c r="H908" s="19">
        <f t="shared" si="299"/>
        <v>-4.5037399605315596</v>
      </c>
      <c r="I908" s="19">
        <f t="shared" si="300"/>
        <v>-3.2957220111366645</v>
      </c>
      <c r="J908" s="28">
        <f t="shared" si="301"/>
        <v>4.878749871368728E-3</v>
      </c>
      <c r="K908" s="24">
        <f t="shared" si="302"/>
        <v>1048.3342950092526</v>
      </c>
      <c r="L908" s="32">
        <f t="shared" si="303"/>
        <v>0.5612329225982563</v>
      </c>
      <c r="M908" s="35">
        <f t="shared" si="304"/>
        <v>13.031067105585743</v>
      </c>
      <c r="O908" s="29">
        <f t="shared" si="305"/>
        <v>1046.5856954655546</v>
      </c>
      <c r="T908" s="48">
        <v>0.74997693287037037</v>
      </c>
      <c r="U908" s="29">
        <v>-1410.1723055775944</v>
      </c>
      <c r="V908" s="29">
        <v>4530.4689947948464</v>
      </c>
      <c r="W908" s="29">
        <v>4257.4682007463907</v>
      </c>
      <c r="X908" s="4">
        <v>-0.32623287248684568</v>
      </c>
      <c r="Y908" s="4">
        <v>-0.11612930810298734</v>
      </c>
      <c r="Z908" s="4">
        <v>-1.2579795559277563E-2</v>
      </c>
      <c r="AA908" s="3">
        <f t="shared" si="310"/>
        <v>0.34651429198203398</v>
      </c>
      <c r="AB908" s="3">
        <f t="shared" si="313"/>
        <v>2.0347807378252392E-3</v>
      </c>
      <c r="AC908" s="3">
        <f t="shared" si="311"/>
        <v>1.8795319263172579E-2</v>
      </c>
      <c r="AD908" s="48"/>
      <c r="AE908" s="46">
        <f t="shared" si="306"/>
        <v>42.092147566836267</v>
      </c>
      <c r="AF908" s="46">
        <f t="shared" si="307"/>
        <v>-248.53981975008438</v>
      </c>
      <c r="AG908" s="47">
        <f t="shared" si="308"/>
        <v>6362.5205602011192</v>
      </c>
      <c r="AH908" s="45" t="str">
        <f t="shared" si="312"/>
        <v>-248.53982,42.09215,06363</v>
      </c>
      <c r="AI908" s="44">
        <f t="shared" si="314"/>
        <v>1021.3615941347471</v>
      </c>
    </row>
    <row r="909" spans="1:35" ht="18" customHeight="1" x14ac:dyDescent="0.25">
      <c r="A909" s="36">
        <f t="shared" si="309"/>
        <v>0.74998854166666673</v>
      </c>
      <c r="B909" s="42">
        <f t="shared" si="294"/>
        <v>42.092147564128872</v>
      </c>
      <c r="C909" s="43">
        <f t="shared" si="295"/>
        <v>111.46017941091216</v>
      </c>
      <c r="D909" s="18">
        <f t="shared" si="296"/>
        <v>6.3437119303835061</v>
      </c>
      <c r="E909" s="21" t="str">
        <f t="shared" si="297"/>
        <v>Umbra</v>
      </c>
      <c r="F909" s="23">
        <f>IF($E909&lt;&gt;"Umbra",fracil2($S$2,$S$3,$S$4,$A909,$Q$2,$O$3,$Q$4,$U909,$V909,$W909),0)</f>
        <v>0</v>
      </c>
      <c r="G909" s="19">
        <f t="shared" si="298"/>
        <v>69.301217806400999</v>
      </c>
      <c r="H909" s="19">
        <f t="shared" si="299"/>
        <v>-4.5047637349391412</v>
      </c>
      <c r="I909" s="19">
        <f t="shared" si="300"/>
        <v>-3.2967457855442461</v>
      </c>
      <c r="J909" s="28">
        <f t="shared" si="301"/>
        <v>4.8778606591180131E-3</v>
      </c>
      <c r="K909" s="24">
        <f t="shared" si="302"/>
        <v>1048.3325966521654</v>
      </c>
      <c r="L909" s="32">
        <f t="shared" si="303"/>
        <v>0.56124673424628024</v>
      </c>
      <c r="M909" s="35">
        <f t="shared" si="304"/>
        <v>13.030377590288909</v>
      </c>
      <c r="O909" s="29">
        <f t="shared" si="305"/>
        <v>1046.5856279391835</v>
      </c>
      <c r="T909" s="48">
        <v>0.74998854166666673</v>
      </c>
      <c r="U909" s="29">
        <v>-1410.4994446015364</v>
      </c>
      <c r="V909" s="29">
        <v>4530.3525373137263</v>
      </c>
      <c r="W909" s="29">
        <v>4257.4555926289813</v>
      </c>
      <c r="X909" s="4">
        <v>-0.32622780479069102</v>
      </c>
      <c r="Y909" s="4">
        <v>-0.11613870756917156</v>
      </c>
      <c r="Z909" s="4">
        <v>-1.2566406923392554E-2</v>
      </c>
      <c r="AA909" s="3">
        <f t="shared" si="310"/>
        <v>0.34651218535190798</v>
      </c>
      <c r="AB909" s="3">
        <f t="shared" si="313"/>
        <v>2.0276200728496126E-3</v>
      </c>
      <c r="AC909" s="3">
        <f t="shared" si="311"/>
        <v>1.8775376772210806E-2</v>
      </c>
      <c r="AD909" s="48"/>
      <c r="AE909" s="46">
        <f t="shared" si="306"/>
        <v>42.092147564128872</v>
      </c>
      <c r="AF909" s="46">
        <f t="shared" si="307"/>
        <v>-248.53982058908784</v>
      </c>
      <c r="AG909" s="47">
        <f t="shared" si="308"/>
        <v>6343.7119303835061</v>
      </c>
      <c r="AH909" s="45" t="str">
        <f t="shared" si="312"/>
        <v>-248.53982,42.09215,06344</v>
      </c>
      <c r="AI909" s="44">
        <f t="shared" si="314"/>
        <v>1021.3615941347471</v>
      </c>
    </row>
    <row r="910" spans="1:35" ht="18" customHeight="1" x14ac:dyDescent="0.25">
      <c r="A910" s="36">
        <f t="shared" si="309"/>
        <v>0.75000006944444442</v>
      </c>
      <c r="B910" s="42">
        <f t="shared" si="294"/>
        <v>42.092147561445657</v>
      </c>
      <c r="C910" s="43">
        <f t="shared" si="295"/>
        <v>111.46017795705914</v>
      </c>
      <c r="D910" s="18">
        <f t="shared" si="296"/>
        <v>6.3250571376165681</v>
      </c>
      <c r="E910" s="21" t="str">
        <f t="shared" si="297"/>
        <v>Umbra</v>
      </c>
      <c r="F910" s="23">
        <f>IF($E910&lt;&gt;"Umbra",fracil2($S$2,$S$3,$S$4,$A910,$Q$2,$O$3,$Q$4,$U910,$V910,$W910),0)</f>
        <v>0</v>
      </c>
      <c r="G910" s="19">
        <f t="shared" si="298"/>
        <v>69.301219668414547</v>
      </c>
      <c r="H910" s="19">
        <f t="shared" si="299"/>
        <v>-4.5057789034446918</v>
      </c>
      <c r="I910" s="19">
        <f t="shared" si="300"/>
        <v>-3.2977609540497967</v>
      </c>
      <c r="J910" s="28">
        <f t="shared" si="301"/>
        <v>4.8769806120922419E-3</v>
      </c>
      <c r="K910" s="24">
        <f t="shared" si="302"/>
        <v>1048.3308625271241</v>
      </c>
      <c r="L910" s="32">
        <f t="shared" si="303"/>
        <v>0.56126044759970461</v>
      </c>
      <c r="M910" s="35">
        <f t="shared" si="304"/>
        <v>13.029694332081192</v>
      </c>
      <c r="O910" s="29">
        <f t="shared" si="305"/>
        <v>1046.5855109774766</v>
      </c>
      <c r="T910" s="48">
        <v>0.75000006944444442</v>
      </c>
      <c r="U910" s="29">
        <v>-1410.8242470116891</v>
      </c>
      <c r="V910" s="29">
        <v>4530.2369004998582</v>
      </c>
      <c r="W910" s="29">
        <v>4257.4430876343804</v>
      </c>
      <c r="X910" s="4">
        <v>-0.32622276124116734</v>
      </c>
      <c r="Y910" s="4">
        <v>-0.11614808326987913</v>
      </c>
      <c r="Z910" s="4">
        <v>-1.255315442096447E-2</v>
      </c>
      <c r="AA910" s="3">
        <f t="shared" si="310"/>
        <v>0.34651009925396842</v>
      </c>
      <c r="AB910" s="3">
        <f t="shared" si="313"/>
        <v>2.0211032980882245E-3</v>
      </c>
      <c r="AC910" s="3">
        <f t="shared" si="311"/>
        <v>1.8755637109025673E-2</v>
      </c>
      <c r="AD910" s="48"/>
      <c r="AE910" s="46">
        <f t="shared" si="306"/>
        <v>42.092147561445657</v>
      </c>
      <c r="AF910" s="46">
        <f t="shared" si="307"/>
        <v>-248.53982204294084</v>
      </c>
      <c r="AG910" s="47">
        <f t="shared" si="308"/>
        <v>6325.0571376165681</v>
      </c>
      <c r="AH910" s="45" t="str">
        <f t="shared" si="312"/>
        <v>-248.53982,42.09215,06325</v>
      </c>
      <c r="AI910" s="44">
        <f t="shared" si="314"/>
        <v>1021.3617283935321</v>
      </c>
    </row>
    <row r="911" spans="1:35" ht="18" customHeight="1" x14ac:dyDescent="0.25">
      <c r="A911" s="36">
        <f t="shared" si="309"/>
        <v>0.75001167824074078</v>
      </c>
      <c r="B911" s="42">
        <f t="shared" si="294"/>
        <v>42.092147558747278</v>
      </c>
      <c r="C911" s="43">
        <f t="shared" si="295"/>
        <v>111.46017778311507</v>
      </c>
      <c r="D911" s="18">
        <f t="shared" si="296"/>
        <v>6.3062853214705683</v>
      </c>
      <c r="E911" s="21" t="str">
        <f t="shared" si="297"/>
        <v>Umbra</v>
      </c>
      <c r="F911" s="23">
        <f>IF($E911&lt;&gt;"Umbra",fracil2($S$2,$S$3,$S$4,$A911,$Q$2,$O$3,$Q$4,$U911,$V911,$W911),0)</f>
        <v>0</v>
      </c>
      <c r="G911" s="19">
        <f t="shared" si="298"/>
        <v>69.30122285399689</v>
      </c>
      <c r="H911" s="19">
        <f t="shared" si="299"/>
        <v>-4.5068009321036744</v>
      </c>
      <c r="I911" s="19">
        <f t="shared" si="300"/>
        <v>-3.2987829827087793</v>
      </c>
      <c r="J911" s="28">
        <f t="shared" si="301"/>
        <v>4.8760968241875462E-3</v>
      </c>
      <c r="K911" s="24">
        <f t="shared" si="302"/>
        <v>1048.3292215035094</v>
      </c>
      <c r="L911" s="32">
        <f t="shared" si="303"/>
        <v>0.56127425424703981</v>
      </c>
      <c r="M911" s="35">
        <f t="shared" si="304"/>
        <v>13.029005480750655</v>
      </c>
      <c r="O911" s="29">
        <f t="shared" si="305"/>
        <v>1046.5854969243005</v>
      </c>
      <c r="T911" s="48">
        <v>0.75001167824074078</v>
      </c>
      <c r="U911" s="29">
        <v>-1411.1514278275674</v>
      </c>
      <c r="V911" s="29">
        <v>4530.1204056523211</v>
      </c>
      <c r="W911" s="29">
        <v>4257.4305041948392</v>
      </c>
      <c r="X911" s="4">
        <v>-0.32621766880374975</v>
      </c>
      <c r="Y911" s="4">
        <v>-0.11615757068245694</v>
      </c>
      <c r="Z911" s="4">
        <v>-1.253984507753571E-2</v>
      </c>
      <c r="AA911" s="3">
        <f t="shared" si="310"/>
        <v>0.34650800334360465</v>
      </c>
      <c r="AB911" s="3">
        <f t="shared" si="313"/>
        <v>2.015600027334509E-3</v>
      </c>
      <c r="AC911" s="3">
        <f t="shared" si="311"/>
        <v>1.873581284023592E-2</v>
      </c>
      <c r="AD911" s="48"/>
      <c r="AE911" s="46">
        <f t="shared" si="306"/>
        <v>42.092147558747278</v>
      </c>
      <c r="AF911" s="46">
        <f t="shared" si="307"/>
        <v>-248.53982221688494</v>
      </c>
      <c r="AG911" s="47">
        <f t="shared" si="308"/>
        <v>6306.2853214705683</v>
      </c>
      <c r="AH911" s="45" t="str">
        <f t="shared" si="312"/>
        <v>-248.53982,42.09215,06306</v>
      </c>
      <c r="AI911" s="44">
        <f t="shared" si="314"/>
        <v>1021.3617283935321</v>
      </c>
    </row>
    <row r="912" spans="1:35" ht="18" customHeight="1" x14ac:dyDescent="0.25">
      <c r="A912" s="36">
        <f t="shared" si="309"/>
        <v>0.75002313657407405</v>
      </c>
      <c r="B912" s="42">
        <f t="shared" si="294"/>
        <v>42.092147556087717</v>
      </c>
      <c r="C912" s="43">
        <f t="shared" si="295"/>
        <v>111.46017871478675</v>
      </c>
      <c r="D912" s="18">
        <f t="shared" si="296"/>
        <v>6.2877713710713579</v>
      </c>
      <c r="E912" s="21" t="str">
        <f t="shared" si="297"/>
        <v>Umbra</v>
      </c>
      <c r="F912" s="23">
        <f>IF($E912&lt;&gt;"Umbra",fracil2($S$2,$S$3,$S$4,$A912,$Q$2,$O$3,$Q$4,$U912,$V912,$W912),0)</f>
        <v>0</v>
      </c>
      <c r="G912" s="19">
        <f t="shared" si="298"/>
        <v>69.301227118609788</v>
      </c>
      <c r="H912" s="19">
        <f t="shared" si="299"/>
        <v>-4.5078093424424539</v>
      </c>
      <c r="I912" s="19">
        <f t="shared" si="300"/>
        <v>-3.2997913930475589</v>
      </c>
      <c r="J912" s="28">
        <f t="shared" si="301"/>
        <v>4.8752269185117951E-3</v>
      </c>
      <c r="K912" s="24">
        <f t="shared" si="302"/>
        <v>1048.3276920561434</v>
      </c>
      <c r="L912" s="32">
        <f t="shared" si="303"/>
        <v>0.5612878790153697</v>
      </c>
      <c r="M912" s="35">
        <f t="shared" si="304"/>
        <v>13.028324972571438</v>
      </c>
      <c r="O912" s="29">
        <f t="shared" si="305"/>
        <v>1046.5855717672669</v>
      </c>
      <c r="T912" s="48">
        <v>0.75002313657407405</v>
      </c>
      <c r="U912" s="29">
        <v>-1411.4744491550164</v>
      </c>
      <c r="V912" s="29">
        <v>4530.0053806751484</v>
      </c>
      <c r="W912" s="29">
        <v>4257.4180936123503</v>
      </c>
      <c r="X912" s="4">
        <v>-0.32621262943375817</v>
      </c>
      <c r="Y912" s="4">
        <v>-0.11616697951389507</v>
      </c>
      <c r="Z912" s="4">
        <v>-1.252674417935443E-2</v>
      </c>
      <c r="AA912" s="3">
        <f t="shared" si="310"/>
        <v>0.34650593941692132</v>
      </c>
      <c r="AB912" s="3">
        <f t="shared" si="313"/>
        <v>2.0100793166806827E-3</v>
      </c>
      <c r="AC912" s="3">
        <f t="shared" si="311"/>
        <v>1.8716299110834451E-2</v>
      </c>
      <c r="AD912" s="48"/>
      <c r="AE912" s="46">
        <f t="shared" si="306"/>
        <v>42.092147556087717</v>
      </c>
      <c r="AF912" s="46">
        <f t="shared" si="307"/>
        <v>-248.53982128521324</v>
      </c>
      <c r="AG912" s="47">
        <f t="shared" si="308"/>
        <v>6287.7713710713579</v>
      </c>
      <c r="AH912" s="45" t="str">
        <f t="shared" si="312"/>
        <v>-248.53982,42.09215,06288</v>
      </c>
      <c r="AI912" s="44">
        <f t="shared" si="314"/>
        <v>1021.36182332883</v>
      </c>
    </row>
    <row r="913" spans="1:35" ht="18" customHeight="1" x14ac:dyDescent="0.25">
      <c r="A913" s="36">
        <f t="shared" si="309"/>
        <v>0.750034837962963</v>
      </c>
      <c r="B913" s="42">
        <f t="shared" si="294"/>
        <v>42.092147553375874</v>
      </c>
      <c r="C913" s="43">
        <f t="shared" si="295"/>
        <v>111.46018043455298</v>
      </c>
      <c r="D913" s="18">
        <f t="shared" si="296"/>
        <v>6.2688812099986535</v>
      </c>
      <c r="E913" s="21" t="str">
        <f t="shared" si="297"/>
        <v>Umbra</v>
      </c>
      <c r="F913" s="23">
        <f>IF($E913&lt;&gt;"Umbra",fracil2($S$2,$S$3,$S$4,$A913,$Q$2,$O$3,$Q$4,$U913,$V913,$W913),0)</f>
        <v>0</v>
      </c>
      <c r="G913" s="19">
        <f t="shared" si="298"/>
        <v>69.301232252685949</v>
      </c>
      <c r="H913" s="19">
        <f t="shared" si="299"/>
        <v>-4.5088385384727712</v>
      </c>
      <c r="I913" s="19">
        <f t="shared" si="300"/>
        <v>-3.3008205890778761</v>
      </c>
      <c r="J913" s="28">
        <f t="shared" si="301"/>
        <v>4.8743411216896661E-3</v>
      </c>
      <c r="K913" s="24">
        <f t="shared" si="302"/>
        <v>1048.3261937099273</v>
      </c>
      <c r="L913" s="32">
        <f t="shared" si="303"/>
        <v>0.56130179001844571</v>
      </c>
      <c r="M913" s="35">
        <f t="shared" si="304"/>
        <v>13.027629853085042</v>
      </c>
      <c r="O913" s="29">
        <f t="shared" si="305"/>
        <v>1046.5857099743253</v>
      </c>
      <c r="T913" s="48">
        <v>0.750034837962963</v>
      </c>
      <c r="U913" s="29">
        <v>-1411.8043772905385</v>
      </c>
      <c r="V913" s="29">
        <v>4529.8878847706919</v>
      </c>
      <c r="W913" s="29">
        <v>4257.4054308421428</v>
      </c>
      <c r="X913" s="4">
        <v>-0.32620747043459158</v>
      </c>
      <c r="Y913" s="4">
        <v>-0.1161766322858223</v>
      </c>
      <c r="Z913" s="4">
        <v>-1.2513403077936348E-2</v>
      </c>
      <c r="AA913" s="3">
        <f t="shared" si="310"/>
        <v>0.34650383679434349</v>
      </c>
      <c r="AB913" s="3">
        <f t="shared" si="313"/>
        <v>2.0044096171721038E-3</v>
      </c>
      <c r="AC913" s="3">
        <f t="shared" si="311"/>
        <v>1.8696427662480589E-2</v>
      </c>
      <c r="AD913" s="48"/>
      <c r="AE913" s="46">
        <f t="shared" si="306"/>
        <v>42.092147553375874</v>
      </c>
      <c r="AF913" s="46">
        <f t="shared" si="307"/>
        <v>-248.53981956544703</v>
      </c>
      <c r="AG913" s="47">
        <f t="shared" si="308"/>
        <v>6268.8812099986535</v>
      </c>
      <c r="AH913" s="45" t="str">
        <f t="shared" si="312"/>
        <v>-248.53982,42.09215,06269</v>
      </c>
      <c r="AI913" s="44">
        <f t="shared" si="314"/>
        <v>1021.3619575876151</v>
      </c>
    </row>
    <row r="914" spans="1:35" ht="18" customHeight="1" x14ac:dyDescent="0.25">
      <c r="A914" s="36">
        <f t="shared" si="309"/>
        <v>0.75004648148148145</v>
      </c>
      <c r="B914" s="42">
        <f t="shared" si="294"/>
        <v>42.092147550684658</v>
      </c>
      <c r="C914" s="43">
        <f t="shared" si="295"/>
        <v>111.46017798997096</v>
      </c>
      <c r="D914" s="18">
        <f t="shared" si="296"/>
        <v>6.2501229694707945</v>
      </c>
      <c r="E914" s="21" t="str">
        <f t="shared" si="297"/>
        <v>Umbra</v>
      </c>
      <c r="F914" s="23">
        <f>IF($E914&lt;&gt;"Umbra",fracil2($S$2,$S$3,$S$4,$A914,$Q$2,$O$3,$Q$4,$U914,$V914,$W914),0)</f>
        <v>0</v>
      </c>
      <c r="G914" s="19">
        <f t="shared" si="298"/>
        <v>69.301233124979902</v>
      </c>
      <c r="H914" s="19">
        <f t="shared" si="299"/>
        <v>-4.509858977318272</v>
      </c>
      <c r="I914" s="19">
        <f t="shared" si="300"/>
        <v>-3.301841027923377</v>
      </c>
      <c r="J914" s="28">
        <f t="shared" si="301"/>
        <v>4.8734634740723063E-3</v>
      </c>
      <c r="K914" s="24">
        <f t="shared" si="302"/>
        <v>1048.324372286193</v>
      </c>
      <c r="L914" s="32">
        <f t="shared" si="303"/>
        <v>0.56131563248500904</v>
      </c>
      <c r="M914" s="35">
        <f t="shared" si="304"/>
        <v>13.026943760679019</v>
      </c>
      <c r="O914" s="29">
        <f t="shared" si="305"/>
        <v>1046.5855133545344</v>
      </c>
      <c r="T914" s="48">
        <v>0.75004648148148145</v>
      </c>
      <c r="U914" s="29">
        <v>-1412.1323440953593</v>
      </c>
      <c r="V914" s="29">
        <v>4529.7710758054609</v>
      </c>
      <c r="W914" s="29">
        <v>4257.392856503272</v>
      </c>
      <c r="X914" s="4">
        <v>-0.32620233049241493</v>
      </c>
      <c r="Y914" s="4">
        <v>-0.11618626954487588</v>
      </c>
      <c r="Z914" s="4">
        <v>-1.2500180361640674E-2</v>
      </c>
      <c r="AA914" s="3">
        <f t="shared" si="310"/>
        <v>0.34650175202805367</v>
      </c>
      <c r="AB914" s="3">
        <f t="shared" si="313"/>
        <v>1.9964905125785396E-3</v>
      </c>
      <c r="AC914" s="3">
        <f t="shared" si="311"/>
        <v>1.8676732610998552E-2</v>
      </c>
      <c r="AD914" s="48"/>
      <c r="AE914" s="46">
        <f t="shared" si="306"/>
        <v>42.092147550684658</v>
      </c>
      <c r="AF914" s="46">
        <f t="shared" si="307"/>
        <v>-248.53982201002904</v>
      </c>
      <c r="AG914" s="47">
        <f t="shared" si="308"/>
        <v>6250.1229694707945</v>
      </c>
      <c r="AH914" s="45" t="str">
        <f t="shared" si="312"/>
        <v>-248.53982,42.09215,06250</v>
      </c>
      <c r="AI914" s="44">
        <f t="shared" si="314"/>
        <v>1021.362147458211</v>
      </c>
    </row>
    <row r="915" spans="1:35" ht="18" customHeight="1" x14ac:dyDescent="0.25">
      <c r="A915" s="36">
        <f t="shared" si="309"/>
        <v>0.75005788194444445</v>
      </c>
      <c r="B915" s="42">
        <f t="shared" si="294"/>
        <v>42.092147548051599</v>
      </c>
      <c r="C915" s="43">
        <f t="shared" si="295"/>
        <v>111.46017950369938</v>
      </c>
      <c r="D915" s="18">
        <f t="shared" si="296"/>
        <v>6.2317580669832751</v>
      </c>
      <c r="E915" s="21" t="str">
        <f t="shared" si="297"/>
        <v>Umbra</v>
      </c>
      <c r="F915" s="23">
        <f>IF($E915&lt;&gt;"Umbra",fracil2($S$2,$S$3,$S$4,$A915,$Q$2,$O$3,$Q$4,$U915,$V915,$W915),0)</f>
        <v>0</v>
      </c>
      <c r="G915" s="19">
        <f t="shared" si="298"/>
        <v>69.301237955293871</v>
      </c>
      <c r="H915" s="19">
        <f t="shared" si="299"/>
        <v>-4.5108595016535418</v>
      </c>
      <c r="I915" s="19">
        <f t="shared" si="300"/>
        <v>-3.3028415522586467</v>
      </c>
      <c r="J915" s="28">
        <f t="shared" si="301"/>
        <v>4.8726058892430485E-3</v>
      </c>
      <c r="K915" s="24">
        <f t="shared" si="302"/>
        <v>1048.3229035309455</v>
      </c>
      <c r="L915" s="32">
        <f t="shared" si="303"/>
        <v>0.56132918136612253</v>
      </c>
      <c r="M915" s="35">
        <f t="shared" si="304"/>
        <v>13.026268112220578</v>
      </c>
      <c r="O915" s="29">
        <f t="shared" si="305"/>
        <v>1046.5856349974399</v>
      </c>
      <c r="T915" s="48">
        <v>0.75005788194444445</v>
      </c>
      <c r="U915" s="29">
        <v>-1412.4537647212644</v>
      </c>
      <c r="V915" s="29">
        <v>4529.6565871231332</v>
      </c>
      <c r="W915" s="29">
        <v>4257.3805458335082</v>
      </c>
      <c r="X915" s="4">
        <v>-0.3261972812661092</v>
      </c>
      <c r="Y915" s="4">
        <v>-0.11619575697458032</v>
      </c>
      <c r="Z915" s="4">
        <v>-1.2487261288242792E-2</v>
      </c>
      <c r="AA915" s="3">
        <f t="shared" si="310"/>
        <v>0.34649971419725262</v>
      </c>
      <c r="AB915" s="3">
        <f t="shared" si="313"/>
        <v>1.9922246017763791E-3</v>
      </c>
      <c r="AC915" s="3">
        <f t="shared" si="311"/>
        <v>1.8657489892870152E-2</v>
      </c>
      <c r="AD915" s="48"/>
      <c r="AE915" s="46">
        <f t="shared" si="306"/>
        <v>42.092147548051599</v>
      </c>
      <c r="AF915" s="46">
        <f t="shared" si="307"/>
        <v>-248.53982049630062</v>
      </c>
      <c r="AG915" s="47">
        <f t="shared" si="308"/>
        <v>6231.7580669832751</v>
      </c>
      <c r="AH915" s="45" t="str">
        <f t="shared" si="312"/>
        <v>-248.53982,42.09215,06232</v>
      </c>
      <c r="AI915" s="44">
        <f t="shared" si="314"/>
        <v>1021.362281716996</v>
      </c>
    </row>
    <row r="916" spans="1:35" ht="18" customHeight="1" x14ac:dyDescent="0.25">
      <c r="A916" s="36">
        <f t="shared" si="309"/>
        <v>0.75006953703703705</v>
      </c>
      <c r="B916" s="42">
        <f t="shared" si="294"/>
        <v>42.092147545364881</v>
      </c>
      <c r="C916" s="43">
        <f t="shared" si="295"/>
        <v>111.46018008357933</v>
      </c>
      <c r="D916" s="18">
        <f t="shared" si="296"/>
        <v>6.2130068939150078</v>
      </c>
      <c r="E916" s="21" t="str">
        <f t="shared" si="297"/>
        <v>Umbra</v>
      </c>
      <c r="F916" s="23">
        <f>IF($E916&lt;&gt;"Umbra",fracil2($S$2,$S$3,$S$4,$A916,$Q$2,$O$3,$Q$4,$U916,$V916,$W916),0)</f>
        <v>0</v>
      </c>
      <c r="G916" s="19">
        <f t="shared" si="298"/>
        <v>69.30124190440992</v>
      </c>
      <c r="H916" s="19">
        <f t="shared" si="299"/>
        <v>-4.5118807074028391</v>
      </c>
      <c r="I916" s="19">
        <f t="shared" si="300"/>
        <v>-3.303862758007944</v>
      </c>
      <c r="J916" s="28">
        <f t="shared" si="301"/>
        <v>4.8717321845003787E-3</v>
      </c>
      <c r="K916" s="24">
        <f t="shared" si="302"/>
        <v>1048.3213265650609</v>
      </c>
      <c r="L916" s="32">
        <f t="shared" si="303"/>
        <v>0.56134303119776818</v>
      </c>
      <c r="M916" s="35">
        <f t="shared" si="304"/>
        <v>13.025579216689351</v>
      </c>
      <c r="O916" s="29">
        <f t="shared" si="305"/>
        <v>1046.5856815545117</v>
      </c>
      <c r="T916" s="48">
        <v>0.75006953703703705</v>
      </c>
      <c r="U916" s="29">
        <v>-1412.7822835982017</v>
      </c>
      <c r="V916" s="29">
        <v>4529.5395585579181</v>
      </c>
      <c r="W916" s="29">
        <v>4257.3679762325073</v>
      </c>
      <c r="X916" s="4">
        <v>-0.32619210845552987</v>
      </c>
      <c r="Y916" s="4">
        <v>-0.11620549715400501</v>
      </c>
      <c r="Z916" s="4">
        <v>-1.2474097281928321E-2</v>
      </c>
      <c r="AA916" s="3">
        <f t="shared" si="310"/>
        <v>0.34649763677472989</v>
      </c>
      <c r="AB916" s="3">
        <f t="shared" si="313"/>
        <v>1.9856393947442117E-3</v>
      </c>
      <c r="AC916" s="3">
        <f t="shared" si="311"/>
        <v>1.8637882414705945E-2</v>
      </c>
      <c r="AD916" s="48"/>
      <c r="AE916" s="46">
        <f t="shared" si="306"/>
        <v>42.092147545364881</v>
      </c>
      <c r="AF916" s="46">
        <f t="shared" si="307"/>
        <v>-248.53981991642067</v>
      </c>
      <c r="AG916" s="47">
        <f t="shared" si="308"/>
        <v>6213.0068939150078</v>
      </c>
      <c r="AH916" s="45" t="str">
        <f t="shared" si="312"/>
        <v>-248.53982,42.09215,06213</v>
      </c>
      <c r="AI916" s="44">
        <f t="shared" si="314"/>
        <v>1021.362281716996</v>
      </c>
    </row>
    <row r="917" spans="1:35" ht="18" customHeight="1" x14ac:dyDescent="0.25">
      <c r="A917" s="36">
        <f t="shared" si="309"/>
        <v>0.75008104166666667</v>
      </c>
      <c r="B917" s="42">
        <f t="shared" si="294"/>
        <v>42.092147542718834</v>
      </c>
      <c r="C917" s="43">
        <f t="shared" si="295"/>
        <v>111.46017813986923</v>
      </c>
      <c r="D917" s="18">
        <f t="shared" si="296"/>
        <v>6.1945283549011947</v>
      </c>
      <c r="E917" s="21" t="str">
        <f t="shared" si="297"/>
        <v>Umbra</v>
      </c>
      <c r="F917" s="23">
        <f>IF($E917&lt;&gt;"Umbra",fracil2($S$2,$S$3,$S$4,$A917,$Q$2,$O$3,$Q$4,$U917,$V917,$W917),0)</f>
        <v>0</v>
      </c>
      <c r="G917" s="19">
        <f t="shared" si="298"/>
        <v>69.301243236379236</v>
      </c>
      <c r="H917" s="19">
        <f t="shared" si="299"/>
        <v>-4.5128861162663343</v>
      </c>
      <c r="I917" s="19">
        <f t="shared" si="300"/>
        <v>-3.3048681668714393</v>
      </c>
      <c r="J917" s="28">
        <f t="shared" si="301"/>
        <v>4.8708728997021175E-3</v>
      </c>
      <c r="K917" s="24">
        <f t="shared" si="302"/>
        <v>1048.3195706186843</v>
      </c>
      <c r="L917" s="32">
        <f t="shared" si="303"/>
        <v>0.56135670155568973</v>
      </c>
      <c r="M917" s="35">
        <f t="shared" si="304"/>
        <v>13.024902861213793</v>
      </c>
      <c r="O917" s="29">
        <f t="shared" si="305"/>
        <v>1046.5855252075992</v>
      </c>
      <c r="T917" s="48">
        <v>0.75008104166666667</v>
      </c>
      <c r="U917" s="29">
        <v>-1413.106359878612</v>
      </c>
      <c r="V917" s="29">
        <v>4529.424101131397</v>
      </c>
      <c r="W917" s="29">
        <v>4257.3555893882749</v>
      </c>
      <c r="X917" s="4">
        <v>-0.32618699489285768</v>
      </c>
      <c r="Y917" s="4">
        <v>-0.11621514435399256</v>
      </c>
      <c r="Z917" s="4">
        <v>-1.2461147423566171E-2</v>
      </c>
      <c r="AA917" s="3">
        <f t="shared" si="310"/>
        <v>0.34649559248216183</v>
      </c>
      <c r="AB917" s="3">
        <f t="shared" si="313"/>
        <v>1.9788779084218733E-3</v>
      </c>
      <c r="AC917" s="3">
        <f t="shared" si="311"/>
        <v>1.8618593967196593E-2</v>
      </c>
      <c r="AD917" s="48"/>
      <c r="AE917" s="46">
        <f t="shared" si="306"/>
        <v>42.092147542718834</v>
      </c>
      <c r="AF917" s="46">
        <f t="shared" si="307"/>
        <v>-248.53982186013076</v>
      </c>
      <c r="AG917" s="47">
        <f t="shared" si="308"/>
        <v>6194.5283549011947</v>
      </c>
      <c r="AH917" s="45" t="str">
        <f t="shared" si="312"/>
        <v>-248.53982,42.09215,06195</v>
      </c>
      <c r="AI917" s="44">
        <f t="shared" si="314"/>
        <v>1021.3624461497553</v>
      </c>
    </row>
    <row r="918" spans="1:35" ht="18" customHeight="1" x14ac:dyDescent="0.25">
      <c r="A918" s="36">
        <f t="shared" si="309"/>
        <v>0.75009259259259264</v>
      </c>
      <c r="B918" s="42">
        <f t="shared" si="294"/>
        <v>42.092147540064161</v>
      </c>
      <c r="C918" s="43">
        <f t="shared" si="295"/>
        <v>111.46018008808824</v>
      </c>
      <c r="D918" s="18">
        <f t="shared" si="296"/>
        <v>6.1759774018264579</v>
      </c>
      <c r="E918" s="21" t="str">
        <f t="shared" si="297"/>
        <v>Umbra</v>
      </c>
      <c r="F918" s="23">
        <f>IF($E918&lt;&gt;"Umbra",fracil2($S$2,$S$3,$S$4,$A918,$Q$2,$O$3,$Q$4,$U918,$V918,$W918),0)</f>
        <v>0</v>
      </c>
      <c r="G918" s="19">
        <f t="shared" si="298"/>
        <v>69.301248542239321</v>
      </c>
      <c r="H918" s="19">
        <f t="shared" si="299"/>
        <v>-4.513896944222715</v>
      </c>
      <c r="I918" s="19">
        <f t="shared" si="300"/>
        <v>-3.30587899482782</v>
      </c>
      <c r="J918" s="28">
        <f t="shared" si="301"/>
        <v>4.8700118624299292E-3</v>
      </c>
      <c r="K918" s="24">
        <f t="shared" si="302"/>
        <v>1048.3181216641472</v>
      </c>
      <c r="L918" s="32">
        <f t="shared" si="303"/>
        <v>0.5613704222831285</v>
      </c>
      <c r="M918" s="35">
        <f t="shared" si="304"/>
        <v>13.024219920804638</v>
      </c>
      <c r="O918" s="29">
        <f t="shared" si="305"/>
        <v>1046.5856817844503</v>
      </c>
      <c r="T918" s="48">
        <v>0.75009259259259264</v>
      </c>
      <c r="U918" s="29">
        <v>-1413.4320396292244</v>
      </c>
      <c r="V918" s="29">
        <v>4529.3080609397675</v>
      </c>
      <c r="W918" s="29">
        <v>4257.3431540023785</v>
      </c>
      <c r="X918" s="4">
        <v>-0.32618184435804315</v>
      </c>
      <c r="Y918" s="4">
        <v>-0.11622488108777623</v>
      </c>
      <c r="Z918" s="4">
        <v>-1.2448172521578505E-2</v>
      </c>
      <c r="AA918" s="3">
        <f t="shared" si="310"/>
        <v>0.34649354333350774</v>
      </c>
      <c r="AB918" s="3">
        <f t="shared" si="313"/>
        <v>1.9747517673814486E-3</v>
      </c>
      <c r="AC918" s="3">
        <f t="shared" si="311"/>
        <v>1.8599268280197232E-2</v>
      </c>
      <c r="AD918" s="48"/>
      <c r="AE918" s="46">
        <f t="shared" si="306"/>
        <v>42.092147540064161</v>
      </c>
      <c r="AF918" s="46">
        <f t="shared" si="307"/>
        <v>-248.53981991191176</v>
      </c>
      <c r="AG918" s="47">
        <f t="shared" si="308"/>
        <v>6175.9774018264579</v>
      </c>
      <c r="AH918" s="45" t="str">
        <f t="shared" si="312"/>
        <v>-248.53982,42.09215,06176</v>
      </c>
      <c r="AI918" s="44">
        <f t="shared" si="314"/>
        <v>1021.3625804085403</v>
      </c>
    </row>
    <row r="919" spans="1:35" ht="18" customHeight="1" x14ac:dyDescent="0.25">
      <c r="A919" s="36">
        <f t="shared" si="309"/>
        <v>0.75010420138888889</v>
      </c>
      <c r="B919" s="42">
        <f t="shared" si="294"/>
        <v>42.092147537402511</v>
      </c>
      <c r="C919" s="43">
        <f t="shared" si="295"/>
        <v>111.46017902963632</v>
      </c>
      <c r="D919" s="18">
        <f t="shared" si="296"/>
        <v>6.1573663449707965</v>
      </c>
      <c r="E919" s="21" t="str">
        <f t="shared" si="297"/>
        <v>Umbra</v>
      </c>
      <c r="F919" s="23">
        <f>IF($E919&lt;&gt;"Umbra",fracil2($S$2,$S$3,$S$4,$A919,$Q$2,$O$3,$Q$4,$U919,$V919,$W919),0)</f>
        <v>0</v>
      </c>
      <c r="G919" s="19">
        <f t="shared" si="298"/>
        <v>69.301250798914907</v>
      </c>
      <c r="H919" s="19">
        <f t="shared" si="299"/>
        <v>-4.5149099100427481</v>
      </c>
      <c r="I919" s="19">
        <f t="shared" si="300"/>
        <v>-3.3068919606478531</v>
      </c>
      <c r="J919" s="28">
        <f t="shared" si="301"/>
        <v>4.8691498481648046E-3</v>
      </c>
      <c r="K919" s="24">
        <f t="shared" si="302"/>
        <v>1048.3164260801304</v>
      </c>
      <c r="L919" s="32">
        <f t="shared" si="303"/>
        <v>0.56138421137908501</v>
      </c>
      <c r="M919" s="35">
        <f t="shared" si="304"/>
        <v>13.023537792494231</v>
      </c>
      <c r="O919" s="29">
        <f t="shared" si="305"/>
        <v>1046.5855966148426</v>
      </c>
      <c r="T919" s="48">
        <v>0.75010420138888889</v>
      </c>
      <c r="U919" s="29">
        <v>-1413.7591103782424</v>
      </c>
      <c r="V919" s="29">
        <v>4529.1915134842075</v>
      </c>
      <c r="W919" s="29">
        <v>4257.3306783268445</v>
      </c>
      <c r="X919" s="4">
        <v>-0.32617666074877916</v>
      </c>
      <c r="Y919" s="4">
        <v>-0.11623469929617226</v>
      </c>
      <c r="Z919" s="4">
        <v>-1.2435179420790993E-2</v>
      </c>
      <c r="AA919" s="3">
        <f t="shared" si="310"/>
        <v>0.34649149055196582</v>
      </c>
      <c r="AB919" s="3">
        <f t="shared" si="313"/>
        <v>1.9676571775193536E-3</v>
      </c>
      <c r="AC919" s="3">
        <f t="shared" si="311"/>
        <v>1.8579915549375711E-2</v>
      </c>
      <c r="AD919" s="48"/>
      <c r="AE919" s="46">
        <f t="shared" si="306"/>
        <v>42.092147537402511</v>
      </c>
      <c r="AF919" s="46">
        <f t="shared" si="307"/>
        <v>-248.53982097036368</v>
      </c>
      <c r="AG919" s="47">
        <f t="shared" si="308"/>
        <v>6157.3663449707965</v>
      </c>
      <c r="AH919" s="45" t="str">
        <f t="shared" si="312"/>
        <v>-248.53982,42.09215,06157</v>
      </c>
      <c r="AI919" s="44">
        <f t="shared" si="314"/>
        <v>1021.3627146673253</v>
      </c>
    </row>
    <row r="920" spans="1:35" ht="18" customHeight="1" x14ac:dyDescent="0.25">
      <c r="A920" s="36">
        <f t="shared" si="309"/>
        <v>0.75011572916666669</v>
      </c>
      <c r="B920" s="42">
        <f t="shared" si="294"/>
        <v>42.092147534763626</v>
      </c>
      <c r="C920" s="43">
        <f t="shared" si="295"/>
        <v>111.4601784753291</v>
      </c>
      <c r="D920" s="18">
        <f t="shared" si="296"/>
        <v>6.1389021760605829</v>
      </c>
      <c r="E920" s="21" t="str">
        <f t="shared" si="297"/>
        <v>Umbra</v>
      </c>
      <c r="F920" s="23">
        <f>IF($E920&lt;&gt;"Umbra",fracil2($S$2,$S$3,$S$4,$A920,$Q$2,$O$3,$Q$4,$U920,$V920,$W920),0)</f>
        <v>0</v>
      </c>
      <c r="G920" s="19">
        <f t="shared" si="298"/>
        <v>69.301253542366808</v>
      </c>
      <c r="H920" s="19">
        <f t="shared" si="299"/>
        <v>-4.5159150718029109</v>
      </c>
      <c r="I920" s="19">
        <f t="shared" si="300"/>
        <v>-3.3078971224080158</v>
      </c>
      <c r="J920" s="28">
        <f t="shared" si="301"/>
        <v>4.8682963168884983E-3</v>
      </c>
      <c r="K920" s="24">
        <f t="shared" si="302"/>
        <v>1048.3147840673882</v>
      </c>
      <c r="L920" s="32">
        <f t="shared" si="303"/>
        <v>0.56139790171546344</v>
      </c>
      <c r="M920" s="35">
        <f t="shared" si="304"/>
        <v>13.022860540282167</v>
      </c>
      <c r="O920" s="29">
        <f t="shared" si="305"/>
        <v>1046.585551980701</v>
      </c>
      <c r="T920" s="48">
        <v>0.75011572916666669</v>
      </c>
      <c r="U920" s="29">
        <v>-1414.0839321191502</v>
      </c>
      <c r="V920" s="29">
        <v>4529.0757558341693</v>
      </c>
      <c r="W920" s="29">
        <v>4257.3183011158471</v>
      </c>
      <c r="X920" s="4">
        <v>-0.32617150158639069</v>
      </c>
      <c r="Y920" s="4">
        <v>-0.11624449019106964</v>
      </c>
      <c r="Z920" s="4">
        <v>-1.242231318120017E-2</v>
      </c>
      <c r="AA920" s="3">
        <f t="shared" si="310"/>
        <v>0.34648945699930661</v>
      </c>
      <c r="AB920" s="3">
        <f t="shared" si="313"/>
        <v>1.9621330339377159E-3</v>
      </c>
      <c r="AC920" s="3">
        <f t="shared" si="311"/>
        <v>1.8560751835551007E-2</v>
      </c>
      <c r="AD920" s="48"/>
      <c r="AE920" s="46">
        <f t="shared" si="306"/>
        <v>42.092147534763626</v>
      </c>
      <c r="AF920" s="46">
        <f t="shared" si="307"/>
        <v>-248.53982152467091</v>
      </c>
      <c r="AG920" s="47">
        <f t="shared" si="308"/>
        <v>6138.9021760605829</v>
      </c>
      <c r="AH920" s="45" t="str">
        <f t="shared" si="312"/>
        <v>-248.53982,42.09215,06139</v>
      </c>
      <c r="AI920" s="44">
        <f t="shared" si="314"/>
        <v>1021.3627146673253</v>
      </c>
    </row>
    <row r="921" spans="1:35" ht="18" customHeight="1" x14ac:dyDescent="0.25">
      <c r="A921" s="36">
        <f t="shared" si="309"/>
        <v>0.7501273263888889</v>
      </c>
      <c r="B921" s="42">
        <f t="shared" si="294"/>
        <v>42.092147532112982</v>
      </c>
      <c r="C921" s="43">
        <f t="shared" si="295"/>
        <v>111.46017833173978</v>
      </c>
      <c r="D921" s="18">
        <f t="shared" si="296"/>
        <v>6.1203442009182254</v>
      </c>
      <c r="E921" s="21" t="str">
        <f t="shared" si="297"/>
        <v>Umbra</v>
      </c>
      <c r="F921" s="23">
        <f>IF($E921&lt;&gt;"Umbra",fracil2($S$2,$S$3,$S$4,$A921,$Q$2,$O$3,$Q$4,$U921,$V921,$W921),0)</f>
        <v>0</v>
      </c>
      <c r="G921" s="19">
        <f t="shared" si="298"/>
        <v>69.301256720629567</v>
      </c>
      <c r="H921" s="19">
        <f t="shared" si="299"/>
        <v>-4.5169254998029773</v>
      </c>
      <c r="I921" s="19">
        <f t="shared" si="300"/>
        <v>-3.3089075504080823</v>
      </c>
      <c r="J921" s="28">
        <f t="shared" si="301"/>
        <v>4.8674401530581328E-3</v>
      </c>
      <c r="K921" s="24">
        <f t="shared" si="302"/>
        <v>1048.3131672884228</v>
      </c>
      <c r="L921" s="32">
        <f t="shared" si="303"/>
        <v>0.56141167204374576</v>
      </c>
      <c r="M921" s="35">
        <f t="shared" si="304"/>
        <v>13.022179422564131</v>
      </c>
      <c r="O921" s="29">
        <f t="shared" si="305"/>
        <v>1046.5855403693411</v>
      </c>
      <c r="T921" s="48">
        <v>0.7501273263888889</v>
      </c>
      <c r="U921" s="29">
        <v>-1414.4107377595092</v>
      </c>
      <c r="V921" s="29">
        <v>4528.9592794663022</v>
      </c>
      <c r="W921" s="29">
        <v>4257.305861023221</v>
      </c>
      <c r="X921" s="4">
        <v>-0.32616629960751259</v>
      </c>
      <c r="Y921" s="4">
        <v>-0.11625438141746477</v>
      </c>
      <c r="Z921" s="4">
        <v>-1.240940619190857E-2</v>
      </c>
      <c r="AA921" s="3">
        <f t="shared" si="310"/>
        <v>0.34648741616464346</v>
      </c>
      <c r="AB921" s="3">
        <f t="shared" si="313"/>
        <v>1.956554615697216E-3</v>
      </c>
      <c r="AC921" s="3">
        <f t="shared" si="311"/>
        <v>1.8541527489040369E-2</v>
      </c>
      <c r="AD921" s="48"/>
      <c r="AE921" s="46">
        <f t="shared" si="306"/>
        <v>42.092147532112982</v>
      </c>
      <c r="AF921" s="46">
        <f t="shared" si="307"/>
        <v>-248.53982166826023</v>
      </c>
      <c r="AG921" s="47">
        <f t="shared" si="308"/>
        <v>6120.3442009182254</v>
      </c>
      <c r="AH921" s="45" t="str">
        <f t="shared" si="312"/>
        <v>-248.53982,42.09215,06120</v>
      </c>
      <c r="AI921" s="44">
        <f t="shared" si="314"/>
        <v>1021.3627146673253</v>
      </c>
    </row>
    <row r="922" spans="1:35" ht="18" customHeight="1" x14ac:dyDescent="0.25">
      <c r="A922" s="36">
        <f t="shared" si="309"/>
        <v>0.75013890046296294</v>
      </c>
      <c r="B922" s="42">
        <f t="shared" si="294"/>
        <v>42.092147529471795</v>
      </c>
      <c r="C922" s="43">
        <f t="shared" si="295"/>
        <v>111.46017851445873</v>
      </c>
      <c r="D922" s="18">
        <f t="shared" si="296"/>
        <v>6.1018410284141282</v>
      </c>
      <c r="E922" s="21" t="str">
        <f t="shared" si="297"/>
        <v>Umbra</v>
      </c>
      <c r="F922" s="23">
        <f>IF($E922&lt;&gt;"Umbra",fracil2($S$2,$S$3,$S$4,$A922,$Q$2,$O$3,$Q$4,$U922,$V922,$W922),0)</f>
        <v>0</v>
      </c>
      <c r="G922" s="19">
        <f t="shared" si="298"/>
        <v>69.301260221176435</v>
      </c>
      <c r="H922" s="19">
        <f t="shared" si="299"/>
        <v>-4.5179330702821687</v>
      </c>
      <c r="I922" s="19">
        <f t="shared" si="300"/>
        <v>-3.3099151208872737</v>
      </c>
      <c r="J922" s="28">
        <f t="shared" si="301"/>
        <v>4.8665882853559132E-3</v>
      </c>
      <c r="K922" s="24">
        <f t="shared" si="302"/>
        <v>1048.3115818115377</v>
      </c>
      <c r="L922" s="32">
        <f t="shared" si="303"/>
        <v>0.56142541246701227</v>
      </c>
      <c r="M922" s="35">
        <f t="shared" si="304"/>
        <v>13.021499979760899</v>
      </c>
      <c r="O922" s="29">
        <f t="shared" si="305"/>
        <v>1046.585554994489</v>
      </c>
      <c r="T922" s="48">
        <v>0.75013890046296294</v>
      </c>
      <c r="U922" s="29">
        <v>-1414.736911349348</v>
      </c>
      <c r="V922" s="29">
        <v>4528.8430166090029</v>
      </c>
      <c r="W922" s="29">
        <v>4257.2934576669531</v>
      </c>
      <c r="X922" s="4">
        <v>-0.32616109609621946</v>
      </c>
      <c r="Y922" s="4">
        <v>-0.11626429492544069</v>
      </c>
      <c r="Z922" s="4">
        <v>-1.2396562832346438E-2</v>
      </c>
      <c r="AA922" s="3">
        <f t="shared" si="310"/>
        <v>0.34648538446989863</v>
      </c>
      <c r="AB922" s="3">
        <f t="shared" si="313"/>
        <v>1.9507965473825714E-3</v>
      </c>
      <c r="AC922" s="3">
        <f t="shared" si="311"/>
        <v>1.8522397978096794E-2</v>
      </c>
      <c r="AD922" s="48"/>
      <c r="AE922" s="46">
        <f t="shared" si="306"/>
        <v>42.092147529471795</v>
      </c>
      <c r="AF922" s="46">
        <f t="shared" si="307"/>
        <v>-248.53982148554127</v>
      </c>
      <c r="AG922" s="47">
        <f t="shared" si="308"/>
        <v>6101.8410284141282</v>
      </c>
      <c r="AH922" s="45" t="str">
        <f t="shared" si="312"/>
        <v>-248.53982,42.09215,06102</v>
      </c>
      <c r="AI922" s="44">
        <f t="shared" si="314"/>
        <v>1021.3627146673253</v>
      </c>
    </row>
    <row r="923" spans="1:35" ht="18" customHeight="1" x14ac:dyDescent="0.25">
      <c r="A923" s="36">
        <f t="shared" si="309"/>
        <v>0.75015055555555554</v>
      </c>
      <c r="B923" s="42">
        <f t="shared" si="294"/>
        <v>42.092147526816404</v>
      </c>
      <c r="C923" s="43">
        <f t="shared" si="295"/>
        <v>111.46017879703844</v>
      </c>
      <c r="D923" s="18">
        <f t="shared" si="296"/>
        <v>6.0832272290690526</v>
      </c>
      <c r="E923" s="21" t="str">
        <f t="shared" si="297"/>
        <v>Umbra</v>
      </c>
      <c r="F923" s="23">
        <f>IF($E923&lt;&gt;"Umbra",fracil2($S$2,$S$3,$S$4,$A923,$Q$2,$O$3,$Q$4,$U923,$V923,$W923),0)</f>
        <v>0</v>
      </c>
      <c r="G923" s="19">
        <f t="shared" si="298"/>
        <v>69.301263843180749</v>
      </c>
      <c r="H923" s="19">
        <f t="shared" si="299"/>
        <v>-4.5189467052402579</v>
      </c>
      <c r="I923" s="19">
        <f t="shared" si="300"/>
        <v>-3.3109287558453628</v>
      </c>
      <c r="J923" s="28">
        <f t="shared" si="301"/>
        <v>4.8657331699227457E-3</v>
      </c>
      <c r="K923" s="24">
        <f t="shared" si="302"/>
        <v>1048.3099951239715</v>
      </c>
      <c r="L923" s="32">
        <f t="shared" si="303"/>
        <v>0.5614392467806677</v>
      </c>
      <c r="M923" s="35">
        <f t="shared" si="304"/>
        <v>13.020816366811015</v>
      </c>
      <c r="O923" s="29">
        <f t="shared" si="305"/>
        <v>1046.5855776484102</v>
      </c>
      <c r="T923" s="48">
        <v>0.75015055555555554</v>
      </c>
      <c r="U923" s="29">
        <v>-1415.0653705939415</v>
      </c>
      <c r="V923" s="29">
        <v>4528.7259271258554</v>
      </c>
      <c r="W923" s="29">
        <v>4257.2809801535832</v>
      </c>
      <c r="X923" s="4">
        <v>-0.32615584417935939</v>
      </c>
      <c r="Y923" s="4">
        <v>-0.11627432042950055</v>
      </c>
      <c r="Z923" s="4">
        <v>-1.2383669193973171E-2</v>
      </c>
      <c r="AA923" s="3">
        <f t="shared" si="310"/>
        <v>0.34648334382246787</v>
      </c>
      <c r="AB923" s="3">
        <f t="shared" si="313"/>
        <v>1.9448133985780131E-3</v>
      </c>
      <c r="AC923" s="3">
        <f t="shared" si="311"/>
        <v>1.8503193642029021E-2</v>
      </c>
      <c r="AD923" s="48"/>
      <c r="AE923" s="46">
        <f t="shared" si="306"/>
        <v>42.092147526816404</v>
      </c>
      <c r="AF923" s="46">
        <f t="shared" si="307"/>
        <v>-248.53982120296155</v>
      </c>
      <c r="AG923" s="47">
        <f t="shared" si="308"/>
        <v>6083.2272290690526</v>
      </c>
      <c r="AH923" s="45" t="str">
        <f t="shared" si="312"/>
        <v>-248.53982,42.09215,06083</v>
      </c>
      <c r="AI923" s="44">
        <f t="shared" si="314"/>
        <v>1021.3627146673253</v>
      </c>
    </row>
    <row r="924" spans="1:35" ht="18" customHeight="1" x14ac:dyDescent="0.25">
      <c r="A924" s="36">
        <f t="shared" si="309"/>
        <v>0.75016204861111113</v>
      </c>
      <c r="B924" s="42">
        <f t="shared" si="294"/>
        <v>42.092147524200996</v>
      </c>
      <c r="C924" s="43">
        <f t="shared" si="295"/>
        <v>111.46018123702849</v>
      </c>
      <c r="D924" s="18">
        <f t="shared" si="296"/>
        <v>6.0648816053881092</v>
      </c>
      <c r="E924" s="21" t="str">
        <f t="shared" si="297"/>
        <v>Umbra</v>
      </c>
      <c r="F924" s="23">
        <f>IF($E924&lt;&gt;"Umbra",fracil2($S$2,$S$3,$S$4,$A924,$Q$2,$O$3,$Q$4,$U924,$V924,$W924),0)</f>
        <v>0</v>
      </c>
      <c r="G924" s="19">
        <f t="shared" si="298"/>
        <v>69.301269612798251</v>
      </c>
      <c r="H924" s="19">
        <f t="shared" si="299"/>
        <v>-4.5199465563471435</v>
      </c>
      <c r="I924" s="19">
        <f t="shared" si="300"/>
        <v>-3.3119286069522484</v>
      </c>
      <c r="J924" s="28">
        <f t="shared" si="301"/>
        <v>4.8648918884017719E-3</v>
      </c>
      <c r="K924" s="24">
        <f t="shared" si="302"/>
        <v>1048.308605412295</v>
      </c>
      <c r="L924" s="32">
        <f t="shared" si="303"/>
        <v>0.56145288522525127</v>
      </c>
      <c r="M924" s="35">
        <f t="shared" si="304"/>
        <v>13.020140419296736</v>
      </c>
      <c r="O924" s="29">
        <f t="shared" si="305"/>
        <v>1046.5857737662718</v>
      </c>
      <c r="T924" s="48">
        <v>0.75016204861111113</v>
      </c>
      <c r="U924" s="29">
        <v>-1415.3894269151638</v>
      </c>
      <c r="V924" s="29">
        <v>4528.610395438147</v>
      </c>
      <c r="W924" s="29">
        <v>4257.2686824083521</v>
      </c>
      <c r="X924" s="4">
        <v>-0.32615065193331089</v>
      </c>
      <c r="Y924" s="4">
        <v>-0.11628425007493093</v>
      </c>
      <c r="Z924" s="4">
        <v>-1.2370984342042949E-2</v>
      </c>
      <c r="AA924" s="3">
        <f t="shared" si="310"/>
        <v>0.34648133546499132</v>
      </c>
      <c r="AB924" s="3">
        <f t="shared" si="313"/>
        <v>1.9402900972973589E-3</v>
      </c>
      <c r="AC924" s="3">
        <f t="shared" si="311"/>
        <v>1.8484300342727727E-2</v>
      </c>
      <c r="AD924" s="48"/>
      <c r="AE924" s="46">
        <f t="shared" si="306"/>
        <v>42.092147524200996</v>
      </c>
      <c r="AF924" s="46">
        <f t="shared" si="307"/>
        <v>-248.53981876297149</v>
      </c>
      <c r="AG924" s="47">
        <f t="shared" si="308"/>
        <v>6064.8816053881092</v>
      </c>
      <c r="AH924" s="45" t="str">
        <f t="shared" si="312"/>
        <v>-248.53982,42.09215,06065</v>
      </c>
      <c r="AI924" s="44">
        <f t="shared" si="314"/>
        <v>1021.3629045379213</v>
      </c>
    </row>
    <row r="925" spans="1:35" ht="18" customHeight="1" x14ac:dyDescent="0.25">
      <c r="A925" s="36">
        <f t="shared" si="309"/>
        <v>0.75017370370370362</v>
      </c>
      <c r="B925" s="42">
        <f t="shared" si="294"/>
        <v>42.092147521556129</v>
      </c>
      <c r="C925" s="43">
        <f t="shared" si="295"/>
        <v>111.46017880633086</v>
      </c>
      <c r="D925" s="18">
        <f t="shared" si="296"/>
        <v>6.0463181480008643</v>
      </c>
      <c r="E925" s="21" t="str">
        <f t="shared" si="297"/>
        <v>Umbra</v>
      </c>
      <c r="F925" s="23">
        <f>IF($E925&lt;&gt;"Umbra",fracil2($S$2,$S$3,$S$4,$A925,$Q$2,$O$3,$Q$4,$U925,$V925,$W925),0)</f>
        <v>0</v>
      </c>
      <c r="G925" s="19">
        <f t="shared" si="298"/>
        <v>69.301270464440378</v>
      </c>
      <c r="H925" s="19">
        <f t="shared" si="299"/>
        <v>-4.5209564307764856</v>
      </c>
      <c r="I925" s="19">
        <f t="shared" si="300"/>
        <v>-3.3129384813815905</v>
      </c>
      <c r="J925" s="28">
        <f t="shared" si="301"/>
        <v>4.8640425369406316E-3</v>
      </c>
      <c r="K925" s="24">
        <f t="shared" si="302"/>
        <v>1048.3068055642846</v>
      </c>
      <c r="L925" s="32">
        <f t="shared" si="303"/>
        <v>0.56146671680534221</v>
      </c>
      <c r="M925" s="35">
        <f t="shared" si="304"/>
        <v>13.019461368210772</v>
      </c>
      <c r="O925" s="29">
        <f t="shared" si="305"/>
        <v>1046.5855782639803</v>
      </c>
      <c r="T925" s="48">
        <v>0.75017370370370362</v>
      </c>
      <c r="U925" s="29">
        <v>-1415.7176638486374</v>
      </c>
      <c r="V925" s="29">
        <v>4528.4933613351022</v>
      </c>
      <c r="W925" s="29">
        <v>4257.2562386413238</v>
      </c>
      <c r="X925" s="4">
        <v>-0.32614538155803546</v>
      </c>
      <c r="Y925" s="4">
        <v>-0.11629434769233635</v>
      </c>
      <c r="Z925" s="4">
        <v>-1.2358173058207919E-2</v>
      </c>
      <c r="AA925" s="3">
        <f t="shared" si="310"/>
        <v>0.34647930624809209</v>
      </c>
      <c r="AB925" s="3">
        <f t="shared" si="313"/>
        <v>1.9323789015199451E-3</v>
      </c>
      <c r="AC925" s="3">
        <f t="shared" si="311"/>
        <v>1.8465218792867034E-2</v>
      </c>
      <c r="AD925" s="48"/>
      <c r="AE925" s="46">
        <f t="shared" si="306"/>
        <v>42.092147521556129</v>
      </c>
      <c r="AF925" s="46">
        <f t="shared" si="307"/>
        <v>-248.53982119366913</v>
      </c>
      <c r="AG925" s="47">
        <f t="shared" si="308"/>
        <v>6046.3181480008643</v>
      </c>
      <c r="AH925" s="45" t="str">
        <f t="shared" si="312"/>
        <v>-248.53982,42.09215,06046</v>
      </c>
      <c r="AI925" s="44">
        <f t="shared" si="314"/>
        <v>1021.3631168197013</v>
      </c>
    </row>
    <row r="926" spans="1:35" ht="18" customHeight="1" x14ac:dyDescent="0.25">
      <c r="A926" s="36">
        <f t="shared" si="309"/>
        <v>0.75018531250000009</v>
      </c>
      <c r="B926" s="42">
        <f t="shared" si="294"/>
        <v>42.092147518924747</v>
      </c>
      <c r="C926" s="43">
        <f t="shared" si="295"/>
        <v>111.46017868998484</v>
      </c>
      <c r="D926" s="18">
        <f t="shared" si="296"/>
        <v>6.0278373604851367</v>
      </c>
      <c r="E926" s="21" t="str">
        <f t="shared" si="297"/>
        <v>Umbra</v>
      </c>
      <c r="F926" s="23">
        <f>IF($E926&lt;&gt;"Umbra",fracil2($S$2,$S$3,$S$4,$A926,$Q$2,$O$3,$Q$4,$U926,$V926,$W926),0)</f>
        <v>0</v>
      </c>
      <c r="G926" s="19">
        <f t="shared" si="298"/>
        <v>69.301273656649386</v>
      </c>
      <c r="H926" s="19">
        <f t="shared" si="299"/>
        <v>-4.5219626815922362</v>
      </c>
      <c r="I926" s="19">
        <f t="shared" si="300"/>
        <v>-3.3139447321973412</v>
      </c>
      <c r="J926" s="28">
        <f t="shared" si="301"/>
        <v>4.8631985515390601E-3</v>
      </c>
      <c r="K926" s="24">
        <f t="shared" si="302"/>
        <v>1048.3051992719772</v>
      </c>
      <c r="L926" s="32">
        <f t="shared" si="303"/>
        <v>0.56148048979955001</v>
      </c>
      <c r="M926" s="35">
        <f t="shared" si="304"/>
        <v>13.018783014485406</v>
      </c>
      <c r="O926" s="29">
        <f t="shared" si="305"/>
        <v>1046.5855688435577</v>
      </c>
      <c r="T926" s="48">
        <v>0.75018531250000009</v>
      </c>
      <c r="U926" s="29">
        <v>-1416.0447715931521</v>
      </c>
      <c r="V926" s="29">
        <v>4528.3767178350654</v>
      </c>
      <c r="W926" s="29">
        <v>4257.2438502910873</v>
      </c>
      <c r="X926" s="4">
        <v>-0.32614011818325633</v>
      </c>
      <c r="Y926" s="4">
        <v>-0.1163044503616468</v>
      </c>
      <c r="Z926" s="4">
        <v>-1.2345442985829486E-2</v>
      </c>
      <c r="AA926" s="3">
        <f t="shared" si="310"/>
        <v>0.34647728904652542</v>
      </c>
      <c r="AB926" s="3">
        <f t="shared" si="313"/>
        <v>1.9277807008437676E-3</v>
      </c>
      <c r="AC926" s="3">
        <f t="shared" si="311"/>
        <v>1.844625826386162E-2</v>
      </c>
      <c r="AD926" s="48"/>
      <c r="AE926" s="46">
        <f t="shared" si="306"/>
        <v>42.092147518924747</v>
      </c>
      <c r="AF926" s="46">
        <f t="shared" si="307"/>
        <v>-248.53982131001516</v>
      </c>
      <c r="AG926" s="47">
        <f t="shared" si="308"/>
        <v>6027.8373604851367</v>
      </c>
      <c r="AH926" s="45" t="str">
        <f t="shared" si="312"/>
        <v>-248.53982,42.09215,06028</v>
      </c>
      <c r="AI926" s="44">
        <f t="shared" si="314"/>
        <v>1021.3631168197013</v>
      </c>
    </row>
    <row r="927" spans="1:35" ht="18" customHeight="1" x14ac:dyDescent="0.25">
      <c r="A927" s="36">
        <f t="shared" si="309"/>
        <v>0.75019680555555557</v>
      </c>
      <c r="B927" s="42">
        <f t="shared" si="294"/>
        <v>42.092147516322875</v>
      </c>
      <c r="C927" s="43">
        <f t="shared" si="295"/>
        <v>111.46018024850477</v>
      </c>
      <c r="D927" s="18">
        <f t="shared" si="296"/>
        <v>6.0095521941721017</v>
      </c>
      <c r="E927" s="21" t="str">
        <f t="shared" si="297"/>
        <v>Umbra</v>
      </c>
      <c r="F927" s="23">
        <f>IF($E927&lt;&gt;"Umbra",fracil2($S$2,$S$3,$S$4,$A927,$Q$2,$O$3,$Q$4,$U927,$V927,$W927),0)</f>
        <v>0</v>
      </c>
      <c r="G927" s="19">
        <f t="shared" si="298"/>
        <v>69.301278518371575</v>
      </c>
      <c r="H927" s="19">
        <f t="shared" si="299"/>
        <v>-4.5229589163389559</v>
      </c>
      <c r="I927" s="19">
        <f t="shared" si="300"/>
        <v>-3.3149409669440608</v>
      </c>
      <c r="J927" s="28">
        <f t="shared" si="301"/>
        <v>4.8623649636215299E-3</v>
      </c>
      <c r="K927" s="24">
        <f t="shared" si="302"/>
        <v>1048.3037448695757</v>
      </c>
      <c r="L927" s="32">
        <f t="shared" si="303"/>
        <v>0.56149412226536233</v>
      </c>
      <c r="M927" s="35">
        <f t="shared" si="304"/>
        <v>13.018110148850692</v>
      </c>
      <c r="O927" s="29">
        <f t="shared" si="305"/>
        <v>1046.5856940886376</v>
      </c>
      <c r="T927" s="48">
        <v>0.75019680555555557</v>
      </c>
      <c r="U927" s="29">
        <v>-1416.3687434923288</v>
      </c>
      <c r="V927" s="29">
        <v>4528.2611806840987</v>
      </c>
      <c r="W927" s="29">
        <v>4257.231593073062</v>
      </c>
      <c r="X927" s="4">
        <v>-0.32613489492030256</v>
      </c>
      <c r="Y927" s="4">
        <v>-0.11631449335209268</v>
      </c>
      <c r="Z927" s="4">
        <v>-1.2332869622704811E-2</v>
      </c>
      <c r="AA927" s="3">
        <f t="shared" si="310"/>
        <v>0.34647529597586235</v>
      </c>
      <c r="AB927" s="3">
        <f t="shared" si="313"/>
        <v>1.9232178949381692E-3</v>
      </c>
      <c r="AC927" s="3">
        <f t="shared" si="311"/>
        <v>1.8427531202706727E-2</v>
      </c>
      <c r="AD927" s="48"/>
      <c r="AE927" s="46">
        <f t="shared" si="306"/>
        <v>42.092147516322875</v>
      </c>
      <c r="AF927" s="46">
        <f t="shared" si="307"/>
        <v>-248.53981975149523</v>
      </c>
      <c r="AG927" s="47">
        <f t="shared" si="308"/>
        <v>6009.5521941721017</v>
      </c>
      <c r="AH927" s="45" t="str">
        <f t="shared" si="312"/>
        <v>-248.53982,42.09215,06010</v>
      </c>
      <c r="AI927" s="44">
        <f t="shared" si="314"/>
        <v>1021.3632510784863</v>
      </c>
    </row>
    <row r="928" spans="1:35" ht="18" customHeight="1" x14ac:dyDescent="0.25">
      <c r="A928" s="36">
        <f t="shared" si="309"/>
        <v>0.75020836805555557</v>
      </c>
      <c r="B928" s="42">
        <f t="shared" si="294"/>
        <v>42.092147513710778</v>
      </c>
      <c r="C928" s="43">
        <f t="shared" si="295"/>
        <v>111.46017961681375</v>
      </c>
      <c r="D928" s="18">
        <f t="shared" si="296"/>
        <v>5.9911849922737019</v>
      </c>
      <c r="E928" s="21" t="str">
        <f t="shared" si="297"/>
        <v>Umbra</v>
      </c>
      <c r="F928" s="23">
        <f>IF($E928&lt;&gt;"Umbra",fracil2($S$2,$S$3,$S$4,$A928,$Q$2,$O$3,$Q$4,$U928,$V928,$W928),0)</f>
        <v>0</v>
      </c>
      <c r="G928" s="19">
        <f t="shared" si="298"/>
        <v>69.301281165774611</v>
      </c>
      <c r="H928" s="19">
        <f t="shared" si="299"/>
        <v>-4.5239587936594647</v>
      </c>
      <c r="I928" s="19">
        <f t="shared" si="300"/>
        <v>-3.3159408442645697</v>
      </c>
      <c r="J928" s="28">
        <f t="shared" si="301"/>
        <v>4.861529496080829E-3</v>
      </c>
      <c r="K928" s="24">
        <f t="shared" si="302"/>
        <v>1048.302107594265</v>
      </c>
      <c r="L928" s="32">
        <f t="shared" si="303"/>
        <v>0.56150783631434731</v>
      </c>
      <c r="M928" s="35">
        <f t="shared" si="304"/>
        <v>13.017436467076797</v>
      </c>
      <c r="O928" s="29">
        <f t="shared" si="305"/>
        <v>1046.5856432332521</v>
      </c>
      <c r="T928" s="48">
        <v>0.75020836805555557</v>
      </c>
      <c r="U928" s="29">
        <v>-1416.6944959974423</v>
      </c>
      <c r="V928" s="29">
        <v>4528.1449965743623</v>
      </c>
      <c r="W928" s="29">
        <v>4257.2192808636928</v>
      </c>
      <c r="X928" s="4">
        <v>-0.32612963152918267</v>
      </c>
      <c r="Y928" s="4">
        <v>-0.1163246321247744</v>
      </c>
      <c r="Z928" s="4">
        <v>-1.23202650561636E-2</v>
      </c>
      <c r="AA928" s="3">
        <f t="shared" si="310"/>
        <v>0.34647329699614471</v>
      </c>
      <c r="AB928" s="3">
        <f t="shared" si="313"/>
        <v>1.9164050380659982E-3</v>
      </c>
      <c r="AC928" s="3">
        <f t="shared" si="311"/>
        <v>1.8408757727171245E-2</v>
      </c>
      <c r="AD928" s="48"/>
      <c r="AE928" s="46">
        <f t="shared" si="306"/>
        <v>42.092147513710778</v>
      </c>
      <c r="AF928" s="46">
        <f t="shared" si="307"/>
        <v>-248.53982038318625</v>
      </c>
      <c r="AG928" s="47">
        <f t="shared" si="308"/>
        <v>5991.1849922737019</v>
      </c>
      <c r="AH928" s="45" t="str">
        <f t="shared" si="312"/>
        <v>-248.53982,42.09215,05991</v>
      </c>
      <c r="AI928" s="44">
        <f t="shared" si="314"/>
        <v>1021.3632510784863</v>
      </c>
    </row>
    <row r="929" spans="1:35" ht="18" customHeight="1" x14ac:dyDescent="0.25">
      <c r="A929" s="36">
        <f t="shared" si="309"/>
        <v>0.75021994212962972</v>
      </c>
      <c r="B929" s="42">
        <f t="shared" si="294"/>
        <v>42.092147511100414</v>
      </c>
      <c r="C929" s="43">
        <f t="shared" si="295"/>
        <v>111.46017929438412</v>
      </c>
      <c r="D929" s="18">
        <f t="shared" si="296"/>
        <v>5.9728168255996934</v>
      </c>
      <c r="E929" s="21" t="str">
        <f t="shared" si="297"/>
        <v>Umbra</v>
      </c>
      <c r="F929" s="23">
        <f>IF($E929&lt;&gt;"Umbra",fracil2($S$2,$S$3,$S$4,$A929,$Q$2,$O$3,$Q$4,$U929,$V929,$W929),0)</f>
        <v>0</v>
      </c>
      <c r="G929" s="19">
        <f t="shared" si="298"/>
        <v>69.301284128100349</v>
      </c>
      <c r="H929" s="19">
        <f t="shared" si="299"/>
        <v>-4.5249588434059449</v>
      </c>
      <c r="I929" s="19">
        <f t="shared" si="300"/>
        <v>-3.3169408940110499</v>
      </c>
      <c r="J929" s="28">
        <f t="shared" si="301"/>
        <v>4.8606955489648171E-3</v>
      </c>
      <c r="K929" s="24">
        <f t="shared" si="302"/>
        <v>1048.3004954213795</v>
      </c>
      <c r="L929" s="32">
        <f t="shared" si="303"/>
        <v>0.56152156172909395</v>
      </c>
      <c r="M929" s="35">
        <f t="shared" si="304"/>
        <v>13.016762430340597</v>
      </c>
      <c r="O929" s="29">
        <f t="shared" si="305"/>
        <v>1046.5856172435474</v>
      </c>
      <c r="T929" s="48">
        <v>0.75021994212962972</v>
      </c>
      <c r="U929" s="29">
        <v>-1417.020593507473</v>
      </c>
      <c r="V929" s="29">
        <v>4528.0286773718244</v>
      </c>
      <c r="W929" s="29">
        <v>4257.2069680077566</v>
      </c>
      <c r="X929" s="4">
        <v>-0.32612435202383078</v>
      </c>
      <c r="Y929" s="4">
        <v>-0.11633481937939665</v>
      </c>
      <c r="Z929" s="4">
        <v>-1.2307682354126701E-2</v>
      </c>
      <c r="AA929" s="3">
        <f t="shared" si="310"/>
        <v>0.34647130072767995</v>
      </c>
      <c r="AB929" s="3">
        <f t="shared" si="313"/>
        <v>1.9111614648491385E-3</v>
      </c>
      <c r="AC929" s="3">
        <f t="shared" si="311"/>
        <v>1.8390016877846811E-2</v>
      </c>
      <c r="AD929" s="48"/>
      <c r="AE929" s="46">
        <f t="shared" si="306"/>
        <v>42.092147511100414</v>
      </c>
      <c r="AF929" s="46">
        <f t="shared" si="307"/>
        <v>-248.53982070561588</v>
      </c>
      <c r="AG929" s="47">
        <f t="shared" si="308"/>
        <v>5972.8168255996934</v>
      </c>
      <c r="AH929" s="45" t="str">
        <f t="shared" si="312"/>
        <v>-248.53982,42.09215,05973</v>
      </c>
      <c r="AI929" s="44">
        <f t="shared" si="314"/>
        <v>1021.3632510784863</v>
      </c>
    </row>
    <row r="930" spans="1:35" ht="18" customHeight="1" x14ac:dyDescent="0.25">
      <c r="A930" s="36">
        <f t="shared" si="309"/>
        <v>0.75023163194444453</v>
      </c>
      <c r="B930" s="42">
        <f t="shared" si="294"/>
        <v>42.092147508466986</v>
      </c>
      <c r="C930" s="43">
        <f t="shared" si="295"/>
        <v>111.46018104881681</v>
      </c>
      <c r="D930" s="18">
        <f t="shared" si="296"/>
        <v>5.9542748681278681</v>
      </c>
      <c r="E930" s="21" t="str">
        <f t="shared" si="297"/>
        <v>Umbra</v>
      </c>
      <c r="F930" s="23">
        <f>IF($E930&lt;&gt;"Umbra",fracil2($S$2,$S$3,$S$4,$A930,$Q$2,$O$3,$Q$4,$U930,$V930,$W930),0)</f>
        <v>0</v>
      </c>
      <c r="G930" s="19">
        <f t="shared" si="298"/>
        <v>69.301289235234819</v>
      </c>
      <c r="H930" s="19">
        <f t="shared" si="299"/>
        <v>-4.5259691434163134</v>
      </c>
      <c r="I930" s="19">
        <f t="shared" si="300"/>
        <v>-3.3179511940214184</v>
      </c>
      <c r="J930" s="28">
        <f t="shared" si="301"/>
        <v>4.8598553529172759E-3</v>
      </c>
      <c r="K930" s="24">
        <f t="shared" si="302"/>
        <v>1048.2990355540119</v>
      </c>
      <c r="L930" s="32">
        <f t="shared" si="303"/>
        <v>0.5615354208958665</v>
      </c>
      <c r="M930" s="35">
        <f t="shared" si="304"/>
        <v>13.016079915182964</v>
      </c>
      <c r="O930" s="29">
        <f t="shared" si="305"/>
        <v>1046.5857582398739</v>
      </c>
      <c r="T930" s="48">
        <v>0.75023163194444453</v>
      </c>
      <c r="U930" s="29">
        <v>-1417.3501089954668</v>
      </c>
      <c r="V930" s="29">
        <v>4527.9111266917635</v>
      </c>
      <c r="W930" s="29">
        <v>4257.1945386536081</v>
      </c>
      <c r="X930" s="4">
        <v>-0.32611900582426234</v>
      </c>
      <c r="Y930" s="4">
        <v>-0.1163451537961851</v>
      </c>
      <c r="Z930" s="4">
        <v>-1.2295005474506767E-2</v>
      </c>
      <c r="AA930" s="3">
        <f t="shared" si="310"/>
        <v>0.34646928858310277</v>
      </c>
      <c r="AB930" s="3">
        <f t="shared" si="313"/>
        <v>1.9063956662945664E-3</v>
      </c>
      <c r="AC930" s="3">
        <f t="shared" si="311"/>
        <v>1.8371135820784101E-2</v>
      </c>
      <c r="AD930" s="48"/>
      <c r="AE930" s="46">
        <f t="shared" si="306"/>
        <v>42.092147508466986</v>
      </c>
      <c r="AF930" s="46">
        <f t="shared" si="307"/>
        <v>-248.53981895118318</v>
      </c>
      <c r="AG930" s="47">
        <f t="shared" si="308"/>
        <v>5954.2748681278681</v>
      </c>
      <c r="AH930" s="45" t="str">
        <f t="shared" si="312"/>
        <v>-248.53982,42.09215,05954</v>
      </c>
      <c r="AI930" s="44">
        <f t="shared" si="314"/>
        <v>1021.3633853372713</v>
      </c>
    </row>
    <row r="931" spans="1:35" ht="18" customHeight="1" x14ac:dyDescent="0.25">
      <c r="A931" s="36">
        <f t="shared" si="309"/>
        <v>0.75024313657407404</v>
      </c>
      <c r="B931" s="42">
        <f t="shared" si="294"/>
        <v>42.092147505881506</v>
      </c>
      <c r="C931" s="43">
        <f t="shared" si="295"/>
        <v>111.46017962625083</v>
      </c>
      <c r="D931" s="18">
        <f t="shared" si="296"/>
        <v>5.9360590845544721</v>
      </c>
      <c r="E931" s="21" t="str">
        <f t="shared" si="297"/>
        <v>Umbra</v>
      </c>
      <c r="F931" s="23">
        <f>IF($E931&lt;&gt;"Umbra",fracil2($S$2,$S$3,$S$4,$A931,$Q$2,$O$3,$Q$4,$U931,$V931,$W931),0)</f>
        <v>0</v>
      </c>
      <c r="G931" s="19">
        <f t="shared" si="298"/>
        <v>69.301291050649638</v>
      </c>
      <c r="H931" s="19">
        <f t="shared" si="299"/>
        <v>-4.5269604864469351</v>
      </c>
      <c r="I931" s="19">
        <f t="shared" si="300"/>
        <v>-3.31894253705204</v>
      </c>
      <c r="J931" s="28">
        <f t="shared" si="301"/>
        <v>4.8590316449741173E-3</v>
      </c>
      <c r="K931" s="24">
        <f t="shared" si="302"/>
        <v>1048.2973487198353</v>
      </c>
      <c r="L931" s="32">
        <f t="shared" si="303"/>
        <v>0.56154906034151542</v>
      </c>
      <c r="M931" s="35">
        <f t="shared" si="304"/>
        <v>13.01541256321614</v>
      </c>
      <c r="O931" s="29">
        <f t="shared" si="305"/>
        <v>1046.5856437961922</v>
      </c>
      <c r="T931" s="48">
        <v>0.75024313657407404</v>
      </c>
      <c r="U931" s="29">
        <v>-1417.6741533609545</v>
      </c>
      <c r="V931" s="29">
        <v>4527.7955156851158</v>
      </c>
      <c r="W931" s="29">
        <v>4257.1823279459231</v>
      </c>
      <c r="X931" s="4">
        <v>-0.32611373794645071</v>
      </c>
      <c r="Y931" s="4">
        <v>-0.11635535396937653</v>
      </c>
      <c r="Z931" s="4">
        <v>-1.2282573918069403E-2</v>
      </c>
      <c r="AA931" s="3">
        <f t="shared" si="310"/>
        <v>0.34646731461538777</v>
      </c>
      <c r="AB931" s="3">
        <f t="shared" si="313"/>
        <v>1.8995894885613213E-3</v>
      </c>
      <c r="AC931" s="3">
        <f t="shared" si="311"/>
        <v>1.8352620210506609E-2</v>
      </c>
      <c r="AD931" s="48"/>
      <c r="AE931" s="46">
        <f t="shared" si="306"/>
        <v>42.092147505881506</v>
      </c>
      <c r="AF931" s="46">
        <f t="shared" si="307"/>
        <v>-248.53982037374917</v>
      </c>
      <c r="AG931" s="47">
        <f t="shared" si="308"/>
        <v>5936.0590845544721</v>
      </c>
      <c r="AH931" s="45" t="str">
        <f t="shared" si="312"/>
        <v>-248.53982,42.09215,05936</v>
      </c>
      <c r="AI931" s="44">
        <f t="shared" si="314"/>
        <v>1021.3635195960563</v>
      </c>
    </row>
    <row r="932" spans="1:35" ht="18" customHeight="1" x14ac:dyDescent="0.25">
      <c r="A932" s="36">
        <f t="shared" si="309"/>
        <v>0.75025464120370378</v>
      </c>
      <c r="B932" s="42">
        <f t="shared" si="294"/>
        <v>42.092147503298925</v>
      </c>
      <c r="C932" s="43">
        <f t="shared" si="295"/>
        <v>111.46018036712817</v>
      </c>
      <c r="D932" s="18">
        <f t="shared" si="296"/>
        <v>5.9178522236452409</v>
      </c>
      <c r="E932" s="21" t="str">
        <f t="shared" si="297"/>
        <v>Umbra</v>
      </c>
      <c r="F932" s="23">
        <f>IF($E932&lt;&gt;"Umbra",fracil2($S$2,$S$3,$S$4,$A932,$Q$2,$O$3,$Q$4,$U932,$V932,$W932),0)</f>
        <v>0</v>
      </c>
      <c r="G932" s="19">
        <f t="shared" si="298"/>
        <v>69.301295066256031</v>
      </c>
      <c r="H932" s="19">
        <f t="shared" si="299"/>
        <v>-4.5279521631671162</v>
      </c>
      <c r="I932" s="19">
        <f t="shared" si="300"/>
        <v>-3.3199342137722212</v>
      </c>
      <c r="J932" s="28">
        <f t="shared" si="301"/>
        <v>4.8582098380529062E-3</v>
      </c>
      <c r="K932" s="24">
        <f t="shared" si="302"/>
        <v>1048.2958369209794</v>
      </c>
      <c r="L932" s="32">
        <f t="shared" si="303"/>
        <v>0.56156269630182698</v>
      </c>
      <c r="M932" s="35">
        <f t="shared" si="304"/>
        <v>13.014743354167862</v>
      </c>
      <c r="O932" s="29">
        <f t="shared" si="305"/>
        <v>1046.5857033005875</v>
      </c>
      <c r="T932" s="48">
        <v>0.75025464120370378</v>
      </c>
      <c r="U932" s="29">
        <v>-1417.9983613544425</v>
      </c>
      <c r="V932" s="29">
        <v>4527.6798342674419</v>
      </c>
      <c r="W932" s="29">
        <v>4257.1701232195637</v>
      </c>
      <c r="X932" s="4">
        <v>-0.32610845682911538</v>
      </c>
      <c r="Y932" s="4">
        <v>-0.11636559700190875</v>
      </c>
      <c r="Z932" s="4">
        <v>-1.2270171277393622E-2</v>
      </c>
      <c r="AA932" s="3">
        <f t="shared" si="310"/>
        <v>0.346465344420267</v>
      </c>
      <c r="AB932" s="3">
        <f t="shared" si="313"/>
        <v>1.8951649298648238E-3</v>
      </c>
      <c r="AC932" s="3">
        <f t="shared" si="311"/>
        <v>1.8334147727128002E-2</v>
      </c>
      <c r="AD932" s="48"/>
      <c r="AE932" s="46">
        <f t="shared" si="306"/>
        <v>42.092147503298925</v>
      </c>
      <c r="AF932" s="46">
        <f t="shared" si="307"/>
        <v>-248.53981963287183</v>
      </c>
      <c r="AG932" s="47">
        <f t="shared" si="308"/>
        <v>5917.8522236452409</v>
      </c>
      <c r="AH932" s="45" t="str">
        <f t="shared" si="312"/>
        <v>-248.53982,42.09215,05918</v>
      </c>
      <c r="AI932" s="44">
        <f t="shared" si="314"/>
        <v>1021.3635195960563</v>
      </c>
    </row>
    <row r="933" spans="1:35" ht="18" customHeight="1" x14ac:dyDescent="0.25">
      <c r="A933" s="36">
        <f t="shared" si="309"/>
        <v>0.75026625000000002</v>
      </c>
      <c r="B933" s="42">
        <f t="shared" si="294"/>
        <v>42.092147500696747</v>
      </c>
      <c r="C933" s="43">
        <f t="shared" si="295"/>
        <v>111.46018187110256</v>
      </c>
      <c r="D933" s="18">
        <f t="shared" si="296"/>
        <v>5.8994958195862637</v>
      </c>
      <c r="E933" s="21" t="str">
        <f t="shared" si="297"/>
        <v>Umbra</v>
      </c>
      <c r="F933" s="23">
        <f>IF($E933&lt;&gt;"Umbra",fracil2($S$2,$S$3,$S$4,$A933,$Q$2,$O$3,$Q$4,$U933,$V933,$W933),0)</f>
        <v>0</v>
      </c>
      <c r="G933" s="19">
        <f t="shared" si="298"/>
        <v>69.301299885279619</v>
      </c>
      <c r="H933" s="19">
        <f t="shared" si="299"/>
        <v>-4.5289522735697307</v>
      </c>
      <c r="I933" s="19">
        <f t="shared" si="300"/>
        <v>-3.3209343241748357</v>
      </c>
      <c r="J933" s="28">
        <f t="shared" si="301"/>
        <v>4.8573828674297759E-3</v>
      </c>
      <c r="K933" s="24">
        <f t="shared" si="302"/>
        <v>1048.2943738896276</v>
      </c>
      <c r="L933" s="32">
        <f t="shared" si="303"/>
        <v>0.5615764531008095</v>
      </c>
      <c r="M933" s="35">
        <f t="shared" si="304"/>
        <v>13.014067878844779</v>
      </c>
      <c r="O933" s="29">
        <f t="shared" si="305"/>
        <v>1046.5858241600206</v>
      </c>
      <c r="T933" s="48">
        <v>0.75026625000000002</v>
      </c>
      <c r="U933" s="29">
        <v>-1418.325558549828</v>
      </c>
      <c r="V933" s="29">
        <v>4527.5630740211072</v>
      </c>
      <c r="W933" s="29">
        <v>4257.1578182490812</v>
      </c>
      <c r="X933" s="4">
        <v>-0.32610311628917976</v>
      </c>
      <c r="Y933" s="4">
        <v>-0.11637597268314506</v>
      </c>
      <c r="Z933" s="4">
        <v>-1.2257689944984463E-2</v>
      </c>
      <c r="AA933" s="3">
        <f t="shared" si="310"/>
        <v>0.34646336088286422</v>
      </c>
      <c r="AB933" s="3">
        <f t="shared" si="313"/>
        <v>1.8900697925246922E-3</v>
      </c>
      <c r="AC933" s="3">
        <f t="shared" si="311"/>
        <v>1.8315558100669427E-2</v>
      </c>
      <c r="AD933" s="48"/>
      <c r="AE933" s="46">
        <f t="shared" si="306"/>
        <v>42.092147500696747</v>
      </c>
      <c r="AF933" s="46">
        <f t="shared" si="307"/>
        <v>-248.53981812889742</v>
      </c>
      <c r="AG933" s="47">
        <f t="shared" si="308"/>
        <v>5899.4958195862637</v>
      </c>
      <c r="AH933" s="45" t="str">
        <f t="shared" si="312"/>
        <v>-248.53982,42.09215,05899</v>
      </c>
      <c r="AI933" s="44">
        <f t="shared" si="314"/>
        <v>1021.3636840288157</v>
      </c>
    </row>
    <row r="934" spans="1:35" ht="18" customHeight="1" x14ac:dyDescent="0.25">
      <c r="A934" s="36">
        <f t="shared" si="309"/>
        <v>0.75027784722222224</v>
      </c>
      <c r="B934" s="42">
        <f t="shared" si="294"/>
        <v>42.092147498104417</v>
      </c>
      <c r="C934" s="43">
        <f t="shared" si="295"/>
        <v>111.46017851051219</v>
      </c>
      <c r="D934" s="18">
        <f t="shared" si="296"/>
        <v>5.8811976046963537</v>
      </c>
      <c r="E934" s="21" t="str">
        <f t="shared" si="297"/>
        <v>Umbra</v>
      </c>
      <c r="F934" s="23">
        <f>IF($E934&lt;&gt;"Umbra",fracil2($S$2,$S$3,$S$4,$A934,$Q$2,$O$3,$Q$4,$U934,$V934,$W934),0)</f>
        <v>0</v>
      </c>
      <c r="G934" s="19">
        <f t="shared" si="298"/>
        <v>69.301299743123622</v>
      </c>
      <c r="H934" s="19">
        <f t="shared" si="299"/>
        <v>-4.5299473833881034</v>
      </c>
      <c r="I934" s="19">
        <f t="shared" si="300"/>
        <v>-3.3219294339932084</v>
      </c>
      <c r="J934" s="28">
        <f t="shared" si="301"/>
        <v>4.8565603577153801E-3</v>
      </c>
      <c r="K934" s="24">
        <f t="shared" si="302"/>
        <v>1048.2925250643095</v>
      </c>
      <c r="L934" s="32">
        <f t="shared" si="303"/>
        <v>0.56159019710246605</v>
      </c>
      <c r="M934" s="35">
        <f t="shared" si="304"/>
        <v>13.013399424868346</v>
      </c>
      <c r="O934" s="29">
        <f t="shared" si="305"/>
        <v>1046.5855538925932</v>
      </c>
      <c r="T934" s="48">
        <v>0.75027784722222224</v>
      </c>
      <c r="U934" s="29">
        <v>-1418.6520446226616</v>
      </c>
      <c r="V934" s="29">
        <v>4527.4465552345155</v>
      </c>
      <c r="W934" s="29">
        <v>4257.1455522850647</v>
      </c>
      <c r="X934" s="4">
        <v>-0.32609777664384715</v>
      </c>
      <c r="Y934" s="4">
        <v>-0.11638636393000379</v>
      </c>
      <c r="Z934" s="4">
        <v>-1.2245271314517449E-2</v>
      </c>
      <c r="AA934" s="3">
        <f t="shared" si="310"/>
        <v>0.34646138646387981</v>
      </c>
      <c r="AB934" s="3">
        <f t="shared" si="313"/>
        <v>1.8824454177932552E-3</v>
      </c>
      <c r="AC934" s="3">
        <f t="shared" si="311"/>
        <v>1.8297061922383024E-2</v>
      </c>
      <c r="AD934" s="48"/>
      <c r="AE934" s="46">
        <f t="shared" si="306"/>
        <v>42.092147498104417</v>
      </c>
      <c r="AF934" s="46">
        <f t="shared" si="307"/>
        <v>-248.53982148948779</v>
      </c>
      <c r="AG934" s="47">
        <f t="shared" si="308"/>
        <v>5881.1976046963537</v>
      </c>
      <c r="AH934" s="45" t="str">
        <f t="shared" si="312"/>
        <v>-248.53982,42.09215,05881</v>
      </c>
      <c r="AI934" s="44">
        <f t="shared" si="314"/>
        <v>1021.3639688347096</v>
      </c>
    </row>
    <row r="935" spans="1:35" ht="18" customHeight="1" x14ac:dyDescent="0.25">
      <c r="A935" s="36">
        <f t="shared" si="309"/>
        <v>0.75028942129629639</v>
      </c>
      <c r="B935" s="42">
        <f t="shared" si="294"/>
        <v>42.092147495519349</v>
      </c>
      <c r="C935" s="43">
        <f t="shared" si="295"/>
        <v>111.46017878069746</v>
      </c>
      <c r="D935" s="18">
        <f t="shared" si="296"/>
        <v>5.8629385506110339</v>
      </c>
      <c r="E935" s="21" t="str">
        <f t="shared" si="297"/>
        <v>Umbra</v>
      </c>
      <c r="F935" s="23">
        <f>IF($E935&lt;&gt;"Umbra",fracil2($S$2,$S$3,$S$4,$A935,$Q$2,$O$3,$Q$4,$U935,$V935,$W935),0)</f>
        <v>0</v>
      </c>
      <c r="G935" s="19">
        <f t="shared" si="298"/>
        <v>69.301303289074198</v>
      </c>
      <c r="H935" s="19">
        <f t="shared" si="299"/>
        <v>-4.5309417335193087</v>
      </c>
      <c r="I935" s="19">
        <f t="shared" si="300"/>
        <v>-3.3229237841244137</v>
      </c>
      <c r="J935" s="28">
        <f t="shared" si="301"/>
        <v>4.855740950856456E-3</v>
      </c>
      <c r="K935" s="24">
        <f t="shared" si="302"/>
        <v>1048.2909718640972</v>
      </c>
      <c r="L935" s="32">
        <f t="shared" si="303"/>
        <v>0.56160390925171122</v>
      </c>
      <c r="M935" s="35">
        <f t="shared" si="304"/>
        <v>13.01272874828414</v>
      </c>
      <c r="O935" s="29">
        <f t="shared" si="305"/>
        <v>1046.5855755517241</v>
      </c>
      <c r="T935" s="48">
        <v>0.75028942129629639</v>
      </c>
      <c r="U935" s="29">
        <v>-1418.9781565487381</v>
      </c>
      <c r="V935" s="29">
        <v>4527.3301576657213</v>
      </c>
      <c r="W935" s="29">
        <v>4257.1333125721148</v>
      </c>
      <c r="X935" s="4">
        <v>-0.32609243295757856</v>
      </c>
      <c r="Y935" s="4">
        <v>-0.11639677957013909</v>
      </c>
      <c r="Z935" s="4">
        <v>-1.2232900777091665E-2</v>
      </c>
      <c r="AA935" s="3">
        <f t="shared" si="310"/>
        <v>0.34645941896261762</v>
      </c>
      <c r="AB935" s="3">
        <f t="shared" si="313"/>
        <v>1.8788995610040345E-3</v>
      </c>
      <c r="AC935" s="3">
        <f t="shared" si="311"/>
        <v>1.8278637433287698E-2</v>
      </c>
      <c r="AD935" s="48"/>
      <c r="AE935" s="46">
        <f t="shared" si="306"/>
        <v>42.092147495519349</v>
      </c>
      <c r="AF935" s="46">
        <f t="shared" si="307"/>
        <v>-248.53982121930255</v>
      </c>
      <c r="AG935" s="47">
        <f t="shared" si="308"/>
        <v>5862.9385506110339</v>
      </c>
      <c r="AH935" s="45" t="str">
        <f t="shared" si="312"/>
        <v>-248.53982,42.09215,05863</v>
      </c>
      <c r="AI935" s="44">
        <f t="shared" si="314"/>
        <v>1021.3639688347096</v>
      </c>
    </row>
    <row r="936" spans="1:35" ht="18" customHeight="1" x14ac:dyDescent="0.25">
      <c r="A936" s="36">
        <f t="shared" si="309"/>
        <v>0.75030093750000004</v>
      </c>
      <c r="B936" s="42">
        <f t="shared" si="294"/>
        <v>42.092147492949557</v>
      </c>
      <c r="C936" s="43">
        <f t="shared" si="295"/>
        <v>111.46018195390629</v>
      </c>
      <c r="D936" s="18">
        <f t="shared" si="296"/>
        <v>5.8447764089196426</v>
      </c>
      <c r="E936" s="21" t="str">
        <f t="shared" si="297"/>
        <v>Umbra</v>
      </c>
      <c r="F936" s="23">
        <f>IF($E936&lt;&gt;"Umbra",fracil2($S$2,$S$3,$S$4,$A936,$Q$2,$O$3,$Q$4,$U936,$V936,$W936),0)</f>
        <v>0</v>
      </c>
      <c r="G936" s="19">
        <f t="shared" si="298"/>
        <v>69.301309772136307</v>
      </c>
      <c r="H936" s="19">
        <f t="shared" si="299"/>
        <v>-4.5319319039992614</v>
      </c>
      <c r="I936" s="19">
        <f t="shared" si="300"/>
        <v>-3.3239139546043663</v>
      </c>
      <c r="J936" s="28">
        <f t="shared" si="301"/>
        <v>4.8549273241454633E-3</v>
      </c>
      <c r="K936" s="24">
        <f t="shared" si="302"/>
        <v>1048.2896607513292</v>
      </c>
      <c r="L936" s="32">
        <f t="shared" si="303"/>
        <v>0.56161754889275539</v>
      </c>
      <c r="M936" s="35">
        <f t="shared" si="304"/>
        <v>13.012058702124339</v>
      </c>
      <c r="O936" s="29">
        <f t="shared" si="305"/>
        <v>1046.5858306239313</v>
      </c>
      <c r="T936" s="48">
        <v>0.75030093750000004</v>
      </c>
      <c r="U936" s="29">
        <v>-1419.3028592893079</v>
      </c>
      <c r="V936" s="29">
        <v>4527.2142508059396</v>
      </c>
      <c r="W936" s="29">
        <v>4257.1211378232238</v>
      </c>
      <c r="X936" s="4">
        <v>-0.32608710195595686</v>
      </c>
      <c r="Y936" s="4">
        <v>-0.11640718722612829</v>
      </c>
      <c r="Z936" s="4">
        <v>-1.2220618245671992E-2</v>
      </c>
      <c r="AA936" s="3">
        <f t="shared" si="310"/>
        <v>0.34645746464788424</v>
      </c>
      <c r="AB936" s="3">
        <f t="shared" si="313"/>
        <v>1.8749012189801381E-3</v>
      </c>
      <c r="AC936" s="3">
        <f t="shared" si="311"/>
        <v>1.8260344078341224E-2</v>
      </c>
      <c r="AD936" s="48"/>
      <c r="AE936" s="46">
        <f t="shared" si="306"/>
        <v>42.092147492949557</v>
      </c>
      <c r="AF936" s="46">
        <f t="shared" si="307"/>
        <v>-248.53981804609373</v>
      </c>
      <c r="AG936" s="47">
        <f t="shared" si="308"/>
        <v>5844.7764089196426</v>
      </c>
      <c r="AH936" s="45" t="str">
        <f t="shared" si="312"/>
        <v>-248.53982,42.09215,05845</v>
      </c>
      <c r="AI936" s="44">
        <f t="shared" si="314"/>
        <v>1021.3642373522811</v>
      </c>
    </row>
    <row r="937" spans="1:35" ht="18" customHeight="1" x14ac:dyDescent="0.25">
      <c r="A937" s="36">
        <f t="shared" si="309"/>
        <v>0.75031261574074071</v>
      </c>
      <c r="B937" s="42">
        <f t="shared" si="294"/>
        <v>42.092147490350911</v>
      </c>
      <c r="C937" s="43">
        <f t="shared" si="295"/>
        <v>111.46018003868613</v>
      </c>
      <c r="D937" s="18">
        <f t="shared" si="296"/>
        <v>5.8263996990253872</v>
      </c>
      <c r="E937" s="21" t="str">
        <f t="shared" si="297"/>
        <v>Umbra</v>
      </c>
      <c r="F937" s="23">
        <f>IF($E937&lt;&gt;"Umbra",fracil2($S$2,$S$3,$S$4,$A937,$Q$2,$O$3,$Q$4,$U937,$V937,$W937),0)</f>
        <v>0</v>
      </c>
      <c r="G937" s="19">
        <f t="shared" si="298"/>
        <v>69.301311115053551</v>
      </c>
      <c r="H937" s="19">
        <f t="shared" si="299"/>
        <v>-4.5329318426644019</v>
      </c>
      <c r="I937" s="19">
        <f t="shared" si="300"/>
        <v>-3.3249138932695068</v>
      </c>
      <c r="J937" s="28">
        <f t="shared" si="301"/>
        <v>4.8541059419355929E-3</v>
      </c>
      <c r="K937" s="24">
        <f t="shared" si="302"/>
        <v>1048.2879223217167</v>
      </c>
      <c r="L937" s="32">
        <f t="shared" si="303"/>
        <v>0.56163138154924763</v>
      </c>
      <c r="M937" s="35">
        <f t="shared" si="304"/>
        <v>13.011385887143128</v>
      </c>
      <c r="O937" s="29">
        <f t="shared" si="305"/>
        <v>1046.58567656889</v>
      </c>
      <c r="T937" s="48">
        <v>0.75031261574074071</v>
      </c>
      <c r="U937" s="29">
        <v>-1419.6317246827705</v>
      </c>
      <c r="V937" s="29">
        <v>4527.0968455173606</v>
      </c>
      <c r="W937" s="29">
        <v>4257.1088192415309</v>
      </c>
      <c r="X937" s="4">
        <v>-0.326081691866699</v>
      </c>
      <c r="Y937" s="4">
        <v>-0.11641776643773601</v>
      </c>
      <c r="Z937" s="4">
        <v>-1.2208213846039677E-2</v>
      </c>
      <c r="AA937" s="3">
        <f t="shared" si="310"/>
        <v>0.34645549006807597</v>
      </c>
      <c r="AB937" s="3">
        <f t="shared" si="313"/>
        <v>1.8672254431165601E-3</v>
      </c>
      <c r="AC937" s="3">
        <f t="shared" si="311"/>
        <v>1.8241869275531886E-2</v>
      </c>
      <c r="AD937" s="48"/>
      <c r="AE937" s="46">
        <f t="shared" si="306"/>
        <v>42.092147490350911</v>
      </c>
      <c r="AF937" s="46">
        <f t="shared" si="307"/>
        <v>-248.53981996131387</v>
      </c>
      <c r="AG937" s="47">
        <f t="shared" si="308"/>
        <v>5826.3996990253872</v>
      </c>
      <c r="AH937" s="45" t="str">
        <f t="shared" si="312"/>
        <v>-248.53982,42.09215,05826</v>
      </c>
      <c r="AI937" s="44">
        <f t="shared" si="314"/>
        <v>1021.364427222877</v>
      </c>
    </row>
    <row r="938" spans="1:35" ht="18" customHeight="1" x14ac:dyDescent="0.25">
      <c r="A938" s="36">
        <f t="shared" si="309"/>
        <v>0.7503241087962963</v>
      </c>
      <c r="B938" s="42">
        <f t="shared" si="294"/>
        <v>42.092147487795401</v>
      </c>
      <c r="C938" s="43">
        <f t="shared" si="295"/>
        <v>111.4601819273486</v>
      </c>
      <c r="D938" s="18">
        <f t="shared" si="296"/>
        <v>5.8083161555268816</v>
      </c>
      <c r="E938" s="21" t="str">
        <f t="shared" si="297"/>
        <v>Umbra</v>
      </c>
      <c r="F938" s="23">
        <f>IF($E938&lt;&gt;"Umbra",fracil2($S$2,$S$3,$S$4,$A938,$Q$2,$O$3,$Q$4,$U938,$V938,$W938),0)</f>
        <v>0</v>
      </c>
      <c r="G938" s="19">
        <f t="shared" si="298"/>
        <v>69.301316276744473</v>
      </c>
      <c r="H938" s="19">
        <f t="shared" si="299"/>
        <v>-4.5339172544882427</v>
      </c>
      <c r="I938" s="19">
        <f t="shared" si="300"/>
        <v>-3.3258993050933476</v>
      </c>
      <c r="J938" s="28">
        <f t="shared" si="301"/>
        <v>4.8532991063184178E-3</v>
      </c>
      <c r="K938" s="24">
        <f t="shared" si="302"/>
        <v>1048.2865153286534</v>
      </c>
      <c r="L938" s="32">
        <f t="shared" si="303"/>
        <v>0.56164499036709048</v>
      </c>
      <c r="M938" s="35">
        <f t="shared" si="304"/>
        <v>13.01072000273394</v>
      </c>
      <c r="O938" s="29">
        <f t="shared" si="305"/>
        <v>1046.5858283596899</v>
      </c>
      <c r="T938" s="48">
        <v>0.7503241087962963</v>
      </c>
      <c r="U938" s="29">
        <v>-1419.9556643381304</v>
      </c>
      <c r="V938" s="29">
        <v>4526.9811863659334</v>
      </c>
      <c r="W938" s="29">
        <v>4257.0966971801499</v>
      </c>
      <c r="X938" s="4">
        <v>-0.32607635216050146</v>
      </c>
      <c r="Y938" s="4">
        <v>-0.11642822491973352</v>
      </c>
      <c r="Z938" s="4">
        <v>-1.2196030458513371E-2</v>
      </c>
      <c r="AA938" s="3">
        <f t="shared" si="310"/>
        <v>0.34645354978005988</v>
      </c>
      <c r="AB938" s="3">
        <f t="shared" si="313"/>
        <v>1.8635007375192058E-3</v>
      </c>
      <c r="AC938" s="3">
        <f t="shared" si="311"/>
        <v>1.8223723701717345E-2</v>
      </c>
      <c r="AD938" s="48"/>
      <c r="AE938" s="46">
        <f t="shared" si="306"/>
        <v>42.092147487795401</v>
      </c>
      <c r="AF938" s="46">
        <f t="shared" si="307"/>
        <v>-248.5398180726514</v>
      </c>
      <c r="AG938" s="47">
        <f t="shared" si="308"/>
        <v>5808.3161555268816</v>
      </c>
      <c r="AH938" s="45" t="str">
        <f t="shared" si="312"/>
        <v>-248.53982,42.09215,05808</v>
      </c>
      <c r="AI938" s="44">
        <f t="shared" si="314"/>
        <v>1021.3646170934729</v>
      </c>
    </row>
    <row r="939" spans="1:35" ht="18" customHeight="1" x14ac:dyDescent="0.25">
      <c r="A939" s="36">
        <f t="shared" si="309"/>
        <v>0.75033564814814813</v>
      </c>
      <c r="B939" s="42">
        <f t="shared" si="294"/>
        <v>42.092147485235571</v>
      </c>
      <c r="C939" s="43">
        <f t="shared" si="295"/>
        <v>111.4601808980804</v>
      </c>
      <c r="D939" s="18">
        <f t="shared" si="296"/>
        <v>5.7901906339484412</v>
      </c>
      <c r="E939" s="21" t="str">
        <f t="shared" si="297"/>
        <v>Umbra</v>
      </c>
      <c r="F939" s="23">
        <f>IF($E939&lt;&gt;"Umbra",fracil2($S$2,$S$3,$S$4,$A939,$Q$2,$O$3,$Q$4,$U939,$V939,$W939),0)</f>
        <v>0</v>
      </c>
      <c r="G939" s="19">
        <f t="shared" si="298"/>
        <v>69.301318476331076</v>
      </c>
      <c r="H939" s="19">
        <f t="shared" si="299"/>
        <v>-4.5349038553039698</v>
      </c>
      <c r="I939" s="19">
        <f t="shared" si="300"/>
        <v>-3.3268859059090747</v>
      </c>
      <c r="J939" s="28">
        <f t="shared" si="301"/>
        <v>4.8524919769904447E-3</v>
      </c>
      <c r="K939" s="24">
        <f t="shared" si="302"/>
        <v>1048.2848704144869</v>
      </c>
      <c r="L939" s="32">
        <f t="shared" si="303"/>
        <v>0.56165865376555557</v>
      </c>
      <c r="M939" s="35">
        <f t="shared" si="304"/>
        <v>13.010055503296119</v>
      </c>
      <c r="O939" s="29">
        <f t="shared" si="305"/>
        <v>1046.5857455390835</v>
      </c>
      <c r="T939" s="48">
        <v>0.75033564814814813</v>
      </c>
      <c r="U939" s="29">
        <v>-1420.280675236336</v>
      </c>
      <c r="V939" s="29">
        <v>4526.8651323741096</v>
      </c>
      <c r="W939" s="29">
        <v>4257.0845469794604</v>
      </c>
      <c r="X939" s="4">
        <v>-0.32607098498616749</v>
      </c>
      <c r="Y939" s="4">
        <v>-0.11643875298725785</v>
      </c>
      <c r="Z939" s="4">
        <v>-1.2183839424299387E-2</v>
      </c>
      <c r="AA939" s="3">
        <f t="shared" si="310"/>
        <v>0.34645160757340154</v>
      </c>
      <c r="AB939" s="3">
        <f t="shared" si="313"/>
        <v>1.8571831956380343E-3</v>
      </c>
      <c r="AC939" s="3">
        <f t="shared" si="311"/>
        <v>1.8205566797916201E-2</v>
      </c>
      <c r="AD939" s="48"/>
      <c r="AE939" s="46">
        <f t="shared" si="306"/>
        <v>42.092147485235571</v>
      </c>
      <c r="AF939" s="46">
        <f t="shared" si="307"/>
        <v>-248.53981910191959</v>
      </c>
      <c r="AG939" s="47">
        <f t="shared" si="308"/>
        <v>5790.1906339484412</v>
      </c>
      <c r="AH939" s="45" t="str">
        <f t="shared" si="312"/>
        <v>-248.53982,42.09215,05790</v>
      </c>
      <c r="AI939" s="44">
        <f t="shared" si="314"/>
        <v>1021.3647120287709</v>
      </c>
    </row>
    <row r="940" spans="1:35" ht="18" customHeight="1" x14ac:dyDescent="0.25">
      <c r="A940" s="36">
        <f t="shared" si="309"/>
        <v>0.75034736111111122</v>
      </c>
      <c r="B940" s="42">
        <f t="shared" si="294"/>
        <v>42.092147482639838</v>
      </c>
      <c r="C940" s="43">
        <f t="shared" si="295"/>
        <v>111.46018219341711</v>
      </c>
      <c r="D940" s="18">
        <f t="shared" si="296"/>
        <v>5.7718007536914229</v>
      </c>
      <c r="E940" s="21" t="str">
        <f t="shared" si="297"/>
        <v>Umbra</v>
      </c>
      <c r="F940" s="23">
        <f>IF($E940&lt;&gt;"Umbra",fracil2($S$2,$S$3,$S$4,$A940,$Q$2,$O$3,$Q$4,$U940,$V940,$W940),0)</f>
        <v>0</v>
      </c>
      <c r="G940" s="19">
        <f t="shared" si="298"/>
        <v>69.30132308908</v>
      </c>
      <c r="H940" s="19">
        <f t="shared" si="299"/>
        <v>-4.5359057301401524</v>
      </c>
      <c r="I940" s="19">
        <f t="shared" si="300"/>
        <v>-3.3278877807452574</v>
      </c>
      <c r="J940" s="28">
        <f t="shared" si="301"/>
        <v>4.8516745567189117E-3</v>
      </c>
      <c r="K940" s="24">
        <f t="shared" si="302"/>
        <v>1048.2833899415173</v>
      </c>
      <c r="L940" s="32">
        <f t="shared" si="303"/>
        <v>0.56167251910958027</v>
      </c>
      <c r="M940" s="35">
        <f t="shared" si="304"/>
        <v>13.009378951241963</v>
      </c>
      <c r="O940" s="29">
        <f t="shared" si="305"/>
        <v>1046.5858496235162</v>
      </c>
      <c r="T940" s="48">
        <v>0.75034736111111122</v>
      </c>
      <c r="U940" s="29">
        <v>-1420.610753122297</v>
      </c>
      <c r="V940" s="29">
        <v>4526.7472563601996</v>
      </c>
      <c r="W940" s="29">
        <v>4257.0722195695898</v>
      </c>
      <c r="X940" s="4">
        <v>-0.32606552357242435</v>
      </c>
      <c r="Y940" s="4">
        <v>-0.11644948265078384</v>
      </c>
      <c r="Z940" s="4">
        <v>-1.217149329177135E-2</v>
      </c>
      <c r="AA940" s="3">
        <f t="shared" si="310"/>
        <v>0.34644963980519028</v>
      </c>
      <c r="AB940" s="3">
        <f t="shared" si="313"/>
        <v>1.8529271987298231E-3</v>
      </c>
      <c r="AC940" s="3">
        <f t="shared" si="311"/>
        <v>1.818717895615592E-2</v>
      </c>
      <c r="AD940" s="48"/>
      <c r="AE940" s="46">
        <f t="shared" si="306"/>
        <v>42.092147482639838</v>
      </c>
      <c r="AF940" s="46">
        <f t="shared" si="307"/>
        <v>-248.5398178065829</v>
      </c>
      <c r="AG940" s="47">
        <f t="shared" si="308"/>
        <v>5771.8007536914229</v>
      </c>
      <c r="AH940" s="45" t="str">
        <f t="shared" si="312"/>
        <v>-248.53982,42.09215,05772</v>
      </c>
      <c r="AI940" s="44">
        <f t="shared" si="314"/>
        <v>1021.3648069640689</v>
      </c>
    </row>
    <row r="941" spans="1:35" ht="18" customHeight="1" x14ac:dyDescent="0.25">
      <c r="A941" s="36">
        <f t="shared" si="309"/>
        <v>0.75035879629629632</v>
      </c>
      <c r="B941" s="42">
        <f t="shared" si="294"/>
        <v>42.092147480110953</v>
      </c>
      <c r="C941" s="43">
        <f t="shared" si="295"/>
        <v>111.46018191350612</v>
      </c>
      <c r="D941" s="18">
        <f t="shared" si="296"/>
        <v>5.75387166416931</v>
      </c>
      <c r="E941" s="21" t="str">
        <f t="shared" si="297"/>
        <v>Umbra</v>
      </c>
      <c r="F941" s="23">
        <f>IF($E941&lt;&gt;"Umbra",fracil2($S$2,$S$3,$S$4,$A941,$Q$2,$O$3,$Q$4,$U941,$V941,$W941),0)</f>
        <v>0</v>
      </c>
      <c r="G941" s="19">
        <f t="shared" si="298"/>
        <v>69.301326016129423</v>
      </c>
      <c r="H941" s="19">
        <f t="shared" si="299"/>
        <v>-4.5368819228731798</v>
      </c>
      <c r="I941" s="19">
        <f t="shared" si="300"/>
        <v>-3.3288639734782848</v>
      </c>
      <c r="J941" s="28">
        <f t="shared" si="301"/>
        <v>4.8508791693272378E-3</v>
      </c>
      <c r="K941" s="24">
        <f t="shared" si="302"/>
        <v>1048.2818228264805</v>
      </c>
      <c r="L941" s="32">
        <f t="shared" si="303"/>
        <v>0.56168605453961362</v>
      </c>
      <c r="M941" s="35">
        <f t="shared" si="304"/>
        <v>13.008720894705979</v>
      </c>
      <c r="O941" s="29">
        <f t="shared" si="305"/>
        <v>1046.5858270544918</v>
      </c>
      <c r="T941" s="48">
        <v>0.75035879629629632</v>
      </c>
      <c r="U941" s="29">
        <v>-1420.9328772090425</v>
      </c>
      <c r="V941" s="29">
        <v>4526.6322083784116</v>
      </c>
      <c r="W941" s="29">
        <v>4257.0602010447637</v>
      </c>
      <c r="X941" s="4">
        <v>-0.3260601838014015</v>
      </c>
      <c r="Y941" s="4">
        <v>-0.11645998915366894</v>
      </c>
      <c r="Z941" s="4">
        <v>-1.2159477678003607E-2</v>
      </c>
      <c r="AA941" s="3">
        <f t="shared" si="310"/>
        <v>0.34644772395222667</v>
      </c>
      <c r="AB941" s="3">
        <f t="shared" si="313"/>
        <v>1.8471218098940108E-3</v>
      </c>
      <c r="AC941" s="3">
        <f t="shared" si="311"/>
        <v>1.8169283434205857E-2</v>
      </c>
      <c r="AD941" s="48"/>
      <c r="AE941" s="46">
        <f t="shared" si="306"/>
        <v>42.092147480110953</v>
      </c>
      <c r="AF941" s="46">
        <f t="shared" si="307"/>
        <v>-248.53981808649388</v>
      </c>
      <c r="AG941" s="47">
        <f t="shared" si="308"/>
        <v>5753.87166416931</v>
      </c>
      <c r="AH941" s="45" t="str">
        <f t="shared" si="312"/>
        <v>-248.53982,42.09215,05754</v>
      </c>
      <c r="AI941" s="44">
        <f t="shared" si="314"/>
        <v>1021.3648069640689</v>
      </c>
    </row>
    <row r="942" spans="1:35" ht="18" customHeight="1" x14ac:dyDescent="0.25">
      <c r="A942" s="36">
        <f t="shared" si="309"/>
        <v>0.75037041666666671</v>
      </c>
      <c r="B942" s="42">
        <f t="shared" si="294"/>
        <v>42.092147477545524</v>
      </c>
      <c r="C942" s="43">
        <f t="shared" si="295"/>
        <v>111.46018109189154</v>
      </c>
      <c r="D942" s="18">
        <f t="shared" si="296"/>
        <v>5.7356726703828826</v>
      </c>
      <c r="E942" s="21" t="str">
        <f t="shared" si="297"/>
        <v>Umbra</v>
      </c>
      <c r="F942" s="23">
        <f>IF($E942&lt;&gt;"Umbra",fracil2($S$2,$S$3,$S$4,$A942,$Q$2,$O$3,$Q$4,$U942,$V942,$W942),0)</f>
        <v>0</v>
      </c>
      <c r="G942" s="19">
        <f t="shared" si="298"/>
        <v>69.301328440239061</v>
      </c>
      <c r="H942" s="19">
        <f t="shared" si="299"/>
        <v>-4.537872611779191</v>
      </c>
      <c r="I942" s="19">
        <f t="shared" si="300"/>
        <v>-3.3298546623842959</v>
      </c>
      <c r="J942" s="28">
        <f t="shared" si="301"/>
        <v>4.8500733169353112E-3</v>
      </c>
      <c r="K942" s="24">
        <f t="shared" si="302"/>
        <v>1048.2801892154328</v>
      </c>
      <c r="L942" s="32">
        <f t="shared" si="303"/>
        <v>0.5616998074180285</v>
      </c>
      <c r="M942" s="35">
        <f t="shared" si="304"/>
        <v>13.008053464033573</v>
      </c>
      <c r="O942" s="29">
        <f t="shared" si="305"/>
        <v>1046.5857609297964</v>
      </c>
      <c r="T942" s="48">
        <v>0.75037041666666671</v>
      </c>
      <c r="U942" s="29">
        <v>-1421.2601705587847</v>
      </c>
      <c r="V942" s="29">
        <v>4526.5153015925407</v>
      </c>
      <c r="W942" s="29">
        <v>4257.0480015933608</v>
      </c>
      <c r="X942" s="4">
        <v>-0.32605474833866582</v>
      </c>
      <c r="Y942" s="4">
        <v>-0.11647069978978093</v>
      </c>
      <c r="Z942" s="4">
        <v>-1.2147302392374302E-2</v>
      </c>
      <c r="AA942" s="3">
        <f t="shared" si="310"/>
        <v>0.34644578187520736</v>
      </c>
      <c r="AB942" s="3">
        <f t="shared" si="313"/>
        <v>1.8418343116326328E-3</v>
      </c>
      <c r="AC942" s="3">
        <f t="shared" si="311"/>
        <v>1.8151150162836915E-2</v>
      </c>
      <c r="AD942" s="48"/>
      <c r="AE942" s="46">
        <f t="shared" si="306"/>
        <v>42.092147477545524</v>
      </c>
      <c r="AF942" s="46">
        <f t="shared" si="307"/>
        <v>-248.53981890810846</v>
      </c>
      <c r="AG942" s="47">
        <f t="shared" si="308"/>
        <v>5735.6726703828826</v>
      </c>
      <c r="AH942" s="45" t="str">
        <f t="shared" si="312"/>
        <v>-248.53982,42.09215,05736</v>
      </c>
      <c r="AI942" s="44">
        <f t="shared" si="314"/>
        <v>1021.3648069640689</v>
      </c>
    </row>
    <row r="943" spans="1:35" ht="18" customHeight="1" x14ac:dyDescent="0.25">
      <c r="A943" s="36">
        <f t="shared" si="309"/>
        <v>0.75038207175925919</v>
      </c>
      <c r="B943" s="42">
        <f t="shared" si="294"/>
        <v>42.092147474975555</v>
      </c>
      <c r="C943" s="43">
        <f t="shared" si="295"/>
        <v>111.46018189353386</v>
      </c>
      <c r="D943" s="18">
        <f t="shared" si="296"/>
        <v>5.7174305387288769</v>
      </c>
      <c r="E943" s="21" t="str">
        <f t="shared" si="297"/>
        <v>Umbra</v>
      </c>
      <c r="F943" s="23">
        <f>IF($E943&lt;&gt;"Umbra",fracil2($S$2,$S$3,$S$4,$A943,$Q$2,$O$3,$Q$4,$U943,$V943,$W943),0)</f>
        <v>0</v>
      </c>
      <c r="G943" s="19">
        <f t="shared" si="298"/>
        <v>69.301332524103785</v>
      </c>
      <c r="H943" s="19">
        <f t="shared" si="299"/>
        <v>-4.5388662639426114</v>
      </c>
      <c r="I943" s="19">
        <f t="shared" si="300"/>
        <v>-3.3308483145477163</v>
      </c>
      <c r="J943" s="28">
        <f t="shared" si="301"/>
        <v>4.8492670757478637E-3</v>
      </c>
      <c r="K943" s="24">
        <f t="shared" si="302"/>
        <v>1048.278682719068</v>
      </c>
      <c r="L943" s="32">
        <f t="shared" si="303"/>
        <v>0.56171359824502154</v>
      </c>
      <c r="M943" s="35">
        <f t="shared" si="304"/>
        <v>13.007382809078004</v>
      </c>
      <c r="O943" s="29">
        <f t="shared" si="305"/>
        <v>1046.585825320208</v>
      </c>
      <c r="T943" s="48">
        <v>0.75038207175925919</v>
      </c>
      <c r="U943" s="29">
        <v>-1421.5885632643678</v>
      </c>
      <c r="V943" s="29">
        <v>4526.3979893388541</v>
      </c>
      <c r="W943" s="29">
        <v>4257.035773225196</v>
      </c>
      <c r="X943" s="4">
        <v>-0.32604928404406841</v>
      </c>
      <c r="Y943" s="4">
        <v>-0.1164814837687236</v>
      </c>
      <c r="Z943" s="4">
        <v>-1.2135121092198435E-2</v>
      </c>
      <c r="AA943" s="3">
        <f t="shared" si="310"/>
        <v>0.34644383794568395</v>
      </c>
      <c r="AB943" s="3">
        <f t="shared" si="313"/>
        <v>1.837248351921339E-3</v>
      </c>
      <c r="AC943" s="3">
        <f t="shared" si="311"/>
        <v>1.8133007993096764E-2</v>
      </c>
      <c r="AD943" s="48"/>
      <c r="AE943" s="46">
        <f t="shared" si="306"/>
        <v>42.092147474975555</v>
      </c>
      <c r="AF943" s="46">
        <f t="shared" si="307"/>
        <v>-248.53981810646616</v>
      </c>
      <c r="AG943" s="47">
        <f t="shared" si="308"/>
        <v>5717.4305387288769</v>
      </c>
      <c r="AH943" s="45" t="str">
        <f t="shared" si="312"/>
        <v>-248.53982,42.09215,05717</v>
      </c>
      <c r="AI943" s="44">
        <f t="shared" si="314"/>
        <v>1021.3648069640689</v>
      </c>
    </row>
    <row r="944" spans="1:35" ht="18" customHeight="1" x14ac:dyDescent="0.25">
      <c r="A944" s="36">
        <f t="shared" si="309"/>
        <v>0.7503935995370371</v>
      </c>
      <c r="B944" s="42">
        <f t="shared" si="294"/>
        <v>42.092147472438562</v>
      </c>
      <c r="C944" s="43">
        <f t="shared" si="295"/>
        <v>111.4601816675377</v>
      </c>
      <c r="D944" s="18">
        <f t="shared" si="296"/>
        <v>5.69941006460067</v>
      </c>
      <c r="E944" s="21" t="str">
        <f t="shared" si="297"/>
        <v>Umbra</v>
      </c>
      <c r="F944" s="23">
        <f>IF($E944&lt;&gt;"Umbra",fracil2($S$2,$S$3,$S$4,$A944,$Q$2,$O$3,$Q$4,$U944,$V944,$W944),0)</f>
        <v>0</v>
      </c>
      <c r="G944" s="19">
        <f t="shared" si="298"/>
        <v>69.301335522421283</v>
      </c>
      <c r="H944" s="19">
        <f t="shared" si="299"/>
        <v>-4.5398474620255627</v>
      </c>
      <c r="I944" s="19">
        <f t="shared" si="300"/>
        <v>-3.3318295126306676</v>
      </c>
      <c r="J944" s="28">
        <f t="shared" si="301"/>
        <v>4.8484721459971852E-3</v>
      </c>
      <c r="K944" s="24">
        <f t="shared" si="302"/>
        <v>1048.2771129948285</v>
      </c>
      <c r="L944" s="32">
        <f t="shared" si="303"/>
        <v>0.56172723700188532</v>
      </c>
      <c r="M944" s="35">
        <f t="shared" si="304"/>
        <v>13.006721318457123</v>
      </c>
      <c r="O944" s="29">
        <f t="shared" si="305"/>
        <v>1046.5858070859151</v>
      </c>
      <c r="T944" s="48">
        <v>0.7503935995370371</v>
      </c>
      <c r="U944" s="29">
        <v>-1421.9132838403668</v>
      </c>
      <c r="V944" s="29">
        <v>4526.2819762535746</v>
      </c>
      <c r="W944" s="29">
        <v>4257.0236934423237</v>
      </c>
      <c r="X944" s="4">
        <v>-0.32604387094299714</v>
      </c>
      <c r="Y944" s="4">
        <v>-0.11649218231223427</v>
      </c>
      <c r="Z944" s="4">
        <v>-1.2123108799730798E-2</v>
      </c>
      <c r="AA944" s="3">
        <f t="shared" si="310"/>
        <v>0.34644192022088016</v>
      </c>
      <c r="AB944" s="3">
        <f t="shared" si="313"/>
        <v>1.8317611115552025E-3</v>
      </c>
      <c r="AC944" s="3">
        <f t="shared" si="311"/>
        <v>1.811511759263449E-2</v>
      </c>
      <c r="AD944" s="48"/>
      <c r="AE944" s="46">
        <f t="shared" si="306"/>
        <v>42.092147472438562</v>
      </c>
      <c r="AF944" s="46">
        <f t="shared" si="307"/>
        <v>-248.53981833246229</v>
      </c>
      <c r="AG944" s="47">
        <f t="shared" si="308"/>
        <v>5699.41006460067</v>
      </c>
      <c r="AH944" s="45" t="str">
        <f t="shared" si="312"/>
        <v>-248.53982,42.09215,05699</v>
      </c>
      <c r="AI944" s="44">
        <f t="shared" si="314"/>
        <v>1021.3648069640689</v>
      </c>
    </row>
    <row r="945" spans="1:35" ht="18" customHeight="1" x14ac:dyDescent="0.25">
      <c r="A945" s="36">
        <f t="shared" si="309"/>
        <v>0.75040512731481479</v>
      </c>
      <c r="B945" s="42">
        <f t="shared" si="294"/>
        <v>42.092147469906465</v>
      </c>
      <c r="C945" s="43">
        <f t="shared" si="295"/>
        <v>111.4601798350743</v>
      </c>
      <c r="D945" s="18">
        <f t="shared" si="296"/>
        <v>5.6814143588653678</v>
      </c>
      <c r="E945" s="21" t="str">
        <f t="shared" si="297"/>
        <v>Umbra</v>
      </c>
      <c r="F945" s="23">
        <f>IF($E945&lt;&gt;"Umbra",fracil2($S$2,$S$3,$S$4,$A945,$Q$2,$O$3,$Q$4,$U945,$V945,$W945),0)</f>
        <v>0</v>
      </c>
      <c r="G945" s="19">
        <f t="shared" si="298"/>
        <v>69.301336881381943</v>
      </c>
      <c r="H945" s="19">
        <f t="shared" si="299"/>
        <v>-4.5408267097222419</v>
      </c>
      <c r="I945" s="19">
        <f t="shared" si="300"/>
        <v>-3.3328087603273469</v>
      </c>
      <c r="J945" s="28">
        <f t="shared" si="301"/>
        <v>4.8476798581549106E-3</v>
      </c>
      <c r="K945" s="24">
        <f t="shared" si="302"/>
        <v>1048.2754165449894</v>
      </c>
      <c r="L945" s="32">
        <f t="shared" si="303"/>
        <v>0.56174087472739476</v>
      </c>
      <c r="M945" s="35">
        <f t="shared" si="304"/>
        <v>13.006062344207757</v>
      </c>
      <c r="O945" s="29">
        <f t="shared" si="305"/>
        <v>1046.5856596864578</v>
      </c>
      <c r="T945" s="48">
        <v>0.75040512731481479</v>
      </c>
      <c r="U945" s="29">
        <v>-1422.2378736678947</v>
      </c>
      <c r="V945" s="29">
        <v>4526.1659972877915</v>
      </c>
      <c r="W945" s="29">
        <v>4257.0116302627293</v>
      </c>
      <c r="X945" s="4">
        <v>-0.32603845009396815</v>
      </c>
      <c r="Y945" s="4">
        <v>-0.11650291170171739</v>
      </c>
      <c r="Z945" s="4">
        <v>-1.2111134145183377E-2</v>
      </c>
      <c r="AA945" s="3">
        <f t="shared" si="310"/>
        <v>0.34644000771408856</v>
      </c>
      <c r="AB945" s="3">
        <f t="shared" si="313"/>
        <v>1.8260157630552219E-3</v>
      </c>
      <c r="AC945" s="3">
        <f t="shared" si="311"/>
        <v>1.8097283305704401E-2</v>
      </c>
      <c r="AD945" s="48"/>
      <c r="AE945" s="46">
        <f t="shared" si="306"/>
        <v>42.092147469906465</v>
      </c>
      <c r="AF945" s="46">
        <f t="shared" si="307"/>
        <v>-248.53982016492569</v>
      </c>
      <c r="AG945" s="47">
        <f t="shared" si="308"/>
        <v>5681.4143588653678</v>
      </c>
      <c r="AH945" s="45" t="str">
        <f t="shared" si="312"/>
        <v>-248.53982,42.09215,05681</v>
      </c>
      <c r="AI945" s="44">
        <f t="shared" si="314"/>
        <v>1021.3649713968282</v>
      </c>
    </row>
    <row r="946" spans="1:35" ht="18" customHeight="1" x14ac:dyDescent="0.25">
      <c r="A946" s="36">
        <f t="shared" si="309"/>
        <v>0.7504168171296296</v>
      </c>
      <c r="B946" s="42">
        <f t="shared" si="294"/>
        <v>42.092147467341789</v>
      </c>
      <c r="C946" s="43">
        <f t="shared" si="295"/>
        <v>111.4601797002604</v>
      </c>
      <c r="D946" s="18">
        <f t="shared" si="296"/>
        <v>5.6631763914865587</v>
      </c>
      <c r="E946" s="21" t="str">
        <f t="shared" si="297"/>
        <v>Umbra</v>
      </c>
      <c r="F946" s="23">
        <f>IF($E946&lt;&gt;"Umbra",fracil2($S$2,$S$3,$S$4,$A946,$Q$2,$O$3,$Q$4,$U946,$V946,$W946),0)</f>
        <v>0</v>
      </c>
      <c r="G946" s="19">
        <f t="shared" si="298"/>
        <v>69.301340011480619</v>
      </c>
      <c r="H946" s="19">
        <f t="shared" si="299"/>
        <v>-4.5418197915313714</v>
      </c>
      <c r="I946" s="19">
        <f t="shared" si="300"/>
        <v>-3.3338018421364763</v>
      </c>
      <c r="J946" s="28">
        <f t="shared" si="301"/>
        <v>4.8468783564264211E-3</v>
      </c>
      <c r="K946" s="24">
        <f t="shared" si="302"/>
        <v>1048.2738360502317</v>
      </c>
      <c r="L946" s="32">
        <f t="shared" si="303"/>
        <v>0.56175470095421753</v>
      </c>
      <c r="M946" s="35">
        <f t="shared" si="304"/>
        <v>13.005392759049615</v>
      </c>
      <c r="O946" s="29">
        <f t="shared" si="305"/>
        <v>1046.5856487828269</v>
      </c>
      <c r="T946" s="48">
        <v>0.7504168171296296</v>
      </c>
      <c r="U946" s="29">
        <v>-1422.5671549776512</v>
      </c>
      <c r="V946" s="29">
        <v>4526.0483291070814</v>
      </c>
      <c r="W946" s="29">
        <v>4256.9994046864231</v>
      </c>
      <c r="X946" s="4">
        <v>-0.3260329406568514</v>
      </c>
      <c r="Y946" s="4">
        <v>-0.11651383234966145</v>
      </c>
      <c r="Z946" s="4">
        <v>-1.2099020179122733E-2</v>
      </c>
      <c r="AA946" s="3">
        <f t="shared" si="310"/>
        <v>0.34643807211600436</v>
      </c>
      <c r="AB946" s="3">
        <f t="shared" si="313"/>
        <v>1.8216478579833797E-3</v>
      </c>
      <c r="AC946" s="3">
        <f t="shared" si="311"/>
        <v>1.8079241596020073E-2</v>
      </c>
      <c r="AD946" s="48"/>
      <c r="AE946" s="46">
        <f t="shared" si="306"/>
        <v>42.092147467341789</v>
      </c>
      <c r="AF946" s="46">
        <f t="shared" si="307"/>
        <v>-248.5398202997396</v>
      </c>
      <c r="AG946" s="47">
        <f t="shared" si="308"/>
        <v>5663.1763914865587</v>
      </c>
      <c r="AH946" s="45" t="str">
        <f t="shared" si="312"/>
        <v>-248.53982,42.09215,05663</v>
      </c>
      <c r="AI946" s="44">
        <f t="shared" si="314"/>
        <v>1021.3649713968282</v>
      </c>
    </row>
    <row r="947" spans="1:35" ht="18" customHeight="1" x14ac:dyDescent="0.25">
      <c r="A947" s="36">
        <f t="shared" si="309"/>
        <v>0.75042829861111116</v>
      </c>
      <c r="B947" s="42">
        <f t="shared" si="294"/>
        <v>42.09214746482705</v>
      </c>
      <c r="C947" s="43">
        <f t="shared" si="295"/>
        <v>111.46017923859642</v>
      </c>
      <c r="D947" s="18">
        <f t="shared" si="296"/>
        <v>5.6452826185204685</v>
      </c>
      <c r="E947" s="21" t="str">
        <f t="shared" si="297"/>
        <v>Umbra</v>
      </c>
      <c r="F947" s="23">
        <f>IF($E947&lt;&gt;"Umbra",fracil2($S$2,$S$3,$S$4,$A947,$Q$2,$O$3,$Q$4,$U947,$V947,$W947),0)</f>
        <v>0</v>
      </c>
      <c r="G947" s="19">
        <f t="shared" si="298"/>
        <v>69.301342747285418</v>
      </c>
      <c r="H947" s="19">
        <f t="shared" si="299"/>
        <v>-4.5427940104872357</v>
      </c>
      <c r="I947" s="19">
        <f t="shared" si="300"/>
        <v>-3.3347760610923407</v>
      </c>
      <c r="J947" s="28">
        <f t="shared" si="301"/>
        <v>4.8460934955434692E-3</v>
      </c>
      <c r="K947" s="24">
        <f t="shared" si="302"/>
        <v>1048.2722592050904</v>
      </c>
      <c r="L947" s="32">
        <f t="shared" si="303"/>
        <v>0.56176827893620873</v>
      </c>
      <c r="M947" s="35">
        <f t="shared" si="304"/>
        <v>13.00473613364546</v>
      </c>
      <c r="O947" s="29">
        <f t="shared" si="305"/>
        <v>1046.5856116006146</v>
      </c>
      <c r="T947" s="48">
        <v>0.75042829861111116</v>
      </c>
      <c r="U947" s="29">
        <v>-1422.89053680144</v>
      </c>
      <c r="V947" s="29">
        <v>4525.932756408667</v>
      </c>
      <c r="W947" s="29">
        <v>4256.9874098363434</v>
      </c>
      <c r="X947" s="4">
        <v>-0.32602751989546869</v>
      </c>
      <c r="Y947" s="4">
        <v>-0.11652459276250497</v>
      </c>
      <c r="Z947" s="4">
        <v>-1.2087156308484674E-2</v>
      </c>
      <c r="AA947" s="3">
        <f t="shared" si="310"/>
        <v>0.34643617564463963</v>
      </c>
      <c r="AB947" s="3">
        <f t="shared" si="313"/>
        <v>1.8164053091557449E-3</v>
      </c>
      <c r="AC947" s="3">
        <f t="shared" si="311"/>
        <v>1.8061572418922069E-2</v>
      </c>
      <c r="AD947" s="48"/>
      <c r="AE947" s="46">
        <f t="shared" si="306"/>
        <v>42.09214746482705</v>
      </c>
      <c r="AF947" s="46">
        <f t="shared" si="307"/>
        <v>-248.53982076140358</v>
      </c>
      <c r="AG947" s="47">
        <f t="shared" si="308"/>
        <v>5645.2826185204685</v>
      </c>
      <c r="AH947" s="45" t="str">
        <f t="shared" si="312"/>
        <v>-248.53982,42.09215,05645</v>
      </c>
      <c r="AI947" s="44">
        <f t="shared" si="314"/>
        <v>1021.3651056556132</v>
      </c>
    </row>
    <row r="948" spans="1:35" ht="18" customHeight="1" x14ac:dyDescent="0.25">
      <c r="A948" s="36">
        <f t="shared" si="309"/>
        <v>0.75043981481481481</v>
      </c>
      <c r="B948" s="42">
        <f t="shared" si="294"/>
        <v>42.09214746230721</v>
      </c>
      <c r="C948" s="43">
        <f t="shared" si="295"/>
        <v>111.46018150763594</v>
      </c>
      <c r="D948" s="18">
        <f t="shared" si="296"/>
        <v>5.6273405616766468</v>
      </c>
      <c r="E948" s="21" t="str">
        <f t="shared" si="297"/>
        <v>Umbra</v>
      </c>
      <c r="F948" s="23">
        <f>IF($E948&lt;&gt;"Umbra",fracil2($S$2,$S$3,$S$4,$A948,$Q$2,$O$3,$Q$4,$U948,$V948,$W948),0)</f>
        <v>0</v>
      </c>
      <c r="G948" s="19">
        <f t="shared" si="298"/>
        <v>69.301348270831369</v>
      </c>
      <c r="H948" s="19">
        <f t="shared" si="299"/>
        <v>-4.5437718887171439</v>
      </c>
      <c r="I948" s="19">
        <f t="shared" si="300"/>
        <v>-3.3357539393222488</v>
      </c>
      <c r="J948" s="28">
        <f t="shared" si="301"/>
        <v>4.8453078973469052E-3</v>
      </c>
      <c r="K948" s="24">
        <f t="shared" si="302"/>
        <v>1048.270898066145</v>
      </c>
      <c r="L948" s="32">
        <f t="shared" si="303"/>
        <v>0.56178189419911229</v>
      </c>
      <c r="M948" s="35">
        <f t="shared" si="304"/>
        <v>13.004074982526218</v>
      </c>
      <c r="O948" s="29">
        <f t="shared" si="305"/>
        <v>1046.5857939758714</v>
      </c>
      <c r="T948" s="48">
        <v>0.75043981481481481</v>
      </c>
      <c r="U948" s="29">
        <v>-1423.215104383487</v>
      </c>
      <c r="V948" s="29">
        <v>4525.8167472516861</v>
      </c>
      <c r="W948" s="29">
        <v>4256.975382619954</v>
      </c>
      <c r="X948" s="4">
        <v>-0.32602206922496685</v>
      </c>
      <c r="Y948" s="4">
        <v>-0.11653542800402029</v>
      </c>
      <c r="Z948" s="4">
        <v>-1.2075281952146763E-2</v>
      </c>
      <c r="AA948" s="3">
        <f t="shared" si="310"/>
        <v>0.34643427664714865</v>
      </c>
      <c r="AB948" s="3">
        <f t="shared" si="313"/>
        <v>1.8125234022249121E-3</v>
      </c>
      <c r="AC948" s="3">
        <f t="shared" si="311"/>
        <v>1.8043887682462338E-2</v>
      </c>
      <c r="AD948" s="48"/>
      <c r="AE948" s="46">
        <f t="shared" si="306"/>
        <v>42.09214746230721</v>
      </c>
      <c r="AF948" s="46">
        <f t="shared" si="307"/>
        <v>-248.53981849236408</v>
      </c>
      <c r="AG948" s="47">
        <f t="shared" si="308"/>
        <v>5627.3405616766468</v>
      </c>
      <c r="AH948" s="45" t="str">
        <f t="shared" si="312"/>
        <v>-248.53982,42.09215,05627</v>
      </c>
      <c r="AI948" s="44">
        <f t="shared" si="314"/>
        <v>1021.3652955262091</v>
      </c>
    </row>
    <row r="949" spans="1:35" ht="18" customHeight="1" x14ac:dyDescent="0.25">
      <c r="A949" s="36">
        <f t="shared" si="309"/>
        <v>0.7504514351851852</v>
      </c>
      <c r="B949" s="42">
        <f t="shared" si="294"/>
        <v>42.092147459769919</v>
      </c>
      <c r="C949" s="43">
        <f t="shared" si="295"/>
        <v>111.46018151921362</v>
      </c>
      <c r="D949" s="18">
        <f t="shared" si="296"/>
        <v>5.6092638780592097</v>
      </c>
      <c r="E949" s="21" t="str">
        <f t="shared" si="297"/>
        <v>Umbra</v>
      </c>
      <c r="F949" s="23">
        <f>IF($E949&lt;&gt;"Umbra",fracil2($S$2,$S$3,$S$4,$A949,$Q$2,$O$3,$Q$4,$U949,$V949,$W949),0)</f>
        <v>0</v>
      </c>
      <c r="G949" s="19">
        <f t="shared" si="298"/>
        <v>69.301351521047991</v>
      </c>
      <c r="H949" s="19">
        <f t="shared" si="299"/>
        <v>-4.5447562516382822</v>
      </c>
      <c r="I949" s="19">
        <f t="shared" si="300"/>
        <v>-3.3367383022433872</v>
      </c>
      <c r="J949" s="28">
        <f t="shared" si="301"/>
        <v>4.8445178471391084E-3</v>
      </c>
      <c r="K949" s="24">
        <f t="shared" si="302"/>
        <v>1048.269344146755</v>
      </c>
      <c r="L949" s="32">
        <f t="shared" si="303"/>
        <v>0.56179563201413185</v>
      </c>
      <c r="M949" s="35">
        <f t="shared" si="304"/>
        <v>13.003411148652829</v>
      </c>
      <c r="O949" s="29">
        <f t="shared" si="305"/>
        <v>1046.585794843287</v>
      </c>
      <c r="T949" s="48">
        <v>0.7504514351851852</v>
      </c>
      <c r="U949" s="29">
        <v>-1423.5424245057154</v>
      </c>
      <c r="V949" s="29">
        <v>4525.6997413563167</v>
      </c>
      <c r="W949" s="29">
        <v>4256.9632651584416</v>
      </c>
      <c r="X949" s="4">
        <v>-0.32601656306377397</v>
      </c>
      <c r="Y949" s="4">
        <v>-0.11654638808067136</v>
      </c>
      <c r="Z949" s="4">
        <v>-1.2063337606279508E-2</v>
      </c>
      <c r="AA949" s="3">
        <f t="shared" si="310"/>
        <v>0.34643236581008024</v>
      </c>
      <c r="AB949" s="3">
        <f t="shared" si="313"/>
        <v>1.8068573593085554E-3</v>
      </c>
      <c r="AC949" s="3">
        <f t="shared" si="311"/>
        <v>1.8026098767023865E-2</v>
      </c>
      <c r="AD949" s="48"/>
      <c r="AE949" s="46">
        <f t="shared" si="306"/>
        <v>42.092147459769919</v>
      </c>
      <c r="AF949" s="46">
        <f t="shared" si="307"/>
        <v>-248.53981848078638</v>
      </c>
      <c r="AG949" s="47">
        <f t="shared" si="308"/>
        <v>5609.2638780592097</v>
      </c>
      <c r="AH949" s="45" t="str">
        <f t="shared" si="312"/>
        <v>-248.53982,42.09215,05609</v>
      </c>
      <c r="AI949" s="44">
        <f t="shared" si="314"/>
        <v>1021.3652955262091</v>
      </c>
    </row>
    <row r="950" spans="1:35" ht="18" customHeight="1" x14ac:dyDescent="0.25">
      <c r="A950" s="36">
        <f t="shared" si="309"/>
        <v>0.75046305555555559</v>
      </c>
      <c r="B950" s="42">
        <f t="shared" si="294"/>
        <v>42.092147457237175</v>
      </c>
      <c r="C950" s="43">
        <f t="shared" si="295"/>
        <v>111.46018090770339</v>
      </c>
      <c r="D950" s="18">
        <f t="shared" si="296"/>
        <v>5.5912077382972711</v>
      </c>
      <c r="E950" s="21" t="str">
        <f t="shared" si="297"/>
        <v>Umbra</v>
      </c>
      <c r="F950" s="23">
        <f>IF($E950&lt;&gt;"Umbra",fracil2($S$2,$S$3,$S$4,$A950,$Q$2,$O$3,$Q$4,$U950,$V950,$W950),0)</f>
        <v>0</v>
      </c>
      <c r="G950" s="19">
        <f t="shared" si="298"/>
        <v>69.301354133466006</v>
      </c>
      <c r="H950" s="19">
        <f t="shared" si="299"/>
        <v>-4.5457392645054924</v>
      </c>
      <c r="I950" s="19">
        <f t="shared" si="300"/>
        <v>-3.3377213151105973</v>
      </c>
      <c r="J950" s="28">
        <f t="shared" si="301"/>
        <v>4.8437302527926567E-3</v>
      </c>
      <c r="K950" s="24">
        <f t="shared" si="302"/>
        <v>1048.2677422054326</v>
      </c>
      <c r="L950" s="32">
        <f t="shared" si="303"/>
        <v>0.56180936816731419</v>
      </c>
      <c r="M950" s="35">
        <f t="shared" si="304"/>
        <v>13.00274868731416</v>
      </c>
      <c r="O950" s="29">
        <f t="shared" si="305"/>
        <v>1046.5857456124886</v>
      </c>
      <c r="T950" s="48">
        <v>0.75046305555555559</v>
      </c>
      <c r="U950" s="29">
        <v>-1423.8696904837288</v>
      </c>
      <c r="V950" s="29">
        <v>4525.5827418181807</v>
      </c>
      <c r="W950" s="29">
        <v>4256.9511614683643</v>
      </c>
      <c r="X950" s="4">
        <v>-0.32601104760581284</v>
      </c>
      <c r="Y950" s="4">
        <v>-0.11655738226703173</v>
      </c>
      <c r="Z950" s="4">
        <v>-1.205142876801156E-2</v>
      </c>
      <c r="AA950" s="3">
        <f t="shared" si="310"/>
        <v>0.34643045977126924</v>
      </c>
      <c r="AB950" s="3">
        <f t="shared" si="313"/>
        <v>1.8014801206955571E-3</v>
      </c>
      <c r="AC950" s="3">
        <f t="shared" si="311"/>
        <v>1.8008362791704039E-2</v>
      </c>
      <c r="AD950" s="48"/>
      <c r="AE950" s="46">
        <f t="shared" si="306"/>
        <v>42.092147457237175</v>
      </c>
      <c r="AF950" s="46">
        <f t="shared" si="307"/>
        <v>-248.53981909229663</v>
      </c>
      <c r="AG950" s="47">
        <f t="shared" si="308"/>
        <v>5591.2077382972711</v>
      </c>
      <c r="AH950" s="45" t="str">
        <f t="shared" si="312"/>
        <v>-248.53982,42.09215,05591</v>
      </c>
      <c r="AI950" s="44">
        <f t="shared" si="314"/>
        <v>1021.3652955262091</v>
      </c>
    </row>
    <row r="951" spans="1:35" ht="18" customHeight="1" x14ac:dyDescent="0.25">
      <c r="A951" s="36">
        <f t="shared" si="309"/>
        <v>0.75047464120370366</v>
      </c>
      <c r="B951" s="42">
        <f t="shared" si="294"/>
        <v>42.092147454715793</v>
      </c>
      <c r="C951" s="43">
        <f t="shared" si="295"/>
        <v>111.46018057386046</v>
      </c>
      <c r="D951" s="18">
        <f t="shared" si="296"/>
        <v>5.5732220962981955</v>
      </c>
      <c r="E951" s="21" t="str">
        <f t="shared" si="297"/>
        <v>Umbra</v>
      </c>
      <c r="F951" s="23">
        <f>IF($E951&lt;&gt;"Umbra",fracil2($S$2,$S$3,$S$4,$A951,$Q$2,$O$3,$Q$4,$U951,$V951,$W951),0)</f>
        <v>0</v>
      </c>
      <c r="G951" s="19">
        <f t="shared" si="298"/>
        <v>69.301357015850456</v>
      </c>
      <c r="H951" s="19">
        <f t="shared" si="299"/>
        <v>-4.5467185457946879</v>
      </c>
      <c r="I951" s="19">
        <f t="shared" si="300"/>
        <v>-3.3387005963997929</v>
      </c>
      <c r="J951" s="28">
        <f t="shared" si="301"/>
        <v>4.8429470418547699E-3</v>
      </c>
      <c r="K951" s="24">
        <f t="shared" si="302"/>
        <v>1048.2661689589445</v>
      </c>
      <c r="L951" s="32">
        <f t="shared" si="303"/>
        <v>0.56182306105287716</v>
      </c>
      <c r="M951" s="35">
        <f t="shared" si="304"/>
        <v>13.002088527720788</v>
      </c>
      <c r="O951" s="29">
        <f t="shared" si="305"/>
        <v>1046.5857187073445</v>
      </c>
      <c r="T951" s="48">
        <v>0.75047464120370366</v>
      </c>
      <c r="U951" s="29">
        <v>-1424.1959945894794</v>
      </c>
      <c r="V951" s="29">
        <v>4525.4660731788763</v>
      </c>
      <c r="W951" s="29">
        <v>4256.9391050356353</v>
      </c>
      <c r="X951" s="4">
        <v>-0.3260055392037598</v>
      </c>
      <c r="Y951" s="4">
        <v>-0.11656837666123512</v>
      </c>
      <c r="Z951" s="4">
        <v>-1.2039585246240939E-2</v>
      </c>
      <c r="AA951" s="3">
        <f t="shared" si="310"/>
        <v>0.34642856354791424</v>
      </c>
      <c r="AB951" s="3">
        <f t="shared" si="313"/>
        <v>1.7969630868235533E-3</v>
      </c>
      <c r="AC951" s="3">
        <f t="shared" si="311"/>
        <v>1.7990724150654735E-2</v>
      </c>
      <c r="AD951" s="48"/>
      <c r="AE951" s="46">
        <f t="shared" si="306"/>
        <v>42.092147454715793</v>
      </c>
      <c r="AF951" s="46">
        <f t="shared" si="307"/>
        <v>-248.53981942613956</v>
      </c>
      <c r="AG951" s="47">
        <f t="shared" si="308"/>
        <v>5573.2220962981955</v>
      </c>
      <c r="AH951" s="45" t="str">
        <f t="shared" si="312"/>
        <v>-248.53982,42.09215,05573</v>
      </c>
      <c r="AI951" s="44">
        <f t="shared" si="314"/>
        <v>1021.3652955262091</v>
      </c>
    </row>
    <row r="952" spans="1:35" ht="18" customHeight="1" x14ac:dyDescent="0.25">
      <c r="A952" s="36">
        <f t="shared" si="309"/>
        <v>0.75048613425925925</v>
      </c>
      <c r="B952" s="42">
        <f t="shared" si="294"/>
        <v>42.092147452218974</v>
      </c>
      <c r="C952" s="43">
        <f t="shared" si="295"/>
        <v>111.46017981423418</v>
      </c>
      <c r="D952" s="18">
        <f t="shared" si="296"/>
        <v>5.5553994825568225</v>
      </c>
      <c r="E952" s="21" t="str">
        <f t="shared" si="297"/>
        <v>Umbra</v>
      </c>
      <c r="F952" s="23">
        <f>IF($E952&lt;&gt;"Umbra",fracil2($S$2,$S$3,$S$4,$A952,$Q$2,$O$3,$Q$4,$U952,$V952,$W952),0)</f>
        <v>0</v>
      </c>
      <c r="G952" s="19">
        <f t="shared" si="298"/>
        <v>69.301359435709756</v>
      </c>
      <c r="H952" s="19">
        <f t="shared" si="299"/>
        <v>-4.5476887922769427</v>
      </c>
      <c r="I952" s="19">
        <f t="shared" si="300"/>
        <v>-3.3396708428820476</v>
      </c>
      <c r="J952" s="28">
        <f t="shared" si="301"/>
        <v>4.8421724242129266E-3</v>
      </c>
      <c r="K952" s="24">
        <f t="shared" si="302"/>
        <v>1048.2645757978701</v>
      </c>
      <c r="L952" s="32">
        <f t="shared" si="303"/>
        <v>0.56183664276673517</v>
      </c>
      <c r="M952" s="35">
        <f t="shared" si="304"/>
        <v>13.001434775002201</v>
      </c>
      <c r="O952" s="29">
        <f t="shared" si="305"/>
        <v>1046.5856575684336</v>
      </c>
      <c r="T952" s="48">
        <v>0.75048613425925925</v>
      </c>
      <c r="U952" s="29">
        <v>-1424.5196519947383</v>
      </c>
      <c r="V952" s="29">
        <v>4525.3503380177999</v>
      </c>
      <c r="W952" s="29">
        <v>4256.9271578868429</v>
      </c>
      <c r="X952" s="4">
        <v>-0.32600006560334233</v>
      </c>
      <c r="Y952" s="4">
        <v>-0.11657931662016804</v>
      </c>
      <c r="Z952" s="4">
        <v>-1.2027870215467858E-2</v>
      </c>
      <c r="AA952" s="3">
        <f t="shared" si="310"/>
        <v>0.34642668704782115</v>
      </c>
      <c r="AB952" s="3">
        <f t="shared" si="313"/>
        <v>1.7917818945561619E-3</v>
      </c>
      <c r="AC952" s="3">
        <f t="shared" si="311"/>
        <v>1.7973276928889472E-2</v>
      </c>
      <c r="AD952" s="48"/>
      <c r="AE952" s="46">
        <f t="shared" si="306"/>
        <v>42.092147452218974</v>
      </c>
      <c r="AF952" s="46">
        <f t="shared" si="307"/>
        <v>-248.53982018576582</v>
      </c>
      <c r="AG952" s="47">
        <f t="shared" si="308"/>
        <v>5555.3994825568225</v>
      </c>
      <c r="AH952" s="45" t="str">
        <f t="shared" si="312"/>
        <v>-248.53982,42.09215,05555</v>
      </c>
      <c r="AI952" s="44">
        <f t="shared" si="314"/>
        <v>1021.3652955262091</v>
      </c>
    </row>
    <row r="953" spans="1:35" ht="18" customHeight="1" x14ac:dyDescent="0.25">
      <c r="A953" s="36">
        <f t="shared" si="309"/>
        <v>0.7504977083333334</v>
      </c>
      <c r="B953" s="42">
        <f t="shared" si="294"/>
        <v>42.092147449706857</v>
      </c>
      <c r="C953" s="43">
        <f t="shared" si="295"/>
        <v>111.46018183259953</v>
      </c>
      <c r="D953" s="18">
        <f t="shared" si="296"/>
        <v>5.5374568012666714</v>
      </c>
      <c r="E953" s="21" t="str">
        <f t="shared" si="297"/>
        <v>Umbra</v>
      </c>
      <c r="F953" s="23">
        <f>IF($E953&lt;&gt;"Umbra",fracil2($S$2,$S$3,$S$4,$A953,$Q$2,$O$3,$Q$4,$U953,$V953,$W953),0)</f>
        <v>0</v>
      </c>
      <c r="G953" s="19">
        <f t="shared" si="298"/>
        <v>69.301364704293803</v>
      </c>
      <c r="H953" s="19">
        <f t="shared" si="299"/>
        <v>-4.5486666238302567</v>
      </c>
      <c r="I953" s="19">
        <f t="shared" si="300"/>
        <v>-3.3406486744353616</v>
      </c>
      <c r="J953" s="28">
        <f t="shared" si="301"/>
        <v>4.8413938726679902E-3</v>
      </c>
      <c r="K953" s="24">
        <f t="shared" si="302"/>
        <v>1048.2631959764492</v>
      </c>
      <c r="L953" s="32">
        <f t="shared" si="303"/>
        <v>0.56185031641079408</v>
      </c>
      <c r="M953" s="35">
        <f t="shared" si="304"/>
        <v>13.000773813464528</v>
      </c>
      <c r="O953" s="29">
        <f t="shared" si="305"/>
        <v>1046.5858197888501</v>
      </c>
      <c r="T953" s="48">
        <v>0.7504977083333334</v>
      </c>
      <c r="U953" s="29">
        <v>-1424.8458026520984</v>
      </c>
      <c r="V953" s="29">
        <v>4525.2336983356508</v>
      </c>
      <c r="W953" s="29">
        <v>4256.9151302525188</v>
      </c>
      <c r="X953" s="4">
        <v>-0.32599454027581659</v>
      </c>
      <c r="Y953" s="4">
        <v>-0.11659037458054305</v>
      </c>
      <c r="Z953" s="4">
        <v>-1.2016096403404368E-2</v>
      </c>
      <c r="AA953" s="3">
        <f t="shared" si="310"/>
        <v>0.34642480036401585</v>
      </c>
      <c r="AB953" s="3">
        <f t="shared" si="313"/>
        <v>1.788161113078548E-3</v>
      </c>
      <c r="AC953" s="3">
        <f t="shared" si="311"/>
        <v>1.7955742221014509E-2</v>
      </c>
      <c r="AD953" s="48"/>
      <c r="AE953" s="46">
        <f t="shared" si="306"/>
        <v>42.092147449706857</v>
      </c>
      <c r="AF953" s="46">
        <f t="shared" si="307"/>
        <v>-248.53981816740048</v>
      </c>
      <c r="AG953" s="47">
        <f t="shared" si="308"/>
        <v>5537.4568012666714</v>
      </c>
      <c r="AH953" s="45" t="str">
        <f t="shared" si="312"/>
        <v>-248.53982,42.09215,05537</v>
      </c>
      <c r="AI953" s="44">
        <f t="shared" si="314"/>
        <v>1021.3654853968051</v>
      </c>
    </row>
    <row r="954" spans="1:35" ht="18" customHeight="1" x14ac:dyDescent="0.25">
      <c r="A954" s="36">
        <f t="shared" si="309"/>
        <v>0.75050935185185186</v>
      </c>
      <c r="B954" s="42">
        <f t="shared" si="294"/>
        <v>42.09214744718502</v>
      </c>
      <c r="C954" s="43">
        <f t="shared" si="295"/>
        <v>111.46018157059677</v>
      </c>
      <c r="D954" s="18">
        <f t="shared" si="296"/>
        <v>5.5194339958488854</v>
      </c>
      <c r="E954" s="21" t="str">
        <f t="shared" si="297"/>
        <v>Umbra</v>
      </c>
      <c r="F954" s="23">
        <f>IF($E954&lt;&gt;"Umbra",fracil2($S$2,$S$3,$S$4,$A954,$Q$2,$O$3,$Q$4,$U954,$V954,$W954),0)</f>
        <v>0</v>
      </c>
      <c r="G954" s="19">
        <f t="shared" si="298"/>
        <v>69.301367666475159</v>
      </c>
      <c r="H954" s="19">
        <f t="shared" si="299"/>
        <v>-4.5496479644985151</v>
      </c>
      <c r="I954" s="19">
        <f t="shared" si="300"/>
        <v>-3.34163001510362</v>
      </c>
      <c r="J954" s="28">
        <f t="shared" si="301"/>
        <v>4.84061334232554E-3</v>
      </c>
      <c r="K954" s="24">
        <f t="shared" si="302"/>
        <v>1048.2616262285133</v>
      </c>
      <c r="L954" s="32">
        <f t="shared" si="303"/>
        <v>0.56186407152929063</v>
      </c>
      <c r="M954" s="35">
        <f t="shared" si="304"/>
        <v>13.000112192861064</v>
      </c>
      <c r="O954" s="29">
        <f t="shared" si="305"/>
        <v>1046.5857986598824</v>
      </c>
      <c r="T954" s="48">
        <v>0.75050935185185186</v>
      </c>
      <c r="U954" s="29">
        <v>-1425.17372577274</v>
      </c>
      <c r="V954" s="29">
        <v>4525.1164116103992</v>
      </c>
      <c r="W954" s="29">
        <v>4256.9030489081897</v>
      </c>
      <c r="X954" s="4">
        <v>-0.32598897539232552</v>
      </c>
      <c r="Y954" s="4">
        <v>-0.11660152626187002</v>
      </c>
      <c r="Z954" s="4">
        <v>-1.2004289971771765E-2</v>
      </c>
      <c r="AA954" s="3">
        <f t="shared" si="310"/>
        <v>0.34642290770337658</v>
      </c>
      <c r="AB954" s="3">
        <f t="shared" si="313"/>
        <v>1.7824148890772259E-3</v>
      </c>
      <c r="AC954" s="3">
        <f t="shared" si="311"/>
        <v>1.7938158990449898E-2</v>
      </c>
      <c r="AD954" s="48"/>
      <c r="AE954" s="46">
        <f t="shared" si="306"/>
        <v>42.09214744718502</v>
      </c>
      <c r="AF954" s="46">
        <f t="shared" si="307"/>
        <v>-248.53981842940323</v>
      </c>
      <c r="AG954" s="47">
        <f t="shared" si="308"/>
        <v>5519.4339958488854</v>
      </c>
      <c r="AH954" s="45" t="str">
        <f t="shared" si="312"/>
        <v>-248.53982,42.09215,05519</v>
      </c>
      <c r="AI954" s="44">
        <f t="shared" si="314"/>
        <v>1021.3654853968051</v>
      </c>
    </row>
    <row r="955" spans="1:35" ht="18" customHeight="1" x14ac:dyDescent="0.25">
      <c r="A955" s="36">
        <f t="shared" si="309"/>
        <v>0.75052086805555562</v>
      </c>
      <c r="B955" s="42">
        <f t="shared" si="294"/>
        <v>42.092147444695613</v>
      </c>
      <c r="C955" s="43">
        <f t="shared" si="295"/>
        <v>111.46018010445751</v>
      </c>
      <c r="D955" s="18">
        <f t="shared" si="296"/>
        <v>5.5016308298245349</v>
      </c>
      <c r="E955" s="21" t="str">
        <f t="shared" si="297"/>
        <v>Umbra</v>
      </c>
      <c r="F955" s="23">
        <f>IF($E955&lt;&gt;"Umbra",fracil2($S$2,$S$3,$S$4,$A955,$Q$2,$O$3,$Q$4,$U955,$V955,$W955),0)</f>
        <v>0</v>
      </c>
      <c r="G955" s="19">
        <f t="shared" si="298"/>
        <v>69.301369363847755</v>
      </c>
      <c r="H955" s="19">
        <f t="shared" si="299"/>
        <v>-4.5506168952411361</v>
      </c>
      <c r="I955" s="19">
        <f t="shared" si="300"/>
        <v>-3.3425989458462411</v>
      </c>
      <c r="J955" s="28">
        <f t="shared" si="301"/>
        <v>4.8398438015355609E-3</v>
      </c>
      <c r="K955" s="24">
        <f t="shared" si="302"/>
        <v>1048.2599788409436</v>
      </c>
      <c r="L955" s="32">
        <f t="shared" si="303"/>
        <v>0.56187767501379104</v>
      </c>
      <c r="M955" s="35">
        <f t="shared" si="304"/>
        <v>12.999459840354326</v>
      </c>
      <c r="O955" s="29">
        <f t="shared" si="305"/>
        <v>1046.5856807151652</v>
      </c>
      <c r="T955" s="48">
        <v>0.75052086805555562</v>
      </c>
      <c r="U955" s="29">
        <v>-1425.4979635768827</v>
      </c>
      <c r="V955" s="29">
        <v>4525.0004299778166</v>
      </c>
      <c r="W955" s="29">
        <v>4256.8911147963045</v>
      </c>
      <c r="X955" s="4">
        <v>-0.32598346342384815</v>
      </c>
      <c r="Y955" s="4">
        <v>-0.11661258646877833</v>
      </c>
      <c r="Z955" s="4">
        <v>-1.1992647812495972E-2</v>
      </c>
      <c r="AA955" s="3">
        <f t="shared" si="310"/>
        <v>0.34642104057100837</v>
      </c>
      <c r="AB955" s="3">
        <f t="shared" si="313"/>
        <v>1.7770398356635009E-3</v>
      </c>
      <c r="AC955" s="3">
        <f t="shared" si="311"/>
        <v>1.7920820466084432E-2</v>
      </c>
      <c r="AD955" s="48"/>
      <c r="AE955" s="46">
        <f t="shared" si="306"/>
        <v>42.092147444695613</v>
      </c>
      <c r="AF955" s="46">
        <f t="shared" si="307"/>
        <v>-248.53981989554251</v>
      </c>
      <c r="AG955" s="47">
        <f t="shared" si="308"/>
        <v>5501.6308298245349</v>
      </c>
      <c r="AH955" s="45" t="str">
        <f t="shared" si="312"/>
        <v>-248.53982,42.09215,05502</v>
      </c>
      <c r="AI955" s="44">
        <f t="shared" si="314"/>
        <v>1021.3656196555901</v>
      </c>
    </row>
    <row r="956" spans="1:35" ht="18" customHeight="1" x14ac:dyDescent="0.25">
      <c r="A956" s="36">
        <f t="shared" si="309"/>
        <v>0.75053241898148138</v>
      </c>
      <c r="B956" s="42">
        <f t="shared" si="294"/>
        <v>42.092147442199774</v>
      </c>
      <c r="C956" s="43">
        <f t="shared" si="295"/>
        <v>111.46018339372038</v>
      </c>
      <c r="D956" s="18">
        <f t="shared" si="296"/>
        <v>5.4837709534403984</v>
      </c>
      <c r="E956" s="21" t="str">
        <f t="shared" si="297"/>
        <v>Umbra</v>
      </c>
      <c r="F956" s="23">
        <f>IF($E956&lt;&gt;"Umbra",fracil2($S$2,$S$3,$S$4,$A956,$Q$2,$O$3,$Q$4,$U956,$V956,$W956),0)</f>
        <v>0</v>
      </c>
      <c r="G956" s="19">
        <f t="shared" si="298"/>
        <v>69.30137591103248</v>
      </c>
      <c r="H956" s="19">
        <f t="shared" si="299"/>
        <v>-4.5515907029616827</v>
      </c>
      <c r="I956" s="19">
        <f t="shared" si="300"/>
        <v>-3.3435727535667876</v>
      </c>
      <c r="J956" s="28">
        <f t="shared" si="301"/>
        <v>4.8390729867379871E-3</v>
      </c>
      <c r="K956" s="24">
        <f t="shared" si="302"/>
        <v>1048.2587092270423</v>
      </c>
      <c r="L956" s="32">
        <f t="shared" si="303"/>
        <v>0.56189131444201323</v>
      </c>
      <c r="M956" s="35">
        <f t="shared" si="304"/>
        <v>12.998800619438079</v>
      </c>
      <c r="O956" s="29">
        <f t="shared" si="305"/>
        <v>1046.5859451203605</v>
      </c>
      <c r="T956" s="48">
        <v>0.75053241898148138</v>
      </c>
      <c r="U956" s="29">
        <v>-1425.8235448397356</v>
      </c>
      <c r="V956" s="29">
        <v>4524.8839547216458</v>
      </c>
      <c r="W956" s="29">
        <v>4256.8791426695207</v>
      </c>
      <c r="X956" s="4">
        <v>-0.32597791917413366</v>
      </c>
      <c r="Y956" s="4">
        <v>-0.11662372574291303</v>
      </c>
      <c r="Z956" s="4">
        <v>-1.1980988424174254E-2</v>
      </c>
      <c r="AA956" s="3">
        <f t="shared" si="310"/>
        <v>0.34641916990674232</v>
      </c>
      <c r="AB956" s="3">
        <f t="shared" si="313"/>
        <v>1.774314167249606E-3</v>
      </c>
      <c r="AC956" s="3">
        <f t="shared" si="311"/>
        <v>1.7903456339210092E-2</v>
      </c>
      <c r="AD956" s="48"/>
      <c r="AE956" s="46">
        <f t="shared" si="306"/>
        <v>42.092147442199774</v>
      </c>
      <c r="AF956" s="46">
        <f t="shared" si="307"/>
        <v>-248.5398166062796</v>
      </c>
      <c r="AG956" s="47">
        <f t="shared" si="308"/>
        <v>5483.7709534403984</v>
      </c>
      <c r="AH956" s="45" t="str">
        <f t="shared" si="312"/>
        <v>-248.53982,42.09215,05484</v>
      </c>
      <c r="AI956" s="44">
        <f t="shared" si="314"/>
        <v>1021.3658881731616</v>
      </c>
    </row>
    <row r="957" spans="1:35" ht="18" customHeight="1" x14ac:dyDescent="0.25">
      <c r="A957" s="36">
        <f t="shared" si="309"/>
        <v>0.75054406249999994</v>
      </c>
      <c r="B957" s="42">
        <f t="shared" si="294"/>
        <v>42.092147439690883</v>
      </c>
      <c r="C957" s="43">
        <f t="shared" si="295"/>
        <v>111.46018161456354</v>
      </c>
      <c r="D957" s="18">
        <f t="shared" si="296"/>
        <v>5.4658072412648835</v>
      </c>
      <c r="E957" s="21" t="str">
        <f t="shared" si="297"/>
        <v>Umbra</v>
      </c>
      <c r="F957" s="23">
        <f>IF($E957&lt;&gt;"Umbra",fracil2($S$2,$S$3,$S$4,$A957,$Q$2,$O$3,$Q$4,$U957,$V957,$W957),0)</f>
        <v>0</v>
      </c>
      <c r="G957" s="19">
        <f t="shared" si="298"/>
        <v>69.301377318623992</v>
      </c>
      <c r="H957" s="19">
        <f t="shared" si="299"/>
        <v>-4.55256826463006</v>
      </c>
      <c r="I957" s="19">
        <f t="shared" si="300"/>
        <v>-3.344550315235165</v>
      </c>
      <c r="J957" s="28">
        <f t="shared" si="301"/>
        <v>4.8382994049776182E-3</v>
      </c>
      <c r="K957" s="24">
        <f t="shared" si="302"/>
        <v>1048.2570234876098</v>
      </c>
      <c r="L957" s="32">
        <f t="shared" si="303"/>
        <v>0.56190506446877575</v>
      </c>
      <c r="M957" s="35">
        <f t="shared" si="304"/>
        <v>12.998142669287969</v>
      </c>
      <c r="O957" s="29">
        <f t="shared" si="305"/>
        <v>1046.5858020075025</v>
      </c>
      <c r="T957" s="48">
        <v>0.75054406249999994</v>
      </c>
      <c r="U957" s="29">
        <v>-1426.1513328816816</v>
      </c>
      <c r="V957" s="29">
        <v>4524.7666767405008</v>
      </c>
      <c r="W957" s="29">
        <v>4256.8671009379386</v>
      </c>
      <c r="X957" s="4">
        <v>-0.3259723273719588</v>
      </c>
      <c r="Y957" s="4">
        <v>-0.11663497545094778</v>
      </c>
      <c r="Z957" s="4">
        <v>-1.1969282617301621E-2</v>
      </c>
      <c r="AA957" s="3">
        <f t="shared" si="310"/>
        <v>0.34641729090377044</v>
      </c>
      <c r="AB957" s="3">
        <f t="shared" si="313"/>
        <v>1.7672062849443243E-3</v>
      </c>
      <c r="AC957" s="3">
        <f t="shared" si="311"/>
        <v>1.7886023139030875E-2</v>
      </c>
      <c r="AD957" s="48"/>
      <c r="AE957" s="46">
        <f t="shared" si="306"/>
        <v>42.092147439690883</v>
      </c>
      <c r="AF957" s="46">
        <f t="shared" si="307"/>
        <v>-248.53981838543646</v>
      </c>
      <c r="AG957" s="47">
        <f t="shared" si="308"/>
        <v>5465.8072412648835</v>
      </c>
      <c r="AH957" s="45" t="str">
        <f t="shared" si="312"/>
        <v>-248.53982,42.09215,05466</v>
      </c>
      <c r="AI957" s="44">
        <f t="shared" si="314"/>
        <v>1021.3660224319466</v>
      </c>
    </row>
    <row r="958" spans="1:35" ht="18" customHeight="1" x14ac:dyDescent="0.25">
      <c r="A958" s="36">
        <f t="shared" si="309"/>
        <v>0.7505555439814815</v>
      </c>
      <c r="B958" s="42">
        <f t="shared" si="294"/>
        <v>42.092147437219808</v>
      </c>
      <c r="C958" s="43">
        <f t="shared" si="295"/>
        <v>111.46018118614995</v>
      </c>
      <c r="D958" s="18">
        <f t="shared" si="296"/>
        <v>5.4481050315389439</v>
      </c>
      <c r="E958" s="21" t="str">
        <f t="shared" si="297"/>
        <v>Umbra</v>
      </c>
      <c r="F958" s="23">
        <f>IF($E958&lt;&gt;"Umbra",fracil2($S$2,$S$3,$S$4,$A958,$Q$2,$O$3,$Q$4,$U958,$V958,$W958),0)</f>
        <v>0</v>
      </c>
      <c r="G958" s="19">
        <f t="shared" si="298"/>
        <v>69.301380054047641</v>
      </c>
      <c r="H958" s="19">
        <f t="shared" si="299"/>
        <v>-4.5535320960562675</v>
      </c>
      <c r="I958" s="19">
        <f t="shared" si="300"/>
        <v>-3.3455141466613725</v>
      </c>
      <c r="J958" s="28">
        <f t="shared" si="301"/>
        <v>4.8375383631976228E-3</v>
      </c>
      <c r="K958" s="24">
        <f t="shared" si="302"/>
        <v>1048.2554691070545</v>
      </c>
      <c r="L958" s="32">
        <f t="shared" si="303"/>
        <v>0.56191862030442508</v>
      </c>
      <c r="M958" s="35">
        <f t="shared" si="304"/>
        <v>12.997492958158398</v>
      </c>
      <c r="O958" s="29">
        <f t="shared" si="305"/>
        <v>1046.5857674998235</v>
      </c>
      <c r="T958" s="48">
        <v>0.7505555439814815</v>
      </c>
      <c r="U958" s="29">
        <v>-1426.4746572074639</v>
      </c>
      <c r="V958" s="29">
        <v>4524.6509827435257</v>
      </c>
      <c r="W958" s="29">
        <v>4256.855234501093</v>
      </c>
      <c r="X958" s="4">
        <v>-0.32596680254693861</v>
      </c>
      <c r="Y958" s="4">
        <v>-0.11664610425474564</v>
      </c>
      <c r="Z958" s="4">
        <v>-1.1957766333341014E-2</v>
      </c>
      <c r="AA958" s="3">
        <f t="shared" si="310"/>
        <v>0.34641544159602156</v>
      </c>
      <c r="AB958" s="3">
        <f t="shared" si="313"/>
        <v>1.7631251877850954E-3</v>
      </c>
      <c r="AC958" s="3">
        <f t="shared" si="311"/>
        <v>1.7868872247084073E-2</v>
      </c>
      <c r="AD958" s="48"/>
      <c r="AE958" s="46">
        <f t="shared" si="306"/>
        <v>42.092147437219808</v>
      </c>
      <c r="AF958" s="46">
        <f t="shared" si="307"/>
        <v>-248.53981881385005</v>
      </c>
      <c r="AG958" s="47">
        <f t="shared" si="308"/>
        <v>5448.1050315389439</v>
      </c>
      <c r="AH958" s="45" t="str">
        <f t="shared" si="312"/>
        <v>-248.53982,42.09215,05448</v>
      </c>
      <c r="AI958" s="44">
        <f t="shared" si="314"/>
        <v>1021.3660224319466</v>
      </c>
    </row>
    <row r="959" spans="1:35" ht="18" customHeight="1" x14ac:dyDescent="0.25">
      <c r="A959" s="36">
        <f t="shared" si="309"/>
        <v>0.75056717592592592</v>
      </c>
      <c r="B959" s="42">
        <f t="shared" si="294"/>
        <v>42.092147434720729</v>
      </c>
      <c r="C959" s="43">
        <f t="shared" si="295"/>
        <v>111.4601806309103</v>
      </c>
      <c r="D959" s="18">
        <f t="shared" si="296"/>
        <v>5.4301887084347982</v>
      </c>
      <c r="E959" s="21" t="str">
        <f t="shared" si="297"/>
        <v>Umbra</v>
      </c>
      <c r="F959" s="23">
        <f>IF($E959&lt;&gt;"Umbra",fracil2($S$2,$S$3,$S$4,$A959,$Q$2,$O$3,$Q$4,$U959,$V959,$W959),0)</f>
        <v>0</v>
      </c>
      <c r="G959" s="19">
        <f t="shared" si="298"/>
        <v>69.301382698764655</v>
      </c>
      <c r="H959" s="19">
        <f t="shared" si="299"/>
        <v>-4.5545075425635329</v>
      </c>
      <c r="I959" s="19">
        <f t="shared" si="300"/>
        <v>-3.3464895931686378</v>
      </c>
      <c r="J959" s="28">
        <f t="shared" si="301"/>
        <v>4.8367693585475323E-3</v>
      </c>
      <c r="K959" s="24">
        <f t="shared" si="302"/>
        <v>1048.2538864476981</v>
      </c>
      <c r="L959" s="32">
        <f t="shared" si="303"/>
        <v>0.56193235186281398</v>
      </c>
      <c r="M959" s="35">
        <f t="shared" si="304"/>
        <v>12.996835502800595</v>
      </c>
      <c r="O959" s="29">
        <f t="shared" si="305"/>
        <v>1046.585722794212</v>
      </c>
      <c r="T959" s="48">
        <v>0.75056717592592592</v>
      </c>
      <c r="U959" s="29">
        <v>-1426.8022036045013</v>
      </c>
      <c r="V959" s="29">
        <v>4524.5337647050419</v>
      </c>
      <c r="W959" s="29">
        <v>4256.843224536402</v>
      </c>
      <c r="X959" s="4">
        <v>-0.32596119687705749</v>
      </c>
      <c r="Y959" s="4">
        <v>-0.11665740918619343</v>
      </c>
      <c r="Z959" s="4">
        <v>-1.1946128371093934E-2</v>
      </c>
      <c r="AA959" s="3">
        <f t="shared" si="310"/>
        <v>0.34641357215129065</v>
      </c>
      <c r="AB959" s="3">
        <f t="shared" si="313"/>
        <v>1.7587006476249493E-3</v>
      </c>
      <c r="AC959" s="3">
        <f t="shared" si="311"/>
        <v>1.7851540199440741E-2</v>
      </c>
      <c r="AD959" s="48"/>
      <c r="AE959" s="46">
        <f t="shared" si="306"/>
        <v>42.092147434720729</v>
      </c>
      <c r="AF959" s="46">
        <f t="shared" si="307"/>
        <v>-248.53981936908968</v>
      </c>
      <c r="AG959" s="47">
        <f t="shared" si="308"/>
        <v>5430.1887084347982</v>
      </c>
      <c r="AH959" s="45" t="str">
        <f t="shared" si="312"/>
        <v>-248.53982,42.09215,05430</v>
      </c>
      <c r="AI959" s="44">
        <f t="shared" si="314"/>
        <v>1021.3661173672446</v>
      </c>
    </row>
    <row r="960" spans="1:35" ht="18" customHeight="1" x14ac:dyDescent="0.25">
      <c r="A960" s="36">
        <f t="shared" si="309"/>
        <v>0.7505787615740741</v>
      </c>
      <c r="B960" s="42">
        <f t="shared" si="294"/>
        <v>42.092147432234071</v>
      </c>
      <c r="C960" s="43">
        <f t="shared" si="295"/>
        <v>111.46018230357291</v>
      </c>
      <c r="D960" s="18">
        <f t="shared" si="296"/>
        <v>5.4123515286100883</v>
      </c>
      <c r="E960" s="21" t="str">
        <f t="shared" si="297"/>
        <v>Umbra</v>
      </c>
      <c r="F960" s="23">
        <f>IF($E960&lt;&gt;"Umbra",fracil2($S$2,$S$3,$S$4,$A960,$Q$2,$O$3,$Q$4,$U960,$V960,$W960),0)</f>
        <v>0</v>
      </c>
      <c r="G960" s="19">
        <f t="shared" si="298"/>
        <v>69.301387596679803</v>
      </c>
      <c r="H960" s="19">
        <f t="shared" si="299"/>
        <v>-4.5554795180955363</v>
      </c>
      <c r="I960" s="19">
        <f t="shared" si="300"/>
        <v>-3.3474615687006413</v>
      </c>
      <c r="J960" s="28">
        <f t="shared" si="301"/>
        <v>4.8360050349443642E-3</v>
      </c>
      <c r="K960" s="24">
        <f t="shared" si="302"/>
        <v>1048.2524900113124</v>
      </c>
      <c r="L960" s="32">
        <f t="shared" si="303"/>
        <v>0.56194602532730697</v>
      </c>
      <c r="M960" s="35">
        <f t="shared" si="304"/>
        <v>12.996178708298057</v>
      </c>
      <c r="O960" s="29">
        <f t="shared" si="305"/>
        <v>1046.58585721962</v>
      </c>
      <c r="T960" s="48">
        <v>0.7505787615740741</v>
      </c>
      <c r="U960" s="29">
        <v>-1427.1286143746545</v>
      </c>
      <c r="V960" s="29">
        <v>4524.41693974591</v>
      </c>
      <c r="W960" s="29">
        <v>4256.8312676244504</v>
      </c>
      <c r="X960" s="4">
        <v>-0.32595560122322259</v>
      </c>
      <c r="Y960" s="4">
        <v>-0.11666870798173774</v>
      </c>
      <c r="Z960" s="4">
        <v>-1.193456160040232E-2</v>
      </c>
      <c r="AA960" s="3">
        <f t="shared" si="310"/>
        <v>0.34641171335783999</v>
      </c>
      <c r="AB960" s="3">
        <f t="shared" si="313"/>
        <v>1.7549213861196276E-3</v>
      </c>
      <c r="AC960" s="3">
        <f t="shared" si="311"/>
        <v>1.7834314231569288E-2</v>
      </c>
      <c r="AD960" s="48"/>
      <c r="AE960" s="46">
        <f t="shared" si="306"/>
        <v>42.092147432234071</v>
      </c>
      <c r="AF960" s="46">
        <f t="shared" si="307"/>
        <v>-248.53981769642709</v>
      </c>
      <c r="AG960" s="47">
        <f t="shared" si="308"/>
        <v>5412.3515286100883</v>
      </c>
      <c r="AH960" s="45" t="str">
        <f t="shared" si="312"/>
        <v>-248.53982,42.09215,05412</v>
      </c>
      <c r="AI960" s="44">
        <f t="shared" si="314"/>
        <v>1021.3662818000039</v>
      </c>
    </row>
    <row r="961" spans="1:35" ht="18" customHeight="1" x14ac:dyDescent="0.25">
      <c r="A961" s="36">
        <f t="shared" si="309"/>
        <v>0.75059027777777787</v>
      </c>
      <c r="B961" s="42">
        <f t="shared" si="294"/>
        <v>42.092147429768005</v>
      </c>
      <c r="C961" s="43">
        <f t="shared" si="295"/>
        <v>111.46018091181587</v>
      </c>
      <c r="D961" s="18">
        <f t="shared" si="296"/>
        <v>5.3946513677128678</v>
      </c>
      <c r="E961" s="21" t="str">
        <f t="shared" si="297"/>
        <v>Umbra</v>
      </c>
      <c r="F961" s="23">
        <f>IF($E961&lt;&gt;"Umbra",fracil2($S$2,$S$3,$S$4,$A961,$Q$2,$O$3,$Q$4,$U961,$V961,$W961),0)</f>
        <v>0</v>
      </c>
      <c r="G961" s="19">
        <f t="shared" si="298"/>
        <v>69.301389351353919</v>
      </c>
      <c r="H961" s="19">
        <f t="shared" si="299"/>
        <v>-4.5564428850462111</v>
      </c>
      <c r="I961" s="19">
        <f t="shared" si="300"/>
        <v>-3.348424935651316</v>
      </c>
      <c r="J961" s="28">
        <f t="shared" si="301"/>
        <v>4.8352481029837755E-3</v>
      </c>
      <c r="K961" s="24">
        <f t="shared" si="302"/>
        <v>1048.2508592485849</v>
      </c>
      <c r="L961" s="32">
        <f t="shared" si="303"/>
        <v>0.56195961684011997</v>
      </c>
      <c r="M961" s="35">
        <f t="shared" si="304"/>
        <v>12.995530016447864</v>
      </c>
      <c r="O961" s="29">
        <f t="shared" si="305"/>
        <v>1046.585745256069</v>
      </c>
      <c r="T961" s="48">
        <v>0.75059027777777787</v>
      </c>
      <c r="U961" s="29">
        <v>-1427.4528248020317</v>
      </c>
      <c r="V961" s="29">
        <v>4524.3008891022355</v>
      </c>
      <c r="W961" s="29">
        <v>4256.8194025614057</v>
      </c>
      <c r="X961" s="4">
        <v>-0.32595003388418525</v>
      </c>
      <c r="Y961" s="4">
        <v>-0.11667996355778595</v>
      </c>
      <c r="Z961" s="4">
        <v>-1.1923103543727618E-2</v>
      </c>
      <c r="AA961" s="3">
        <f t="shared" si="310"/>
        <v>0.34640987122635841</v>
      </c>
      <c r="AB961" s="3">
        <f t="shared" si="313"/>
        <v>1.7489044660729345E-3</v>
      </c>
      <c r="AC961" s="3">
        <f t="shared" si="311"/>
        <v>1.7817250223160858E-2</v>
      </c>
      <c r="AD961" s="48"/>
      <c r="AE961" s="46">
        <f t="shared" si="306"/>
        <v>42.092147429768005</v>
      </c>
      <c r="AF961" s="46">
        <f t="shared" si="307"/>
        <v>-248.53981908818412</v>
      </c>
      <c r="AG961" s="47">
        <f t="shared" si="308"/>
        <v>5394.6513677128678</v>
      </c>
      <c r="AH961" s="45" t="str">
        <f t="shared" si="312"/>
        <v>-248.53982,42.09215,05395</v>
      </c>
      <c r="AI961" s="44">
        <f t="shared" si="314"/>
        <v>1021.3664462327632</v>
      </c>
    </row>
    <row r="962" spans="1:35" ht="18" customHeight="1" x14ac:dyDescent="0.25">
      <c r="A962" s="36">
        <f t="shared" si="309"/>
        <v>0.75060190972222218</v>
      </c>
      <c r="B962" s="42">
        <f t="shared" si="294"/>
        <v>42.092147427279322</v>
      </c>
      <c r="C962" s="43">
        <f t="shared" si="295"/>
        <v>111.46018267984387</v>
      </c>
      <c r="D962" s="18">
        <f t="shared" si="296"/>
        <v>5.3767770538588593</v>
      </c>
      <c r="E962" s="21" t="str">
        <f t="shared" si="297"/>
        <v>Umbra</v>
      </c>
      <c r="F962" s="23">
        <f>IF($E962&lt;&gt;"Umbra",fracil2($S$2,$S$3,$S$4,$A962,$Q$2,$O$3,$Q$4,$U962,$V962,$W962),0)</f>
        <v>0</v>
      </c>
      <c r="G962" s="19">
        <f t="shared" si="298"/>
        <v>69.301394352992475</v>
      </c>
      <c r="H962" s="19">
        <f t="shared" si="299"/>
        <v>-4.5574169239257678</v>
      </c>
      <c r="I962" s="19">
        <f t="shared" si="300"/>
        <v>-3.3493989745308728</v>
      </c>
      <c r="J962" s="28">
        <f t="shared" si="301"/>
        <v>4.8344848641695953E-3</v>
      </c>
      <c r="K962" s="24">
        <f t="shared" si="302"/>
        <v>1048.249467894092</v>
      </c>
      <c r="L962" s="32">
        <f t="shared" si="303"/>
        <v>0.56197334090151674</v>
      </c>
      <c r="M962" s="35">
        <f t="shared" si="304"/>
        <v>12.994871746703863</v>
      </c>
      <c r="O962" s="29">
        <f t="shared" si="305"/>
        <v>1046.5858873491218</v>
      </c>
      <c r="T962" s="48">
        <v>0.75060190972222218</v>
      </c>
      <c r="U962" s="29">
        <v>-1427.7805355997386</v>
      </c>
      <c r="V962" s="29">
        <v>4524.1835720967765</v>
      </c>
      <c r="W962" s="29">
        <v>4256.8074207574236</v>
      </c>
      <c r="X962" s="4">
        <v>-0.32594439753103166</v>
      </c>
      <c r="Y962" s="4">
        <v>-0.11669137202196388</v>
      </c>
      <c r="Z962" s="4">
        <v>-1.1911551020905208E-2</v>
      </c>
      <c r="AA962" s="3">
        <f t="shared" si="310"/>
        <v>0.34640801323577836</v>
      </c>
      <c r="AB962" s="3">
        <f t="shared" si="313"/>
        <v>1.7457721275286255E-3</v>
      </c>
      <c r="AC962" s="3">
        <f t="shared" si="311"/>
        <v>1.7800045586471094E-2</v>
      </c>
      <c r="AD962" s="48"/>
      <c r="AE962" s="46">
        <f t="shared" si="306"/>
        <v>42.092147427279322</v>
      </c>
      <c r="AF962" s="46">
        <f t="shared" si="307"/>
        <v>-248.53981732015615</v>
      </c>
      <c r="AG962" s="47">
        <f t="shared" si="308"/>
        <v>5376.7770538588593</v>
      </c>
      <c r="AH962" s="45" t="str">
        <f t="shared" si="312"/>
        <v>-248.53982,42.09215,05377</v>
      </c>
      <c r="AI962" s="44">
        <f t="shared" si="314"/>
        <v>1021.3666106655226</v>
      </c>
    </row>
    <row r="963" spans="1:35" ht="18" customHeight="1" x14ac:dyDescent="0.25">
      <c r="A963" s="36">
        <f t="shared" si="309"/>
        <v>0.75061346064814816</v>
      </c>
      <c r="B963" s="42">
        <f t="shared" si="294"/>
        <v>42.092147424813504</v>
      </c>
      <c r="C963" s="43">
        <f t="shared" si="295"/>
        <v>111.4601815241448</v>
      </c>
      <c r="D963" s="18">
        <f t="shared" si="296"/>
        <v>5.3590567307128367</v>
      </c>
      <c r="E963" s="21" t="str">
        <f t="shared" si="297"/>
        <v>Umbra</v>
      </c>
      <c r="F963" s="23">
        <f>IF($E963&lt;&gt;"Umbra",fracil2($S$2,$S$3,$S$4,$A963,$Q$2,$O$3,$Q$4,$U963,$V963,$W963),0)</f>
        <v>0</v>
      </c>
      <c r="G963" s="19">
        <f t="shared" si="298"/>
        <v>69.301396351535899</v>
      </c>
      <c r="H963" s="19">
        <f t="shared" si="299"/>
        <v>-4.5583814831631226</v>
      </c>
      <c r="I963" s="19">
        <f t="shared" si="300"/>
        <v>-3.3503635337682276</v>
      </c>
      <c r="J963" s="28">
        <f t="shared" si="301"/>
        <v>4.8337296804047301E-3</v>
      </c>
      <c r="K963" s="24">
        <f t="shared" si="302"/>
        <v>1048.2478549780355</v>
      </c>
      <c r="L963" s="32">
        <f t="shared" si="303"/>
        <v>0.56198696928787328</v>
      </c>
      <c r="M963" s="35">
        <f t="shared" si="304"/>
        <v>12.994222061441155</v>
      </c>
      <c r="O963" s="29">
        <f t="shared" si="305"/>
        <v>1046.5857943654175</v>
      </c>
      <c r="T963" s="48">
        <v>0.75061346064814816</v>
      </c>
      <c r="U963" s="29">
        <v>-1428.1057311078325</v>
      </c>
      <c r="V963" s="29">
        <v>4524.0671421760826</v>
      </c>
      <c r="W963" s="29">
        <v>4256.7955421791439</v>
      </c>
      <c r="X963" s="4">
        <v>-0.32593879519424224</v>
      </c>
      <c r="Y963" s="4">
        <v>-0.11670272531170714</v>
      </c>
      <c r="Z963" s="4">
        <v>-1.1900117383293397E-2</v>
      </c>
      <c r="AA963" s="3">
        <f t="shared" si="310"/>
        <v>0.34640617359046899</v>
      </c>
      <c r="AB963" s="3">
        <f t="shared" si="313"/>
        <v>1.7399198455298368E-3</v>
      </c>
      <c r="AC963" s="3">
        <f t="shared" si="311"/>
        <v>1.7783018055773769E-2</v>
      </c>
      <c r="AD963" s="48"/>
      <c r="AE963" s="46">
        <f t="shared" si="306"/>
        <v>42.092147424813504</v>
      </c>
      <c r="AF963" s="46">
        <f t="shared" si="307"/>
        <v>-248.53981847585521</v>
      </c>
      <c r="AG963" s="47">
        <f t="shared" si="308"/>
        <v>5359.0567307128367</v>
      </c>
      <c r="AH963" s="45" t="str">
        <f t="shared" si="312"/>
        <v>-248.53982,42.09215,05359</v>
      </c>
      <c r="AI963" s="44">
        <f t="shared" si="314"/>
        <v>1021.3667449243076</v>
      </c>
    </row>
    <row r="964" spans="1:35" ht="18" customHeight="1" x14ac:dyDescent="0.25">
      <c r="A964" s="36">
        <f t="shared" si="309"/>
        <v>0.75062501157407402</v>
      </c>
      <c r="B964" s="42">
        <f t="shared" si="294"/>
        <v>42.09214742234996</v>
      </c>
      <c r="C964" s="43">
        <f t="shared" si="295"/>
        <v>111.46018316424168</v>
      </c>
      <c r="D964" s="18">
        <f t="shared" si="296"/>
        <v>5.3413415327640905</v>
      </c>
      <c r="E964" s="21" t="str">
        <f t="shared" si="297"/>
        <v>Umbra</v>
      </c>
      <c r="F964" s="23">
        <f>IF($E964&lt;&gt;"Umbra",fracil2($S$2,$S$3,$S$4,$A964,$Q$2,$O$3,$Q$4,$U964,$V964,$W964),0)</f>
        <v>0</v>
      </c>
      <c r="G964" s="19">
        <f t="shared" si="298"/>
        <v>69.301401194487312</v>
      </c>
      <c r="H964" s="19">
        <f t="shared" si="299"/>
        <v>-4.5593468144542548</v>
      </c>
      <c r="I964" s="19">
        <f t="shared" si="300"/>
        <v>-3.3513288650593598</v>
      </c>
      <c r="J964" s="28">
        <f t="shared" si="301"/>
        <v>4.8329761405898862E-3</v>
      </c>
      <c r="K964" s="24">
        <f t="shared" si="302"/>
        <v>1048.2464675843203</v>
      </c>
      <c r="L964" s="32">
        <f t="shared" si="303"/>
        <v>0.56200059389457113</v>
      </c>
      <c r="M964" s="35">
        <f t="shared" si="304"/>
        <v>12.993569748791073</v>
      </c>
      <c r="O964" s="29">
        <f t="shared" si="305"/>
        <v>1046.5859261730127</v>
      </c>
      <c r="T964" s="48">
        <v>0.75062501157407402</v>
      </c>
      <c r="U964" s="29">
        <v>-1428.4311391269707</v>
      </c>
      <c r="V964" s="29">
        <v>4523.9506228091604</v>
      </c>
      <c r="W964" s="29">
        <v>4256.7836670366005</v>
      </c>
      <c r="X964" s="4">
        <v>-0.32593317899140267</v>
      </c>
      <c r="Y964" s="4">
        <v>-0.11671412141404124</v>
      </c>
      <c r="Z964" s="4">
        <v>-1.1888709338316162E-2</v>
      </c>
      <c r="AA964" s="3">
        <f t="shared" si="310"/>
        <v>0.34640433703206464</v>
      </c>
      <c r="AB964" s="3">
        <f t="shared" si="313"/>
        <v>1.7360196037024859E-3</v>
      </c>
      <c r="AC964" s="3">
        <f t="shared" si="311"/>
        <v>1.7766028694356423E-2</v>
      </c>
      <c r="AD964" s="48"/>
      <c r="AE964" s="46">
        <f t="shared" si="306"/>
        <v>42.09214742234996</v>
      </c>
      <c r="AF964" s="46">
        <f t="shared" si="307"/>
        <v>-248.5398168357583</v>
      </c>
      <c r="AG964" s="47">
        <f t="shared" si="308"/>
        <v>5341.3415327640905</v>
      </c>
      <c r="AH964" s="45" t="str">
        <f t="shared" si="312"/>
        <v>-248.53982,42.09215,05341</v>
      </c>
      <c r="AI964" s="44">
        <f t="shared" si="314"/>
        <v>1021.3668791830926</v>
      </c>
    </row>
    <row r="965" spans="1:35" ht="18" customHeight="1" x14ac:dyDescent="0.25">
      <c r="A965" s="36">
        <f t="shared" si="309"/>
        <v>0.75063656249999999</v>
      </c>
      <c r="B965" s="42">
        <f t="shared" si="294"/>
        <v>42.092147419890935</v>
      </c>
      <c r="C965" s="43">
        <f t="shared" si="295"/>
        <v>111.46018347147198</v>
      </c>
      <c r="D965" s="18">
        <f t="shared" si="296"/>
        <v>5.3236489570444974</v>
      </c>
      <c r="E965" s="21" t="str">
        <f t="shared" si="297"/>
        <v>Umbra</v>
      </c>
      <c r="F965" s="23">
        <f>IF($E965&lt;&gt;"Umbra",fracil2($S$2,$S$3,$S$4,$A965,$Q$2,$O$3,$Q$4,$U965,$V965,$W965),0)</f>
        <v>0</v>
      </c>
      <c r="G965" s="19">
        <f t="shared" si="298"/>
        <v>69.30140467691939</v>
      </c>
      <c r="H965" s="19">
        <f t="shared" si="299"/>
        <v>-4.5603104167410082</v>
      </c>
      <c r="I965" s="19">
        <f t="shared" si="300"/>
        <v>-3.3522924673461132</v>
      </c>
      <c r="J965" s="28">
        <f t="shared" si="301"/>
        <v>4.8322248006088244E-3</v>
      </c>
      <c r="K965" s="24">
        <f t="shared" si="302"/>
        <v>1048.2449752631298</v>
      </c>
      <c r="L965" s="32">
        <f t="shared" si="303"/>
        <v>0.56201421741012703</v>
      </c>
      <c r="M965" s="35">
        <f t="shared" si="304"/>
        <v>12.99291959787725</v>
      </c>
      <c r="O965" s="29">
        <f t="shared" si="305"/>
        <v>1046.5859508138356</v>
      </c>
      <c r="T965" s="48">
        <v>0.75063656249999999</v>
      </c>
      <c r="U965" s="29">
        <v>-1428.7564375676268</v>
      </c>
      <c r="V965" s="29">
        <v>4523.8341292842979</v>
      </c>
      <c r="W965" s="29">
        <v>4256.7718070586761</v>
      </c>
      <c r="X965" s="4">
        <v>-0.32592755631092768</v>
      </c>
      <c r="Y965" s="4">
        <v>-0.11672554321609752</v>
      </c>
      <c r="Z965" s="4">
        <v>-1.1877332654425175E-2</v>
      </c>
      <c r="AA965" s="3">
        <f t="shared" si="310"/>
        <v>0.34640250494603797</v>
      </c>
      <c r="AB965" s="3">
        <f t="shared" si="313"/>
        <v>1.7312415778495242E-3</v>
      </c>
      <c r="AC965" s="3">
        <f t="shared" si="311"/>
        <v>1.7749086092553785E-2</v>
      </c>
      <c r="AD965" s="48"/>
      <c r="AE965" s="46">
        <f t="shared" si="306"/>
        <v>42.092147419890935</v>
      </c>
      <c r="AF965" s="46">
        <f t="shared" si="307"/>
        <v>-248.53981652852804</v>
      </c>
      <c r="AG965" s="47">
        <f t="shared" si="308"/>
        <v>5323.6489570444974</v>
      </c>
      <c r="AH965" s="45" t="str">
        <f t="shared" si="312"/>
        <v>-248.53982,42.09215,05324</v>
      </c>
      <c r="AI965" s="44">
        <f t="shared" si="314"/>
        <v>1021.3668791830926</v>
      </c>
    </row>
    <row r="966" spans="1:35" ht="18" customHeight="1" x14ac:dyDescent="0.25">
      <c r="A966" s="36">
        <f t="shared" si="309"/>
        <v>0.75064817129629624</v>
      </c>
      <c r="B966" s="42">
        <f t="shared" ref="B966:B1029" si="315">latitude($U966,$V966,$W966)</f>
        <v>42.092147417423767</v>
      </c>
      <c r="C966" s="43">
        <f t="shared" ref="C966:C1029" si="316">longitude($S$2,$S$3,$S$4,$A966,$U966,$V966)</f>
        <v>111.46018352489038</v>
      </c>
      <c r="D966" s="18">
        <f t="shared" ref="D966:D1029" si="317">altitude($U966,$V966,$W966)</f>
        <v>5.3058858664053332</v>
      </c>
      <c r="E966" s="21" t="str">
        <f t="shared" ref="E966:E1029" si="318">illum2($S$2,$S$3,$S$4,$A966,$U966,$V966,$W966)</f>
        <v>Umbra</v>
      </c>
      <c r="F966" s="23">
        <f>IF($E966&lt;&gt;"Umbra",fracil2($S$2,$S$3,$S$4,$A966,$Q$2,$O$3,$Q$4,$U966,$V966,$W966),0)</f>
        <v>0</v>
      </c>
      <c r="G966" s="19">
        <f t="shared" ref="G966:G1029" si="319">azimuth($S$2,$S$3,$S$4,$A966,$Q$2,$O$3,$Q$4,$U966,$V966,$W966)</f>
        <v>69.301407913684884</v>
      </c>
      <c r="H966" s="19">
        <f t="shared" ref="H966:H1029" si="320">elev($S$2,$S$3,$S$4,$A966,$Q$2,$O$3,$Q$4,$U966,$V966,$W966)</f>
        <v>-4.561277766708117</v>
      </c>
      <c r="I966" s="19">
        <f t="shared" ref="I966:I1029" si="321">elev($S$2,$S$3,$S$4,$A966,$Q$2,$O$3,$Q$4,$U966,$V966,$W966)+DEGREES(ACOS($Q$3/$Q$4))</f>
        <v>-3.353259817313222</v>
      </c>
      <c r="J966" s="28">
        <f t="shared" ref="J966:J1029" si="322">vang($S$2,$S$3,$S$4,$A966,$Q$2,$O$3,$Q$4,$U966,$V966,$W966,$X966,$Y966,$Z966)</f>
        <v>4.8314717816703261E-3</v>
      </c>
      <c r="K966" s="24">
        <f t="shared" ref="K966:K1029" si="323">slant_rng($S$2,$S$3,$S$4,$A966,$Q$2,$O$3,$Q$4,$U966,$V966,$W966)</f>
        <v>1048.2434567871971</v>
      </c>
      <c r="L966" s="32">
        <f t="shared" ref="L966:L1029" si="324">radec2("ra",$S$2,$S$3,$S$4,$A966,$Q$2,$O$3,$Q$4,$U966,$V966,$W966)/24</f>
        <v>0.56202790737907271</v>
      </c>
      <c r="M966" s="35">
        <f t="shared" ref="M966:M1029" si="325">radec2("dec",$S$2,$S$3,$S$4,$A966,$Q$2,$O$3,$Q$4,$U966,$V966,$W966)</f>
        <v>12.992267104027349</v>
      </c>
      <c r="O966" s="29">
        <f t="shared" ref="O966:O1029" si="326">DEGREES(ACOS(SIN(RADIANS($B966))*SIN(RADIANS($O$2))+COS(RADIANS($B966))*COS(RADIANS($O$2))*COS(RADIANS($C966-$O$3))))*111.2</f>
        <v>1046.5859550471496</v>
      </c>
      <c r="T966" s="48">
        <v>0.75064817129629624</v>
      </c>
      <c r="U966" s="29">
        <v>-1429.0833401895154</v>
      </c>
      <c r="V966" s="29">
        <v>4523.717047755259</v>
      </c>
      <c r="W966" s="29">
        <v>4256.7598998121712</v>
      </c>
      <c r="X966" s="4">
        <v>-0.32592189689750206</v>
      </c>
      <c r="Y966" s="4">
        <v>-0.11673705288844699</v>
      </c>
      <c r="Z966" s="4">
        <v>-1.1865929286880125E-2</v>
      </c>
      <c r="AA966" s="3">
        <f t="shared" si="310"/>
        <v>0.34640066782872586</v>
      </c>
      <c r="AB966" s="3">
        <f t="shared" si="313"/>
        <v>1.7266459395727603E-3</v>
      </c>
      <c r="AC966" s="3">
        <f t="shared" si="311"/>
        <v>1.7732103808000155E-2</v>
      </c>
      <c r="AD966" s="48"/>
      <c r="AE966" s="46">
        <f t="shared" ref="AE966:AE1029" si="327">$B966</f>
        <v>42.092147417423767</v>
      </c>
      <c r="AF966" s="46">
        <f t="shared" ref="AF966:AF1029" si="328">$C966-360</f>
        <v>-248.5398164751096</v>
      </c>
      <c r="AG966" s="47">
        <f t="shared" ref="AG966:AG1029" si="329">$D966*1000</f>
        <v>5305.8858664053332</v>
      </c>
      <c r="AH966" s="45" t="str">
        <f t="shared" si="312"/>
        <v>-248.53982,42.09215,05306</v>
      </c>
      <c r="AI966" s="44">
        <f t="shared" si="314"/>
        <v>1021.3668791830926</v>
      </c>
    </row>
    <row r="967" spans="1:35" ht="18" customHeight="1" x14ac:dyDescent="0.25">
      <c r="A967" s="36">
        <f t="shared" ref="A967:A1030" si="330">$T967+$S$5/86400</f>
        <v>0.75065972222222221</v>
      </c>
      <c r="B967" s="42">
        <f t="shared" si="315"/>
        <v>42.092147414973368</v>
      </c>
      <c r="C967" s="43">
        <f t="shared" si="316"/>
        <v>111.46018278191215</v>
      </c>
      <c r="D967" s="18">
        <f t="shared" si="317"/>
        <v>5.2882316091736357</v>
      </c>
      <c r="E967" s="21" t="str">
        <f t="shared" si="318"/>
        <v>Umbra</v>
      </c>
      <c r="F967" s="23">
        <f>IF($E967&lt;&gt;"Umbra",fracil2($S$2,$S$3,$S$4,$A967,$Q$2,$O$3,$Q$4,$U967,$V967,$W967),0)</f>
        <v>0</v>
      </c>
      <c r="G967" s="19">
        <f t="shared" si="319"/>
        <v>69.301410320457464</v>
      </c>
      <c r="H967" s="19">
        <f t="shared" si="320"/>
        <v>-4.5622388942751275</v>
      </c>
      <c r="I967" s="19">
        <f t="shared" si="321"/>
        <v>-3.3542209448802325</v>
      </c>
      <c r="J967" s="28">
        <f t="shared" si="322"/>
        <v>4.8307245818967545E-3</v>
      </c>
      <c r="K967" s="24">
        <f t="shared" si="323"/>
        <v>1048.2418839063303</v>
      </c>
      <c r="L967" s="32">
        <f t="shared" si="324"/>
        <v>0.56204152767022464</v>
      </c>
      <c r="M967" s="35">
        <f t="shared" si="325"/>
        <v>12.991619399515795</v>
      </c>
      <c r="O967" s="29">
        <f t="shared" si="326"/>
        <v>1046.5858952479471</v>
      </c>
      <c r="T967" s="48">
        <v>0.75065972222222221</v>
      </c>
      <c r="U967" s="29">
        <v>-1429.4085454534882</v>
      </c>
      <c r="V967" s="29">
        <v>4523.6005606538347</v>
      </c>
      <c r="W967" s="29">
        <v>4256.7480655208001</v>
      </c>
      <c r="X967" s="4">
        <v>-0.32591625853844486</v>
      </c>
      <c r="Y967" s="4">
        <v>-0.1167485321413235</v>
      </c>
      <c r="Z967" s="4">
        <v>-1.1854612417122195E-2</v>
      </c>
      <c r="AA967" s="3">
        <f t="shared" ref="AA967:AA1030" si="331">SQRT($X967*$X967+$Y967*$Y967+$Z967*$Z967)</f>
        <v>0.34639884406910521</v>
      </c>
      <c r="AB967" s="3">
        <f t="shared" si="313"/>
        <v>1.7221239835536373E-3</v>
      </c>
      <c r="AC967" s="3">
        <f t="shared" ref="AC967:AC1030" si="332">vrel($S$2,$S$3,$S$4,$A967,$B967,$C967,$U967,$V967,$W967,$X967,$Y967,$Z967)</f>
        <v>1.7715250434512924E-2</v>
      </c>
      <c r="AD967" s="48"/>
      <c r="AE967" s="46">
        <f t="shared" si="327"/>
        <v>42.092147414973368</v>
      </c>
      <c r="AF967" s="46">
        <f t="shared" si="328"/>
        <v>-248.53981721808785</v>
      </c>
      <c r="AG967" s="47">
        <f t="shared" si="329"/>
        <v>5288.2316091736357</v>
      </c>
      <c r="AH967" s="45" t="str">
        <f t="shared" ref="AH967:AH1030" si="333">CONCATENATE(TEXT($AF967,"00.00000"),",",TEXT($AE967,"00.00000"),",",TEXT($AG967,"00000"))</f>
        <v>-248.53982,42.09215,05288</v>
      </c>
      <c r="AI967" s="44">
        <f t="shared" si="314"/>
        <v>1021.3668791830926</v>
      </c>
    </row>
    <row r="968" spans="1:35" ht="18" customHeight="1" x14ac:dyDescent="0.25">
      <c r="A968" s="36">
        <f t="shared" si="330"/>
        <v>0.75067135416666664</v>
      </c>
      <c r="B968" s="42">
        <f t="shared" si="315"/>
        <v>42.092147412510514</v>
      </c>
      <c r="C968" s="43">
        <f t="shared" si="316"/>
        <v>111.46018122591228</v>
      </c>
      <c r="D968" s="18">
        <f t="shared" si="317"/>
        <v>5.270473938870964</v>
      </c>
      <c r="E968" s="21" t="str">
        <f t="shared" si="318"/>
        <v>Umbra</v>
      </c>
      <c r="F968" s="23">
        <f>IF($E968&lt;&gt;"Umbra",fracil2($S$2,$S$3,$S$4,$A968,$Q$2,$O$3,$Q$4,$U968,$V968,$W968),0)</f>
        <v>0</v>
      </c>
      <c r="G968" s="19">
        <f t="shared" si="319"/>
        <v>69.301411918342069</v>
      </c>
      <c r="H968" s="19">
        <f t="shared" si="320"/>
        <v>-4.5632053517941298</v>
      </c>
      <c r="I968" s="19">
        <f t="shared" si="321"/>
        <v>-3.3551874023992347</v>
      </c>
      <c r="J968" s="28">
        <f t="shared" si="322"/>
        <v>4.8299744521433036E-3</v>
      </c>
      <c r="K968" s="24">
        <f t="shared" si="323"/>
        <v>1048.2402370923589</v>
      </c>
      <c r="L968" s="32">
        <f t="shared" si="324"/>
        <v>0.56205524206042201</v>
      </c>
      <c r="M968" s="35">
        <f t="shared" si="325"/>
        <v>12.990968704982803</v>
      </c>
      <c r="O968" s="29">
        <f t="shared" si="326"/>
        <v>1046.5857700788001</v>
      </c>
      <c r="T968" s="48">
        <v>0.75067135416666664</v>
      </c>
      <c r="U968" s="29">
        <v>-1429.7359630206654</v>
      </c>
      <c r="V968" s="29">
        <v>4523.4832674889276</v>
      </c>
      <c r="W968" s="29">
        <v>4256.7361619080402</v>
      </c>
      <c r="X968" s="4">
        <v>-0.32591057228632014</v>
      </c>
      <c r="Y968" s="4">
        <v>-0.11676012265890311</v>
      </c>
      <c r="Z968" s="4">
        <v>-1.1843249533320674E-2</v>
      </c>
      <c r="AA968" s="3">
        <f t="shared" si="331"/>
        <v>0.34639701201197926</v>
      </c>
      <c r="AB968" s="3">
        <f t="shared" ref="AB968:AB1031" si="334">-($AC968-$AC967)/(($A968-$A967)*86400)*1000/9.806</f>
        <v>1.7170773708229112E-3</v>
      </c>
      <c r="AC968" s="3">
        <f t="shared" si="332"/>
        <v>1.7698328585511174E-2</v>
      </c>
      <c r="AD968" s="48"/>
      <c r="AE968" s="46">
        <f t="shared" si="327"/>
        <v>42.092147412510514</v>
      </c>
      <c r="AF968" s="46">
        <f t="shared" si="328"/>
        <v>-248.53981877408773</v>
      </c>
      <c r="AG968" s="47">
        <f t="shared" si="329"/>
        <v>5270.473938870964</v>
      </c>
      <c r="AH968" s="45" t="str">
        <f t="shared" si="333"/>
        <v>-248.53982,42.09215,05270</v>
      </c>
      <c r="AI968" s="44">
        <f t="shared" ref="AI968:AI1031" si="335">IFERROR(ACOS(SIN(RADIANS($B967))*SIN(RADIANS($B968))+COS(RADIANS($B967))*COS(RADIANS($B968))*COS(RADIANS($C967-$C968)))*6371,0)+AI967</f>
        <v>1021.3670134418776</v>
      </c>
    </row>
    <row r="969" spans="1:35" ht="18" customHeight="1" x14ac:dyDescent="0.25">
      <c r="A969" s="36">
        <f t="shared" si="330"/>
        <v>0.75068285879629626</v>
      </c>
      <c r="B969" s="42">
        <f t="shared" si="315"/>
        <v>42.092147410077025</v>
      </c>
      <c r="C969" s="43">
        <f t="shared" si="316"/>
        <v>111.46018218417341</v>
      </c>
      <c r="D969" s="18">
        <f t="shared" si="317"/>
        <v>5.2529168100854804</v>
      </c>
      <c r="E969" s="21" t="str">
        <f t="shared" si="318"/>
        <v>Umbra</v>
      </c>
      <c r="F969" s="23">
        <f>IF($E969&lt;&gt;"Umbra",fracil2($S$2,$S$3,$S$4,$A969,$Q$2,$O$3,$Q$4,$U969,$V969,$W969),0)</f>
        <v>0</v>
      </c>
      <c r="G969" s="19">
        <f t="shared" si="319"/>
        <v>69.301416039099749</v>
      </c>
      <c r="H969" s="19">
        <f t="shared" si="320"/>
        <v>-4.5641618329896332</v>
      </c>
      <c r="I969" s="19">
        <f t="shared" si="321"/>
        <v>-3.3561438835947381</v>
      </c>
      <c r="J969" s="28">
        <f t="shared" si="322"/>
        <v>4.8292339575033982E-3</v>
      </c>
      <c r="K969" s="24">
        <f t="shared" si="323"/>
        <v>1048.238809905504</v>
      </c>
      <c r="L969" s="32">
        <f t="shared" si="324"/>
        <v>0.56206880278021021</v>
      </c>
      <c r="M969" s="35">
        <f t="shared" si="325"/>
        <v>12.990322844342979</v>
      </c>
      <c r="O969" s="29">
        <f t="shared" si="326"/>
        <v>1046.5858470653034</v>
      </c>
      <c r="T969" s="48">
        <v>0.75068285879629626</v>
      </c>
      <c r="U969" s="29">
        <v>-1430.0599860870752</v>
      </c>
      <c r="V969" s="29">
        <v>4523.3671768652921</v>
      </c>
      <c r="W969" s="29">
        <v>4256.7243927256868</v>
      </c>
      <c r="X969" s="4">
        <v>-0.32590493618041766</v>
      </c>
      <c r="Y969" s="4">
        <v>-0.11677162380734708</v>
      </c>
      <c r="Z969" s="4">
        <v>-1.1832033191638724E-2</v>
      </c>
      <c r="AA969" s="3">
        <f t="shared" si="331"/>
        <v>0.34639520285768211</v>
      </c>
      <c r="AB969" s="3">
        <f t="shared" si="334"/>
        <v>1.7136856727130439E-3</v>
      </c>
      <c r="AC969" s="3">
        <f t="shared" si="332"/>
        <v>1.7681625010214801E-2</v>
      </c>
      <c r="AD969" s="48"/>
      <c r="AE969" s="46">
        <f t="shared" si="327"/>
        <v>42.092147410077025</v>
      </c>
      <c r="AF969" s="46">
        <f t="shared" si="328"/>
        <v>-248.53981781582661</v>
      </c>
      <c r="AG969" s="47">
        <f t="shared" si="329"/>
        <v>5252.9168100854804</v>
      </c>
      <c r="AH969" s="45" t="str">
        <f t="shared" si="333"/>
        <v>-248.53982,42.09215,05253</v>
      </c>
      <c r="AI969" s="44">
        <f t="shared" si="335"/>
        <v>1021.3670134418776</v>
      </c>
    </row>
    <row r="970" spans="1:35" ht="18" customHeight="1" x14ac:dyDescent="0.25">
      <c r="A970" s="36">
        <f t="shared" si="330"/>
        <v>0.750694525462963</v>
      </c>
      <c r="B970" s="42">
        <f t="shared" si="315"/>
        <v>42.092147407614299</v>
      </c>
      <c r="C970" s="43">
        <f t="shared" si="316"/>
        <v>111.46018152131182</v>
      </c>
      <c r="D970" s="18">
        <f t="shared" si="317"/>
        <v>5.2351362634390171</v>
      </c>
      <c r="E970" s="21" t="str">
        <f t="shared" si="318"/>
        <v>Umbra</v>
      </c>
      <c r="F970" s="23">
        <f>IF($E970&lt;&gt;"Umbra",fracil2($S$2,$S$3,$S$4,$A970,$Q$2,$O$3,$Q$4,$U970,$V970,$W970),0)</f>
        <v>0</v>
      </c>
      <c r="G970" s="19">
        <f t="shared" si="319"/>
        <v>69.301418550056496</v>
      </c>
      <c r="H970" s="19">
        <f t="shared" si="320"/>
        <v>-4.5651298766199941</v>
      </c>
      <c r="I970" s="19">
        <f t="shared" si="321"/>
        <v>-3.3571119272250991</v>
      </c>
      <c r="J970" s="28">
        <f t="shared" si="322"/>
        <v>4.828485418873445E-3</v>
      </c>
      <c r="K970" s="24">
        <f t="shared" si="323"/>
        <v>1048.2372335352529</v>
      </c>
      <c r="L970" s="32">
        <f t="shared" si="324"/>
        <v>0.56208255360712167</v>
      </c>
      <c r="M970" s="35">
        <f t="shared" si="325"/>
        <v>12.989670397022794</v>
      </c>
      <c r="O970" s="29">
        <f t="shared" si="326"/>
        <v>1046.5857937074343</v>
      </c>
      <c r="T970" s="48">
        <v>0.750694525462963</v>
      </c>
      <c r="U970" s="29">
        <v>-1430.3884396365513</v>
      </c>
      <c r="V970" s="29">
        <v>4523.2494851567481</v>
      </c>
      <c r="W970" s="29">
        <v>4256.7124737783543</v>
      </c>
      <c r="X970" s="4">
        <v>-0.3258992139908361</v>
      </c>
      <c r="Y970" s="4">
        <v>-0.11678331369553768</v>
      </c>
      <c r="Z970" s="4">
        <v>-1.182069285884061E-2</v>
      </c>
      <c r="AA970" s="3">
        <f t="shared" si="331"/>
        <v>0.3463933729406759</v>
      </c>
      <c r="AB970" s="3">
        <f t="shared" si="334"/>
        <v>1.708560581425248E-3</v>
      </c>
      <c r="AC970" s="3">
        <f t="shared" si="332"/>
        <v>1.7664736831992742E-2</v>
      </c>
      <c r="AD970" s="48"/>
      <c r="AE970" s="46">
        <f t="shared" si="327"/>
        <v>42.092147407614299</v>
      </c>
      <c r="AF970" s="46">
        <f t="shared" si="328"/>
        <v>-248.53981847868818</v>
      </c>
      <c r="AG970" s="47">
        <f t="shared" si="329"/>
        <v>5235.1362634390171</v>
      </c>
      <c r="AH970" s="45" t="str">
        <f t="shared" si="333"/>
        <v>-248.53982,42.09215,05235</v>
      </c>
      <c r="AI970" s="44">
        <f t="shared" si="335"/>
        <v>1021.3670134418776</v>
      </c>
    </row>
    <row r="971" spans="1:35" ht="18" customHeight="1" x14ac:dyDescent="0.25">
      <c r="A971" s="36">
        <f t="shared" si="330"/>
        <v>0.75070606481481483</v>
      </c>
      <c r="B971" s="42">
        <f t="shared" si="315"/>
        <v>42.092147405180718</v>
      </c>
      <c r="C971" s="43">
        <f t="shared" si="316"/>
        <v>111.4601835202284</v>
      </c>
      <c r="D971" s="18">
        <f t="shared" si="317"/>
        <v>5.2175553063934785</v>
      </c>
      <c r="E971" s="21" t="str">
        <f t="shared" si="318"/>
        <v>Umbra</v>
      </c>
      <c r="F971" s="23">
        <f>IF($E971&lt;&gt;"Umbra",fracil2($S$2,$S$3,$S$4,$A971,$Q$2,$O$3,$Q$4,$U971,$V971,$W971),0)</f>
        <v>0</v>
      </c>
      <c r="G971" s="19">
        <f t="shared" si="319"/>
        <v>69.301423734185107</v>
      </c>
      <c r="H971" s="19">
        <f t="shared" si="320"/>
        <v>-4.5660880504329437</v>
      </c>
      <c r="I971" s="19">
        <f t="shared" si="321"/>
        <v>-3.3580701010380487</v>
      </c>
      <c r="J971" s="28">
        <f t="shared" si="322"/>
        <v>4.8277464870006628E-3</v>
      </c>
      <c r="K971" s="24">
        <f t="shared" si="323"/>
        <v>1048.2358885643778</v>
      </c>
      <c r="L971" s="32">
        <f t="shared" si="324"/>
        <v>0.56209615070399332</v>
      </c>
      <c r="M971" s="35">
        <f t="shared" si="325"/>
        <v>12.989022601046452</v>
      </c>
      <c r="O971" s="29">
        <f t="shared" si="326"/>
        <v>1046.5859543660781</v>
      </c>
      <c r="T971" s="48">
        <v>0.75070606481481483</v>
      </c>
      <c r="U971" s="29">
        <v>-1430.7135102552024</v>
      </c>
      <c r="V971" s="29">
        <v>4523.1329919699347</v>
      </c>
      <c r="W971" s="29">
        <v>4256.7006886233194</v>
      </c>
      <c r="X971" s="4">
        <v>-0.32589354168797952</v>
      </c>
      <c r="Y971" s="4">
        <v>-0.11679491470032198</v>
      </c>
      <c r="Z971" s="4">
        <v>-1.1809498737001279E-2</v>
      </c>
      <c r="AA971" s="3">
        <f t="shared" si="331"/>
        <v>0.34639156582429886</v>
      </c>
      <c r="AB971" s="3">
        <f t="shared" si="334"/>
        <v>1.7051346733779344E-3</v>
      </c>
      <c r="AC971" s="3">
        <f t="shared" si="332"/>
        <v>1.7648066443037451E-2</v>
      </c>
      <c r="AD971" s="48"/>
      <c r="AE971" s="46">
        <f t="shared" si="327"/>
        <v>42.092147405180718</v>
      </c>
      <c r="AF971" s="46">
        <f t="shared" si="328"/>
        <v>-248.53981647977162</v>
      </c>
      <c r="AG971" s="47">
        <f t="shared" si="329"/>
        <v>5217.5553063934785</v>
      </c>
      <c r="AH971" s="45" t="str">
        <f t="shared" si="333"/>
        <v>-248.53982,42.09215,05218</v>
      </c>
      <c r="AI971" s="44">
        <f t="shared" si="335"/>
        <v>1021.3671778746369</v>
      </c>
    </row>
    <row r="972" spans="1:35" ht="18" customHeight="1" x14ac:dyDescent="0.25">
      <c r="A972" s="36">
        <f t="shared" si="330"/>
        <v>0.75071771990740743</v>
      </c>
      <c r="B972" s="42">
        <f t="shared" si="315"/>
        <v>42.092147402729445</v>
      </c>
      <c r="C972" s="43">
        <f t="shared" si="316"/>
        <v>111.46018075232887</v>
      </c>
      <c r="D972" s="18">
        <f t="shared" si="317"/>
        <v>5.1998350629792185</v>
      </c>
      <c r="E972" s="21" t="str">
        <f t="shared" si="318"/>
        <v>Umbra</v>
      </c>
      <c r="F972" s="23">
        <f>IF($E972&lt;&gt;"Umbra",fracil2($S$2,$S$3,$S$4,$A972,$Q$2,$O$3,$Q$4,$U972,$V972,$W972),0)</f>
        <v>0</v>
      </c>
      <c r="G972" s="19">
        <f t="shared" si="319"/>
        <v>69.301424092034267</v>
      </c>
      <c r="H972" s="19">
        <f t="shared" si="320"/>
        <v>-4.5670520276862163</v>
      </c>
      <c r="I972" s="19">
        <f t="shared" si="321"/>
        <v>-3.3590340782913213</v>
      </c>
      <c r="J972" s="28">
        <f t="shared" si="322"/>
        <v>4.8270030918367334E-3</v>
      </c>
      <c r="K972" s="24">
        <f t="shared" si="323"/>
        <v>1048.23414870696</v>
      </c>
      <c r="L972" s="32">
        <f t="shared" si="324"/>
        <v>0.56210988536938589</v>
      </c>
      <c r="M972" s="35">
        <f t="shared" si="325"/>
        <v>12.988374466271294</v>
      </c>
      <c r="O972" s="29">
        <f t="shared" si="326"/>
        <v>1046.5857317564751</v>
      </c>
      <c r="T972" s="48">
        <v>0.75071771990740743</v>
      </c>
      <c r="U972" s="29">
        <v>-1431.0414622524333</v>
      </c>
      <c r="V972" s="29">
        <v>4523.015452407697</v>
      </c>
      <c r="W972" s="29">
        <v>4256.6888100996966</v>
      </c>
      <c r="X972" s="4">
        <v>-0.32588781071372191</v>
      </c>
      <c r="Y972" s="4">
        <v>-0.11680664796496068</v>
      </c>
      <c r="Z972" s="4">
        <v>-1.1798232820932928E-2</v>
      </c>
      <c r="AA972" s="3">
        <f t="shared" si="331"/>
        <v>0.34638974649704896</v>
      </c>
      <c r="AB972" s="3">
        <f t="shared" si="334"/>
        <v>1.699023956655296E-3</v>
      </c>
      <c r="AC972" s="3">
        <f t="shared" si="332"/>
        <v>1.7631289189716046E-2</v>
      </c>
      <c r="AD972" s="48"/>
      <c r="AE972" s="46">
        <f t="shared" si="327"/>
        <v>42.092147402729445</v>
      </c>
      <c r="AF972" s="46">
        <f t="shared" si="328"/>
        <v>-248.53981924767112</v>
      </c>
      <c r="AG972" s="47">
        <f t="shared" si="329"/>
        <v>5199.8350629792185</v>
      </c>
      <c r="AH972" s="45" t="str">
        <f t="shared" si="333"/>
        <v>-248.53982,42.09215,05200</v>
      </c>
      <c r="AI972" s="44">
        <f t="shared" si="335"/>
        <v>1021.3674104176755</v>
      </c>
    </row>
    <row r="973" spans="1:35" ht="18" customHeight="1" x14ac:dyDescent="0.25">
      <c r="A973" s="36">
        <f t="shared" si="330"/>
        <v>0.75072918981481485</v>
      </c>
      <c r="B973" s="42">
        <f t="shared" si="315"/>
        <v>42.092147400318744</v>
      </c>
      <c r="C973" s="43">
        <f t="shared" si="316"/>
        <v>111.46018169802552</v>
      </c>
      <c r="D973" s="18">
        <f t="shared" si="317"/>
        <v>5.1823974182634629</v>
      </c>
      <c r="E973" s="21" t="str">
        <f t="shared" si="318"/>
        <v>Umbra</v>
      </c>
      <c r="F973" s="23">
        <f>IF($E973&lt;&gt;"Umbra",fracil2($S$2,$S$3,$S$4,$A973,$Q$2,$O$3,$Q$4,$U973,$V973,$W973),0)</f>
        <v>0</v>
      </c>
      <c r="G973" s="19">
        <f t="shared" si="319"/>
        <v>69.301428178629706</v>
      </c>
      <c r="H973" s="19">
        <f t="shared" si="320"/>
        <v>-4.5680020080452604</v>
      </c>
      <c r="I973" s="19">
        <f t="shared" si="321"/>
        <v>-3.3599840586503653</v>
      </c>
      <c r="J973" s="28">
        <f t="shared" si="322"/>
        <v>4.8262727244588422E-3</v>
      </c>
      <c r="K973" s="24">
        <f t="shared" si="323"/>
        <v>1048.2327319121755</v>
      </c>
      <c r="L973" s="32">
        <f t="shared" si="324"/>
        <v>0.56212339749754026</v>
      </c>
      <c r="M973" s="35">
        <f t="shared" si="325"/>
        <v>12.987732976530278</v>
      </c>
      <c r="O973" s="29">
        <f t="shared" si="326"/>
        <v>1046.5858077333164</v>
      </c>
      <c r="T973" s="48">
        <v>0.75072918981481485</v>
      </c>
      <c r="U973" s="29">
        <v>-1431.3644840848474</v>
      </c>
      <c r="V973" s="29">
        <v>4522.8996662596101</v>
      </c>
      <c r="W973" s="29">
        <v>4256.6771210123852</v>
      </c>
      <c r="X973" s="4">
        <v>-0.32588215681818961</v>
      </c>
      <c r="Y973" s="4">
        <v>-0.11681823635034824</v>
      </c>
      <c r="Z973" s="4">
        <v>-1.1787165674418383E-2</v>
      </c>
      <c r="AA973" s="3">
        <f t="shared" si="331"/>
        <v>0.34638795843839193</v>
      </c>
      <c r="AB973" s="3">
        <f t="shared" si="334"/>
        <v>1.6959892157129908E-3</v>
      </c>
      <c r="AC973" s="3">
        <f t="shared" si="332"/>
        <v>1.7614807997299E-2</v>
      </c>
      <c r="AD973" s="48"/>
      <c r="AE973" s="46">
        <f t="shared" si="327"/>
        <v>42.092147400318744</v>
      </c>
      <c r="AF973" s="46">
        <f t="shared" si="328"/>
        <v>-248.53981830197449</v>
      </c>
      <c r="AG973" s="47">
        <f t="shared" si="329"/>
        <v>5182.3974182634629</v>
      </c>
      <c r="AH973" s="45" t="str">
        <f t="shared" si="333"/>
        <v>-248.53982,42.09215,05182</v>
      </c>
      <c r="AI973" s="44">
        <f t="shared" si="335"/>
        <v>1021.3675446764605</v>
      </c>
    </row>
    <row r="974" spans="1:35" ht="18" customHeight="1" x14ac:dyDescent="0.25">
      <c r="A974" s="36">
        <f t="shared" si="330"/>
        <v>0.7507408333333333</v>
      </c>
      <c r="B974" s="42">
        <f t="shared" si="315"/>
        <v>42.092147397876076</v>
      </c>
      <c r="C974" s="43">
        <f t="shared" si="316"/>
        <v>111.46018144537437</v>
      </c>
      <c r="D974" s="18">
        <f t="shared" si="317"/>
        <v>5.1647176490769198</v>
      </c>
      <c r="E974" s="21" t="str">
        <f t="shared" si="318"/>
        <v>Umbra</v>
      </c>
      <c r="F974" s="23">
        <f>IF($E974&lt;&gt;"Umbra",fracil2($S$2,$S$3,$S$4,$A974,$Q$2,$O$3,$Q$4,$U974,$V974,$W974),0)</f>
        <v>0</v>
      </c>
      <c r="G974" s="19">
        <f t="shared" si="319"/>
        <v>69.301431089041117</v>
      </c>
      <c r="H974" s="19">
        <f t="shared" si="320"/>
        <v>-4.5689647283504229</v>
      </c>
      <c r="I974" s="19">
        <f t="shared" si="321"/>
        <v>-3.3609467789555278</v>
      </c>
      <c r="J974" s="28">
        <f t="shared" si="322"/>
        <v>4.8255334116802428E-3</v>
      </c>
      <c r="K974" s="24">
        <f t="shared" si="323"/>
        <v>1048.2311983357631</v>
      </c>
      <c r="L974" s="32">
        <f t="shared" si="324"/>
        <v>0.56213711301512392</v>
      </c>
      <c r="M974" s="35">
        <f t="shared" si="325"/>
        <v>12.987083787951844</v>
      </c>
      <c r="O974" s="29">
        <f t="shared" si="326"/>
        <v>1046.5857873582338</v>
      </c>
      <c r="T974" s="48">
        <v>0.7507408333333333</v>
      </c>
      <c r="U974" s="29">
        <v>-1431.6922949367261</v>
      </c>
      <c r="V974" s="29">
        <v>4522.7821496892029</v>
      </c>
      <c r="W974" s="29">
        <v>4256.66526962036</v>
      </c>
      <c r="X974" s="4">
        <v>-0.32587641092563913</v>
      </c>
      <c r="Y974" s="4">
        <v>-0.11683002520668899</v>
      </c>
      <c r="Z974" s="4">
        <v>-1.1775961156945772E-2</v>
      </c>
      <c r="AA974" s="3">
        <f t="shared" si="331"/>
        <v>0.34638614759938291</v>
      </c>
      <c r="AB974" s="3">
        <f t="shared" si="334"/>
        <v>1.6914332407476484E-3</v>
      </c>
      <c r="AC974" s="3">
        <f t="shared" si="332"/>
        <v>1.7598122285774166E-2</v>
      </c>
      <c r="AD974" s="48"/>
      <c r="AE974" s="46">
        <f t="shared" si="327"/>
        <v>42.092147397876076</v>
      </c>
      <c r="AF974" s="46">
        <f t="shared" si="328"/>
        <v>-248.53981855462564</v>
      </c>
      <c r="AG974" s="47">
        <f t="shared" si="329"/>
        <v>5164.7176490769198</v>
      </c>
      <c r="AH974" s="45" t="str">
        <f t="shared" si="333"/>
        <v>-248.53982,42.09215,05165</v>
      </c>
      <c r="AI974" s="44">
        <f t="shared" si="335"/>
        <v>1021.3675446764605</v>
      </c>
    </row>
    <row r="975" spans="1:35" ht="18" customHeight="1" x14ac:dyDescent="0.25">
      <c r="A975" s="36">
        <f t="shared" si="330"/>
        <v>0.75075237268518524</v>
      </c>
      <c r="B975" s="42">
        <f t="shared" si="315"/>
        <v>42.092147395459087</v>
      </c>
      <c r="C975" s="43">
        <f t="shared" si="316"/>
        <v>111.46018113057345</v>
      </c>
      <c r="D975" s="18">
        <f t="shared" si="317"/>
        <v>5.1472128853456525</v>
      </c>
      <c r="E975" s="21" t="str">
        <f t="shared" si="318"/>
        <v>Umbra</v>
      </c>
      <c r="F975" s="23">
        <f>IF($E975&lt;&gt;"Umbra",fracil2($S$2,$S$3,$S$4,$A975,$Q$2,$O$3,$Q$4,$U975,$V975,$W975),0)</f>
        <v>0</v>
      </c>
      <c r="G975" s="19">
        <f t="shared" si="319"/>
        <v>69.301433904856268</v>
      </c>
      <c r="H975" s="19">
        <f t="shared" si="320"/>
        <v>-4.5699178976355688</v>
      </c>
      <c r="I975" s="19">
        <f t="shared" si="321"/>
        <v>-3.3618999482406737</v>
      </c>
      <c r="J975" s="28">
        <f t="shared" si="322"/>
        <v>4.8248027661523581E-3</v>
      </c>
      <c r="K975" s="24">
        <f t="shared" si="323"/>
        <v>1048.2296750334599</v>
      </c>
      <c r="L975" s="32">
        <f t="shared" si="324"/>
        <v>0.56215070395974542</v>
      </c>
      <c r="M975" s="35">
        <f t="shared" si="325"/>
        <v>12.986441082619773</v>
      </c>
      <c r="O975" s="29">
        <f t="shared" si="326"/>
        <v>1046.5857619867409</v>
      </c>
      <c r="T975" s="48">
        <v>0.75075237268518524</v>
      </c>
      <c r="U975" s="29">
        <v>-1432.0171623631179</v>
      </c>
      <c r="V975" s="29">
        <v>4522.6656745427808</v>
      </c>
      <c r="W975" s="29">
        <v>4256.6535355409787</v>
      </c>
      <c r="X975" s="4">
        <v>-0.32587070745955654</v>
      </c>
      <c r="Y975" s="4">
        <v>-0.11684173996521603</v>
      </c>
      <c r="Z975" s="4">
        <v>-1.1764886883453727E-2</v>
      </c>
      <c r="AA975" s="3">
        <f t="shared" si="331"/>
        <v>0.34638435695289632</v>
      </c>
      <c r="AB975" s="3">
        <f t="shared" si="334"/>
        <v>1.6868573487717224E-3</v>
      </c>
      <c r="AC975" s="3">
        <f t="shared" si="332"/>
        <v>1.7581630586581468E-2</v>
      </c>
      <c r="AD975" s="48"/>
      <c r="AE975" s="46">
        <f t="shared" si="327"/>
        <v>42.092147395459087</v>
      </c>
      <c r="AF975" s="46">
        <f t="shared" si="328"/>
        <v>-248.53981886942654</v>
      </c>
      <c r="AG975" s="47">
        <f t="shared" si="329"/>
        <v>5147.2128853456525</v>
      </c>
      <c r="AH975" s="45" t="str">
        <f t="shared" si="333"/>
        <v>-248.53982,42.09215,05147</v>
      </c>
      <c r="AI975" s="44">
        <f t="shared" si="335"/>
        <v>1021.3675446764605</v>
      </c>
    </row>
    <row r="976" spans="1:35" ht="18" customHeight="1" x14ac:dyDescent="0.25">
      <c r="A976" s="36">
        <f t="shared" si="330"/>
        <v>0.7507638888888889</v>
      </c>
      <c r="B976" s="42">
        <f t="shared" si="315"/>
        <v>42.092147393050666</v>
      </c>
      <c r="C976" s="43">
        <f t="shared" si="316"/>
        <v>111.46018092494937</v>
      </c>
      <c r="D976" s="18">
        <f t="shared" si="317"/>
        <v>5.1297591807087883</v>
      </c>
      <c r="E976" s="21" t="str">
        <f t="shared" si="318"/>
        <v>Umbra</v>
      </c>
      <c r="F976" s="23">
        <f>IF($E976&lt;&gt;"Umbra",fracil2($S$2,$S$3,$S$4,$A976,$Q$2,$O$3,$Q$4,$U976,$V976,$W976),0)</f>
        <v>0</v>
      </c>
      <c r="G976" s="19">
        <f t="shared" si="319"/>
        <v>69.301436822642174</v>
      </c>
      <c r="H976" s="19">
        <f t="shared" si="320"/>
        <v>-4.5708683299014847</v>
      </c>
      <c r="I976" s="19">
        <f t="shared" si="321"/>
        <v>-3.3628503805065897</v>
      </c>
      <c r="J976" s="28">
        <f t="shared" si="322"/>
        <v>4.8240753534256782E-3</v>
      </c>
      <c r="K976" s="24">
        <f t="shared" si="323"/>
        <v>1048.2281651674223</v>
      </c>
      <c r="L976" s="32">
        <f t="shared" si="324"/>
        <v>0.56216426567659761</v>
      </c>
      <c r="M976" s="35">
        <f t="shared" si="325"/>
        <v>12.985800135667739</v>
      </c>
      <c r="O976" s="29">
        <f t="shared" si="326"/>
        <v>1046.5857453936399</v>
      </c>
      <c r="T976" s="48">
        <v>0.7507638888888889</v>
      </c>
      <c r="U976" s="29">
        <v>-1432.3413808993639</v>
      </c>
      <c r="V976" s="29">
        <v>4522.5494183520141</v>
      </c>
      <c r="W976" s="29">
        <v>4256.6418356884915</v>
      </c>
      <c r="X976" s="4">
        <v>-0.32586500743813535</v>
      </c>
      <c r="Y976" s="4">
        <v>-0.11685345917472278</v>
      </c>
      <c r="Z976" s="4">
        <v>-1.1753860673312666E-2</v>
      </c>
      <c r="AA976" s="3">
        <f t="shared" si="331"/>
        <v>0.34638257351443397</v>
      </c>
      <c r="AB976" s="3">
        <f t="shared" si="334"/>
        <v>1.6829067210397074E-3</v>
      </c>
      <c r="AC976" s="3">
        <f t="shared" si="332"/>
        <v>1.7565210516191556E-2</v>
      </c>
      <c r="AD976" s="48"/>
      <c r="AE976" s="46">
        <f t="shared" si="327"/>
        <v>42.092147393050666</v>
      </c>
      <c r="AF976" s="46">
        <f t="shared" si="328"/>
        <v>-248.53981907505062</v>
      </c>
      <c r="AG976" s="47">
        <f t="shared" si="329"/>
        <v>5129.7591807087883</v>
      </c>
      <c r="AH976" s="45" t="str">
        <f t="shared" si="333"/>
        <v>-248.53982,42.09215,05130</v>
      </c>
      <c r="AI976" s="44">
        <f t="shared" si="335"/>
        <v>1021.3675446764605</v>
      </c>
    </row>
    <row r="977" spans="1:35" ht="18" customHeight="1" x14ac:dyDescent="0.25">
      <c r="A977" s="36">
        <f t="shared" si="330"/>
        <v>0.7507754513888889</v>
      </c>
      <c r="B977" s="42">
        <f t="shared" si="315"/>
        <v>42.092147390634025</v>
      </c>
      <c r="C977" s="43">
        <f t="shared" si="316"/>
        <v>111.46018451146563</v>
      </c>
      <c r="D977" s="18">
        <f t="shared" si="317"/>
        <v>5.1122358502207135</v>
      </c>
      <c r="E977" s="21" t="str">
        <f t="shared" si="318"/>
        <v>Umbra</v>
      </c>
      <c r="F977" s="23">
        <f>IF($E977&lt;&gt;"Umbra",fracil2($S$2,$S$3,$S$4,$A977,$Q$2,$O$3,$Q$4,$U977,$V977,$W977),0)</f>
        <v>0</v>
      </c>
      <c r="G977" s="19">
        <f t="shared" si="319"/>
        <v>69.301443612210008</v>
      </c>
      <c r="H977" s="19">
        <f t="shared" si="320"/>
        <v>-4.5718239747453611</v>
      </c>
      <c r="I977" s="19">
        <f t="shared" si="321"/>
        <v>-3.363806025350466</v>
      </c>
      <c r="J977" s="28">
        <f t="shared" si="322"/>
        <v>4.823346160993891E-3</v>
      </c>
      <c r="K977" s="24">
        <f t="shared" si="323"/>
        <v>1048.226954521735</v>
      </c>
      <c r="L977" s="32">
        <f t="shared" si="324"/>
        <v>0.56217787751705584</v>
      </c>
      <c r="M977" s="35">
        <f t="shared" si="325"/>
        <v>12.985152817651983</v>
      </c>
      <c r="O977" s="29">
        <f t="shared" si="326"/>
        <v>1046.5860337009758</v>
      </c>
      <c r="T977" s="48">
        <v>0.7507754513888889</v>
      </c>
      <c r="U977" s="29">
        <v>-1432.6671929439285</v>
      </c>
      <c r="V977" s="29">
        <v>4522.4325769599145</v>
      </c>
      <c r="W977" s="29">
        <v>4256.6300891633819</v>
      </c>
      <c r="X977" s="4">
        <v>-0.32585927055122299</v>
      </c>
      <c r="Y977" s="4">
        <v>-0.11686526667519022</v>
      </c>
      <c r="Z977" s="4">
        <v>-1.1742808905199407E-2</v>
      </c>
      <c r="AA977" s="3">
        <f t="shared" si="331"/>
        <v>0.34638078514868936</v>
      </c>
      <c r="AB977" s="3">
        <f t="shared" si="334"/>
        <v>1.6800481136747102E-3</v>
      </c>
      <c r="AC977" s="3">
        <f t="shared" si="332"/>
        <v>1.7548752438940655E-2</v>
      </c>
      <c r="AD977" s="48"/>
      <c r="AE977" s="46">
        <f t="shared" si="327"/>
        <v>42.092147390634025</v>
      </c>
      <c r="AF977" s="46">
        <f t="shared" si="328"/>
        <v>-248.53981548853437</v>
      </c>
      <c r="AG977" s="47">
        <f t="shared" si="329"/>
        <v>5112.2358502207135</v>
      </c>
      <c r="AH977" s="45" t="str">
        <f t="shared" si="333"/>
        <v>-248.53982,42.09215,05112</v>
      </c>
      <c r="AI977" s="44">
        <f t="shared" si="335"/>
        <v>1021.3678448882318</v>
      </c>
    </row>
    <row r="978" spans="1:35" ht="18" customHeight="1" x14ac:dyDescent="0.25">
      <c r="A978" s="36">
        <f t="shared" si="330"/>
        <v>0.75078716435185189</v>
      </c>
      <c r="B978" s="42">
        <f t="shared" si="315"/>
        <v>42.092147388193155</v>
      </c>
      <c r="C978" s="43">
        <f t="shared" si="316"/>
        <v>111.46018238687728</v>
      </c>
      <c r="D978" s="18">
        <f t="shared" si="317"/>
        <v>5.0945253925592624</v>
      </c>
      <c r="E978" s="21" t="str">
        <f t="shared" si="318"/>
        <v>Umbra</v>
      </c>
      <c r="F978" s="23">
        <f>IF($E978&lt;&gt;"Umbra",fracil2($S$2,$S$3,$S$4,$A978,$Q$2,$O$3,$Q$4,$U978,$V978,$W978),0)</f>
        <v>0</v>
      </c>
      <c r="G978" s="19">
        <f t="shared" si="319"/>
        <v>69.301444623065123</v>
      </c>
      <c r="H978" s="19">
        <f t="shared" si="320"/>
        <v>-4.57278767734112</v>
      </c>
      <c r="I978" s="19">
        <f t="shared" si="321"/>
        <v>-3.364769727946225</v>
      </c>
      <c r="J978" s="28">
        <f t="shared" si="322"/>
        <v>4.8226106105340597E-3</v>
      </c>
      <c r="K978" s="24">
        <f t="shared" si="323"/>
        <v>1048.2252689924362</v>
      </c>
      <c r="L978" s="32">
        <f t="shared" si="324"/>
        <v>0.56219166834592282</v>
      </c>
      <c r="M978" s="35">
        <f t="shared" si="325"/>
        <v>12.984504349345803</v>
      </c>
      <c r="O978" s="29">
        <f t="shared" si="326"/>
        <v>1046.5858628159865</v>
      </c>
      <c r="T978" s="48">
        <v>0.75078716435185189</v>
      </c>
      <c r="U978" s="29">
        <v>-1432.9967898880996</v>
      </c>
      <c r="V978" s="29">
        <v>4522.3143641207653</v>
      </c>
      <c r="W978" s="29">
        <v>4256.6182172002591</v>
      </c>
      <c r="X978" s="4">
        <v>-0.32585345863789023</v>
      </c>
      <c r="Y978" s="4">
        <v>-0.11687724057686205</v>
      </c>
      <c r="Z978" s="4">
        <v>-1.1731655998590858E-2</v>
      </c>
      <c r="AA978" s="3">
        <f t="shared" si="331"/>
        <v>0.346378979765814</v>
      </c>
      <c r="AB978" s="3">
        <f t="shared" si="334"/>
        <v>1.673638146483581E-3</v>
      </c>
      <c r="AC978" s="3">
        <f t="shared" si="332"/>
        <v>1.7532143802928234E-2</v>
      </c>
      <c r="AD978" s="48"/>
      <c r="AE978" s="46">
        <f t="shared" si="327"/>
        <v>42.092147388193155</v>
      </c>
      <c r="AF978" s="46">
        <f t="shared" si="328"/>
        <v>-248.53981761312272</v>
      </c>
      <c r="AG978" s="47">
        <f t="shared" si="329"/>
        <v>5094.5253925592624</v>
      </c>
      <c r="AH978" s="45" t="str">
        <f t="shared" si="333"/>
        <v>-248.53982,42.09215,05095</v>
      </c>
      <c r="AI978" s="44">
        <f t="shared" si="335"/>
        <v>1021.3680093209912</v>
      </c>
    </row>
    <row r="979" spans="1:35" ht="18" customHeight="1" x14ac:dyDescent="0.25">
      <c r="A979" s="36">
        <f t="shared" si="330"/>
        <v>0.75079859953703698</v>
      </c>
      <c r="B979" s="42">
        <f t="shared" si="315"/>
        <v>42.092147385811458</v>
      </c>
      <c r="C979" s="43">
        <f t="shared" si="316"/>
        <v>111.46018441701312</v>
      </c>
      <c r="D979" s="18">
        <f t="shared" si="317"/>
        <v>5.077233984535269</v>
      </c>
      <c r="E979" s="21" t="str">
        <f t="shared" si="318"/>
        <v>Umbra</v>
      </c>
      <c r="F979" s="23">
        <f>IF($E979&lt;&gt;"Umbra",fracil2($S$2,$S$3,$S$4,$A979,$Q$2,$O$3,$Q$4,$U979,$V979,$W979),0)</f>
        <v>0</v>
      </c>
      <c r="G979" s="19">
        <f t="shared" si="319"/>
        <v>69.301449787152421</v>
      </c>
      <c r="H979" s="19">
        <f t="shared" si="320"/>
        <v>-4.5737301148920411</v>
      </c>
      <c r="I979" s="19">
        <f t="shared" si="321"/>
        <v>-3.365712165497146</v>
      </c>
      <c r="J979" s="28">
        <f t="shared" si="322"/>
        <v>4.8218934264944047E-3</v>
      </c>
      <c r="K979" s="24">
        <f t="shared" si="323"/>
        <v>1048.2239536280504</v>
      </c>
      <c r="L979" s="32">
        <f t="shared" si="324"/>
        <v>0.5622051275404778</v>
      </c>
      <c r="M979" s="35">
        <f t="shared" si="325"/>
        <v>12.98386709803961</v>
      </c>
      <c r="O979" s="29">
        <f t="shared" si="326"/>
        <v>1046.5860259860631</v>
      </c>
      <c r="T979" s="48">
        <v>0.75079859953703698</v>
      </c>
      <c r="U979" s="29">
        <v>-1433.3188847288627</v>
      </c>
      <c r="V979" s="29">
        <v>4522.1988282234106</v>
      </c>
      <c r="W979" s="29">
        <v>4256.6066261414499</v>
      </c>
      <c r="X979" s="4">
        <v>-0.32584777092114214</v>
      </c>
      <c r="Y979" s="4">
        <v>-0.11688897014422271</v>
      </c>
      <c r="Z979" s="4">
        <v>-1.1720783237936664E-2</v>
      </c>
      <c r="AA979" s="3">
        <f t="shared" si="331"/>
        <v>0.34637721910565195</v>
      </c>
      <c r="AB979" s="3">
        <f t="shared" si="334"/>
        <v>1.6712271102697972E-3</v>
      </c>
      <c r="AC979" s="3">
        <f t="shared" si="332"/>
        <v>1.7515952406521578E-2</v>
      </c>
      <c r="AD979" s="48"/>
      <c r="AE979" s="46">
        <f t="shared" si="327"/>
        <v>42.092147385811458</v>
      </c>
      <c r="AF979" s="46">
        <f t="shared" si="328"/>
        <v>-248.53981558298688</v>
      </c>
      <c r="AG979" s="47">
        <f t="shared" si="329"/>
        <v>5077.233984535269</v>
      </c>
      <c r="AH979" s="45" t="str">
        <f t="shared" si="333"/>
        <v>-248.53982,42.09215,05077</v>
      </c>
      <c r="AI979" s="44">
        <f t="shared" si="335"/>
        <v>1021.3681991915871</v>
      </c>
    </row>
    <row r="980" spans="1:35" ht="18" customHeight="1" x14ac:dyDescent="0.25">
      <c r="A980" s="36">
        <f t="shared" si="330"/>
        <v>0.75081017361111113</v>
      </c>
      <c r="B980" s="42">
        <f t="shared" si="315"/>
        <v>42.092147383407251</v>
      </c>
      <c r="C980" s="43">
        <f t="shared" si="316"/>
        <v>111.46018145214163</v>
      </c>
      <c r="D980" s="18">
        <f t="shared" si="317"/>
        <v>5.0597698508827307</v>
      </c>
      <c r="E980" s="21" t="str">
        <f t="shared" si="318"/>
        <v>Umbra</v>
      </c>
      <c r="F980" s="23">
        <f>IF($E980&lt;&gt;"Umbra",fracil2($S$2,$S$3,$S$4,$A980,$Q$2,$O$3,$Q$4,$U980,$V980,$W980),0)</f>
        <v>0</v>
      </c>
      <c r="G980" s="19">
        <f t="shared" si="319"/>
        <v>69.301449898730183</v>
      </c>
      <c r="H980" s="19">
        <f t="shared" si="320"/>
        <v>-4.5746800945753039</v>
      </c>
      <c r="I980" s="19">
        <f t="shared" si="321"/>
        <v>-3.3666621451804088</v>
      </c>
      <c r="J980" s="28">
        <f t="shared" si="322"/>
        <v>4.8211704816980144E-3</v>
      </c>
      <c r="K980" s="24">
        <f t="shared" si="323"/>
        <v>1048.2222221850423</v>
      </c>
      <c r="L980" s="32">
        <f t="shared" si="324"/>
        <v>0.56221875163997959</v>
      </c>
      <c r="M980" s="35">
        <f t="shared" si="325"/>
        <v>12.98322850623763</v>
      </c>
      <c r="O980" s="29">
        <f t="shared" si="326"/>
        <v>1046.5857875404358</v>
      </c>
      <c r="T980" s="48">
        <v>0.75081017361111113</v>
      </c>
      <c r="U980" s="29">
        <v>-1433.6444944581872</v>
      </c>
      <c r="V980" s="29">
        <v>4522.0820176787847</v>
      </c>
      <c r="W980" s="29">
        <v>4256.5949192984845</v>
      </c>
      <c r="X980" s="4">
        <v>-0.32584201278692188</v>
      </c>
      <c r="Y980" s="4">
        <v>-0.11690085672165963</v>
      </c>
      <c r="Z980" s="4">
        <v>-1.1709818875611249E-2</v>
      </c>
      <c r="AA980" s="3">
        <f t="shared" si="331"/>
        <v>0.3463754429190819</v>
      </c>
      <c r="AB980" s="3">
        <f t="shared" si="334"/>
        <v>1.6650778774444531E-3</v>
      </c>
      <c r="AC980" s="3">
        <f t="shared" si="332"/>
        <v>1.7499624652855251E-2</v>
      </c>
      <c r="AD980" s="48"/>
      <c r="AE980" s="46">
        <f t="shared" si="327"/>
        <v>42.092147383407251</v>
      </c>
      <c r="AF980" s="46">
        <f t="shared" si="328"/>
        <v>-248.53981854785837</v>
      </c>
      <c r="AG980" s="47">
        <f t="shared" si="329"/>
        <v>5059.7698508827307</v>
      </c>
      <c r="AH980" s="45" t="str">
        <f t="shared" si="333"/>
        <v>-248.53982,42.09215,05060</v>
      </c>
      <c r="AI980" s="44">
        <f t="shared" si="335"/>
        <v>1021.3684503667763</v>
      </c>
    </row>
    <row r="981" spans="1:35" ht="18" customHeight="1" x14ac:dyDescent="0.25">
      <c r="A981" s="36">
        <f t="shared" si="330"/>
        <v>0.75082181712962959</v>
      </c>
      <c r="B981" s="42">
        <f t="shared" si="315"/>
        <v>42.092147380990461</v>
      </c>
      <c r="C981" s="43">
        <f t="shared" si="316"/>
        <v>111.46018202506094</v>
      </c>
      <c r="D981" s="18">
        <f t="shared" si="317"/>
        <v>5.0422025503103214</v>
      </c>
      <c r="E981" s="21" t="str">
        <f t="shared" si="318"/>
        <v>Umbra</v>
      </c>
      <c r="F981" s="23">
        <f>IF($E981&lt;&gt;"Umbra",fracil2($S$2,$S$3,$S$4,$A981,$Q$2,$O$3,$Q$4,$U981,$V981,$W981),0)</f>
        <v>0</v>
      </c>
      <c r="G981" s="19">
        <f t="shared" si="319"/>
        <v>69.301453629242133</v>
      </c>
      <c r="H981" s="19">
        <f t="shared" si="320"/>
        <v>-4.5756370177686767</v>
      </c>
      <c r="I981" s="19">
        <f t="shared" si="321"/>
        <v>-3.3676190683737817</v>
      </c>
      <c r="J981" s="28">
        <f t="shared" si="322"/>
        <v>4.8204444953656375E-3</v>
      </c>
      <c r="K981" s="24">
        <f t="shared" si="323"/>
        <v>1048.2207666501058</v>
      </c>
      <c r="L981" s="32">
        <f t="shared" si="324"/>
        <v>0.56223245323364657</v>
      </c>
      <c r="M981" s="35">
        <f t="shared" si="325"/>
        <v>12.982582566743348</v>
      </c>
      <c r="O981" s="29">
        <f t="shared" si="326"/>
        <v>1046.5858335445989</v>
      </c>
      <c r="T981" s="48">
        <v>0.75082181712962959</v>
      </c>
      <c r="U981" s="29">
        <v>-1433.9723293286577</v>
      </c>
      <c r="V981" s="29">
        <v>4521.9643947750819</v>
      </c>
      <c r="W981" s="29">
        <v>4256.5831432991226</v>
      </c>
      <c r="X981" s="4">
        <v>-0.32583620595695301</v>
      </c>
      <c r="Y981" s="4">
        <v>-0.11691285669655486</v>
      </c>
      <c r="Z981" s="4">
        <v>-1.1698809620134493E-2</v>
      </c>
      <c r="AA981" s="3">
        <f t="shared" si="331"/>
        <v>0.34637365852486418</v>
      </c>
      <c r="AB981" s="3">
        <f t="shared" si="334"/>
        <v>1.6619184552596055E-3</v>
      </c>
      <c r="AC981" s="3">
        <f t="shared" si="332"/>
        <v>1.748323009984883E-2</v>
      </c>
      <c r="AD981" s="48"/>
      <c r="AE981" s="46">
        <f t="shared" si="327"/>
        <v>42.092147380990461</v>
      </c>
      <c r="AF981" s="46">
        <f t="shared" si="328"/>
        <v>-248.53981797493907</v>
      </c>
      <c r="AG981" s="47">
        <f t="shared" si="329"/>
        <v>5042.2025503103214</v>
      </c>
      <c r="AH981" s="45" t="str">
        <f t="shared" si="333"/>
        <v>-248.53982,42.09215,05042</v>
      </c>
      <c r="AI981" s="44">
        <f t="shared" si="335"/>
        <v>1021.3684503667763</v>
      </c>
    </row>
    <row r="982" spans="1:35" ht="18" customHeight="1" x14ac:dyDescent="0.25">
      <c r="A982" s="36">
        <f t="shared" si="330"/>
        <v>0.75083344907407401</v>
      </c>
      <c r="B982" s="42">
        <f t="shared" si="315"/>
        <v>42.092147378578986</v>
      </c>
      <c r="C982" s="43">
        <f t="shared" si="316"/>
        <v>111.46018379041504</v>
      </c>
      <c r="D982" s="18">
        <f t="shared" si="317"/>
        <v>5.0246642122474441</v>
      </c>
      <c r="E982" s="21" t="str">
        <f t="shared" si="318"/>
        <v>Umbra</v>
      </c>
      <c r="F982" s="23">
        <f>IF($E982&lt;&gt;"Umbra",fracil2($S$2,$S$3,$S$4,$A982,$Q$2,$O$3,$Q$4,$U982,$V982,$W982),0)</f>
        <v>0</v>
      </c>
      <c r="G982" s="19">
        <f t="shared" si="319"/>
        <v>69.301458568125284</v>
      </c>
      <c r="H982" s="19">
        <f t="shared" si="320"/>
        <v>-4.5765928117973349</v>
      </c>
      <c r="I982" s="19">
        <f t="shared" si="321"/>
        <v>-3.3685748624024399</v>
      </c>
      <c r="J982" s="28">
        <f t="shared" si="322"/>
        <v>4.8197208534254245E-3</v>
      </c>
      <c r="K982" s="24">
        <f t="shared" si="323"/>
        <v>1048.2194097531021</v>
      </c>
      <c r="L982" s="32">
        <f t="shared" si="324"/>
        <v>0.56224613851598937</v>
      </c>
      <c r="M982" s="35">
        <f t="shared" si="325"/>
        <v>12.981936487195474</v>
      </c>
      <c r="O982" s="29">
        <f t="shared" si="326"/>
        <v>1046.585975424596</v>
      </c>
      <c r="T982" s="48">
        <v>0.75083344907407401</v>
      </c>
      <c r="U982" s="29">
        <v>-1434.2999255246721</v>
      </c>
      <c r="V982" s="29">
        <v>4521.8468433342041</v>
      </c>
      <c r="W982" s="29">
        <v>4256.5713867144932</v>
      </c>
      <c r="X982" s="4">
        <v>-0.32583039492082422</v>
      </c>
      <c r="Y982" s="4">
        <v>-0.11692487719737708</v>
      </c>
      <c r="Z982" s="4">
        <v>-1.1687835662524291E-2</v>
      </c>
      <c r="AA982" s="3">
        <f t="shared" si="331"/>
        <v>0.34637187914776824</v>
      </c>
      <c r="AB982" s="3">
        <f t="shared" si="334"/>
        <v>1.6582328817856587E-3</v>
      </c>
      <c r="AC982" s="3">
        <f t="shared" si="332"/>
        <v>1.7466888165051875E-2</v>
      </c>
      <c r="AD982" s="48"/>
      <c r="AE982" s="46">
        <f t="shared" si="327"/>
        <v>42.092147378578986</v>
      </c>
      <c r="AF982" s="46">
        <f t="shared" si="328"/>
        <v>-248.53981620958496</v>
      </c>
      <c r="AG982" s="47">
        <f t="shared" si="329"/>
        <v>5024.6642122474441</v>
      </c>
      <c r="AH982" s="45" t="str">
        <f t="shared" si="333"/>
        <v>-248.53982,42.09215,05025</v>
      </c>
      <c r="AI982" s="44">
        <f t="shared" si="335"/>
        <v>1021.3685846255613</v>
      </c>
    </row>
    <row r="983" spans="1:35" ht="18" customHeight="1" x14ac:dyDescent="0.25">
      <c r="A983" s="36">
        <f t="shared" si="330"/>
        <v>0.75084508101851855</v>
      </c>
      <c r="B983" s="42">
        <f t="shared" si="315"/>
        <v>42.092147376173266</v>
      </c>
      <c r="C983" s="43">
        <f t="shared" si="316"/>
        <v>111.46018226465442</v>
      </c>
      <c r="D983" s="18">
        <f t="shared" si="317"/>
        <v>5.0071560340966244</v>
      </c>
      <c r="E983" s="21" t="str">
        <f t="shared" si="318"/>
        <v>Umbra</v>
      </c>
      <c r="F983" s="23">
        <f>IF($E983&lt;&gt;"Umbra",fracil2($S$2,$S$3,$S$4,$A983,$Q$2,$O$3,$Q$4,$U983,$V983,$W983),0)</f>
        <v>0</v>
      </c>
      <c r="G983" s="19">
        <f t="shared" si="319"/>
        <v>69.301460152216379</v>
      </c>
      <c r="H983" s="19">
        <f t="shared" si="320"/>
        <v>-4.5775457365236392</v>
      </c>
      <c r="I983" s="19">
        <f t="shared" si="321"/>
        <v>-3.3695277871287441</v>
      </c>
      <c r="J983" s="28">
        <f t="shared" si="322"/>
        <v>4.818999628771717E-3</v>
      </c>
      <c r="K983" s="24">
        <f t="shared" si="323"/>
        <v>1048.217791120989</v>
      </c>
      <c r="L983" s="32">
        <f t="shared" si="324"/>
        <v>0.56225982408026343</v>
      </c>
      <c r="M983" s="35">
        <f t="shared" si="325"/>
        <v>12.981294810006483</v>
      </c>
      <c r="O983" s="29">
        <f t="shared" si="326"/>
        <v>1046.5858526882125</v>
      </c>
      <c r="T983" s="48">
        <v>0.75084508101851855</v>
      </c>
      <c r="U983" s="29">
        <v>-1434.6272592283267</v>
      </c>
      <c r="V983" s="29">
        <v>4521.7293719023846</v>
      </c>
      <c r="W983" s="29">
        <v>4256.5596503472807</v>
      </c>
      <c r="X983" s="4">
        <v>-0.32582458094164496</v>
      </c>
      <c r="Y983" s="4">
        <v>-0.11693691466156791</v>
      </c>
      <c r="Z983" s="4">
        <v>-1.1676895255655451E-2</v>
      </c>
      <c r="AA983" s="3">
        <f t="shared" si="331"/>
        <v>0.34637010471340757</v>
      </c>
      <c r="AB983" s="3">
        <f t="shared" si="334"/>
        <v>1.6531576979811776E-3</v>
      </c>
      <c r="AC983" s="3">
        <f t="shared" si="332"/>
        <v>1.7450596246343413E-2</v>
      </c>
      <c r="AD983" s="48"/>
      <c r="AE983" s="46">
        <f t="shared" si="327"/>
        <v>42.092147376173266</v>
      </c>
      <c r="AF983" s="46">
        <f t="shared" si="328"/>
        <v>-248.53981773534559</v>
      </c>
      <c r="AG983" s="47">
        <f t="shared" si="329"/>
        <v>5007.1560340966244</v>
      </c>
      <c r="AH983" s="45" t="str">
        <f t="shared" si="333"/>
        <v>-248.53982,42.09215,05007</v>
      </c>
      <c r="AI983" s="44">
        <f t="shared" si="335"/>
        <v>1021.3687188843463</v>
      </c>
    </row>
    <row r="984" spans="1:35" ht="18" customHeight="1" x14ac:dyDescent="0.25">
      <c r="A984" s="36">
        <f t="shared" si="330"/>
        <v>0.75085653935185181</v>
      </c>
      <c r="B984" s="42">
        <f t="shared" si="315"/>
        <v>42.092147373805624</v>
      </c>
      <c r="C984" s="43">
        <f t="shared" si="316"/>
        <v>111.46018306514405</v>
      </c>
      <c r="D984" s="18">
        <f t="shared" si="317"/>
        <v>4.9899155880048056</v>
      </c>
      <c r="E984" s="21" t="str">
        <f t="shared" si="318"/>
        <v>Umbra</v>
      </c>
      <c r="F984" s="23">
        <f>IF($E984&lt;&gt;"Umbra",fracil2($S$2,$S$3,$S$4,$A984,$Q$2,$O$3,$Q$4,$U984,$V984,$W984),0)</f>
        <v>0</v>
      </c>
      <c r="G984" s="19">
        <f t="shared" si="319"/>
        <v>69.301464055792849</v>
      </c>
      <c r="H984" s="19">
        <f t="shared" si="320"/>
        <v>-4.5784849521631044</v>
      </c>
      <c r="I984" s="19">
        <f t="shared" si="321"/>
        <v>-3.3704670027682093</v>
      </c>
      <c r="J984" s="28">
        <f t="shared" si="322"/>
        <v>4.8182905849367876E-3</v>
      </c>
      <c r="K984" s="24">
        <f t="shared" si="323"/>
        <v>1048.2163826771828</v>
      </c>
      <c r="L984" s="32">
        <f t="shared" si="324"/>
        <v>0.5622733020079943</v>
      </c>
      <c r="M984" s="35">
        <f t="shared" si="325"/>
        <v>12.98066062724978</v>
      </c>
      <c r="O984" s="29">
        <f t="shared" si="326"/>
        <v>1046.5859169910082</v>
      </c>
      <c r="T984" s="48">
        <v>0.75085653935185181</v>
      </c>
      <c r="U984" s="29">
        <v>-1434.9498812762306</v>
      </c>
      <c r="V984" s="29">
        <v>4521.6135774594604</v>
      </c>
      <c r="W984" s="29">
        <v>4256.5480934506932</v>
      </c>
      <c r="X984" s="4">
        <v>-0.32581884201948702</v>
      </c>
      <c r="Y984" s="4">
        <v>-0.11694880861883265</v>
      </c>
      <c r="Z984" s="4">
        <v>-1.1666140094564344E-2</v>
      </c>
      <c r="AA984" s="3">
        <f t="shared" si="331"/>
        <v>0.34636835952059736</v>
      </c>
      <c r="AB984" s="3">
        <f t="shared" si="334"/>
        <v>1.6497843245337075E-3</v>
      </c>
      <c r="AC984" s="3">
        <f t="shared" si="332"/>
        <v>1.7434580239107988E-2</v>
      </c>
      <c r="AD984" s="48"/>
      <c r="AE984" s="46">
        <f t="shared" si="327"/>
        <v>42.092147373805624</v>
      </c>
      <c r="AF984" s="46">
        <f t="shared" si="328"/>
        <v>-248.53981693485593</v>
      </c>
      <c r="AG984" s="47">
        <f t="shared" si="329"/>
        <v>4989.9155880048056</v>
      </c>
      <c r="AH984" s="45" t="str">
        <f t="shared" si="333"/>
        <v>-248.53982,42.09215,04990</v>
      </c>
      <c r="AI984" s="44">
        <f t="shared" si="335"/>
        <v>1021.3687188843463</v>
      </c>
    </row>
    <row r="985" spans="1:35" ht="18" customHeight="1" x14ac:dyDescent="0.25">
      <c r="A985" s="36">
        <f t="shared" si="330"/>
        <v>0.75086809027777779</v>
      </c>
      <c r="B985" s="42">
        <f t="shared" si="315"/>
        <v>42.0921473714222</v>
      </c>
      <c r="C985" s="43">
        <f t="shared" si="316"/>
        <v>111.4601845390816</v>
      </c>
      <c r="D985" s="18">
        <f t="shared" si="317"/>
        <v>4.972549110269938</v>
      </c>
      <c r="E985" s="21" t="str">
        <f t="shared" si="318"/>
        <v>Umbra</v>
      </c>
      <c r="F985" s="23">
        <f>IF($E985&lt;&gt;"Umbra",fracil2($S$2,$S$3,$S$4,$A985,$Q$2,$O$3,$Q$4,$U985,$V985,$W985),0)</f>
        <v>0</v>
      </c>
      <c r="G985" s="19">
        <f t="shared" si="319"/>
        <v>69.301468667330582</v>
      </c>
      <c r="H985" s="19">
        <f t="shared" si="320"/>
        <v>-4.5794312854924435</v>
      </c>
      <c r="I985" s="19">
        <f t="shared" si="321"/>
        <v>-3.3714133360975485</v>
      </c>
      <c r="J985" s="28">
        <f t="shared" si="322"/>
        <v>4.8175773398485798E-3</v>
      </c>
      <c r="K985" s="24">
        <f t="shared" si="323"/>
        <v>1048.2150178957977</v>
      </c>
      <c r="L985" s="32">
        <f t="shared" si="324"/>
        <v>0.56228688655182757</v>
      </c>
      <c r="M985" s="35">
        <f t="shared" si="325"/>
        <v>12.980021131314306</v>
      </c>
      <c r="O985" s="29">
        <f t="shared" si="326"/>
        <v>1046.5860354408521</v>
      </c>
      <c r="T985" s="48">
        <v>0.75086809027777779</v>
      </c>
      <c r="U985" s="29">
        <v>-1435.2751566333491</v>
      </c>
      <c r="V985" s="29">
        <v>4521.496816696902</v>
      </c>
      <c r="W985" s="29">
        <v>4256.5364520706471</v>
      </c>
      <c r="X985" s="4">
        <v>-0.32581304845994841</v>
      </c>
      <c r="Y985" s="4">
        <v>-0.11696082638453845</v>
      </c>
      <c r="Z985" s="4">
        <v>-1.1655320676076209E-2</v>
      </c>
      <c r="AA985" s="3">
        <f t="shared" si="331"/>
        <v>0.34636660340653658</v>
      </c>
      <c r="AB985" s="3">
        <f t="shared" si="334"/>
        <v>1.6463319484427629E-3</v>
      </c>
      <c r="AC985" s="3">
        <f t="shared" si="332"/>
        <v>1.7418468595883665E-2</v>
      </c>
      <c r="AD985" s="48"/>
      <c r="AE985" s="46">
        <f t="shared" si="327"/>
        <v>42.0921473714222</v>
      </c>
      <c r="AF985" s="46">
        <f t="shared" si="328"/>
        <v>-248.53981546091842</v>
      </c>
      <c r="AG985" s="47">
        <f t="shared" si="329"/>
        <v>4972.549110269938</v>
      </c>
      <c r="AH985" s="45" t="str">
        <f t="shared" si="333"/>
        <v>-248.53982,42.09215,04973</v>
      </c>
      <c r="AI985" s="44">
        <f t="shared" si="335"/>
        <v>1021.3688138196443</v>
      </c>
    </row>
    <row r="986" spans="1:35" ht="18" customHeight="1" x14ac:dyDescent="0.25">
      <c r="A986" s="36">
        <f t="shared" si="330"/>
        <v>0.75087975694444442</v>
      </c>
      <c r="B986" s="42">
        <f t="shared" si="315"/>
        <v>42.092147369019315</v>
      </c>
      <c r="C986" s="43">
        <f t="shared" si="316"/>
        <v>111.46018480033571</v>
      </c>
      <c r="D986" s="18">
        <f t="shared" si="317"/>
        <v>4.955030059029923</v>
      </c>
      <c r="E986" s="21" t="str">
        <f t="shared" si="318"/>
        <v>Umbra</v>
      </c>
      <c r="F986" s="23">
        <f>IF($E986&lt;&gt;"Umbra",fracil2($S$2,$S$3,$S$4,$A986,$Q$2,$O$3,$Q$4,$U986,$V986,$W986),0)</f>
        <v>0</v>
      </c>
      <c r="G986" s="19">
        <f t="shared" si="319"/>
        <v>69.301472072054963</v>
      </c>
      <c r="H986" s="19">
        <f t="shared" si="320"/>
        <v>-4.5803854778270594</v>
      </c>
      <c r="I986" s="19">
        <f t="shared" si="321"/>
        <v>-3.3723675284321644</v>
      </c>
      <c r="J986" s="28">
        <f t="shared" si="322"/>
        <v>4.8168590696540513E-3</v>
      </c>
      <c r="K986" s="24">
        <f t="shared" si="323"/>
        <v>1048.2135428737947</v>
      </c>
      <c r="L986" s="32">
        <f t="shared" si="324"/>
        <v>0.56230060614263688</v>
      </c>
      <c r="M986" s="35">
        <f t="shared" si="325"/>
        <v>12.979377239017751</v>
      </c>
      <c r="O986" s="29">
        <f t="shared" si="326"/>
        <v>1046.5860563864505</v>
      </c>
      <c r="T986" s="48">
        <v>0.75087975694444442</v>
      </c>
      <c r="U986" s="29">
        <v>-1435.6035896783283</v>
      </c>
      <c r="V986" s="29">
        <v>4521.3789081559062</v>
      </c>
      <c r="W986" s="29">
        <v>4256.5247084151697</v>
      </c>
      <c r="X986" s="4">
        <v>-0.32580719028287325</v>
      </c>
      <c r="Y986" s="4">
        <v>-0.11697298977655768</v>
      </c>
      <c r="Z986" s="4">
        <v>-1.1644423229623698E-2</v>
      </c>
      <c r="AA986" s="3">
        <f t="shared" si="331"/>
        <v>0.34636483391019596</v>
      </c>
      <c r="AB986" s="3">
        <f t="shared" si="334"/>
        <v>1.6417491735396645E-3</v>
      </c>
      <c r="AC986" s="3">
        <f t="shared" si="332"/>
        <v>1.7402240811548817E-2</v>
      </c>
      <c r="AD986" s="48"/>
      <c r="AE986" s="46">
        <f t="shared" si="327"/>
        <v>42.092147369019315</v>
      </c>
      <c r="AF986" s="46">
        <f t="shared" si="328"/>
        <v>-248.5398151996643</v>
      </c>
      <c r="AG986" s="47">
        <f t="shared" si="329"/>
        <v>4955.030059029923</v>
      </c>
      <c r="AH986" s="45" t="str">
        <f t="shared" si="333"/>
        <v>-248.53982,42.09215,04955</v>
      </c>
      <c r="AI986" s="44">
        <f t="shared" si="335"/>
        <v>1021.3688138196443</v>
      </c>
    </row>
    <row r="987" spans="1:35" ht="18" customHeight="1" x14ac:dyDescent="0.25">
      <c r="A987" s="36">
        <f t="shared" si="330"/>
        <v>0.75089126157407404</v>
      </c>
      <c r="B987" s="42">
        <f t="shared" si="315"/>
        <v>42.092147366654054</v>
      </c>
      <c r="C987" s="43">
        <f t="shared" si="316"/>
        <v>111.46018402545488</v>
      </c>
      <c r="D987" s="18">
        <f t="shared" si="317"/>
        <v>4.9377746436002781</v>
      </c>
      <c r="E987" s="21" t="str">
        <f t="shared" si="318"/>
        <v>Umbra</v>
      </c>
      <c r="F987" s="23">
        <f>IF($E987&lt;&gt;"Umbra",fracil2($S$2,$S$3,$S$4,$A987,$Q$2,$O$3,$Q$4,$U987,$V987,$W987),0)</f>
        <v>0</v>
      </c>
      <c r="G987" s="19">
        <f t="shared" si="319"/>
        <v>69.301474375070214</v>
      </c>
      <c r="H987" s="19">
        <f t="shared" si="320"/>
        <v>-4.5813249283657704</v>
      </c>
      <c r="I987" s="19">
        <f t="shared" si="321"/>
        <v>-3.3733069789708754</v>
      </c>
      <c r="J987" s="28">
        <f t="shared" si="322"/>
        <v>4.8161528336304127E-3</v>
      </c>
      <c r="K987" s="24">
        <f t="shared" si="323"/>
        <v>1048.2120073449676</v>
      </c>
      <c r="L987" s="32">
        <f t="shared" si="324"/>
        <v>0.56231413402009356</v>
      </c>
      <c r="M987" s="35">
        <f t="shared" si="325"/>
        <v>12.978744064216151</v>
      </c>
      <c r="O987" s="29">
        <f t="shared" si="326"/>
        <v>1046.5859940242988</v>
      </c>
      <c r="T987" s="48">
        <v>0.75089126157407404</v>
      </c>
      <c r="U987" s="29">
        <v>-1435.9273748600476</v>
      </c>
      <c r="V987" s="29">
        <v>4521.2626541192822</v>
      </c>
      <c r="W987" s="29">
        <v>4256.5131414844618</v>
      </c>
      <c r="X987" s="4">
        <v>-0.32580140671408597</v>
      </c>
      <c r="Y987" s="4">
        <v>-0.11698500967305983</v>
      </c>
      <c r="Z987" s="4">
        <v>-1.1633706705105834E-2</v>
      </c>
      <c r="AA987" s="3">
        <f t="shared" si="331"/>
        <v>0.34636309306388807</v>
      </c>
      <c r="AB987" s="3">
        <f t="shared" si="334"/>
        <v>1.6372264094372411E-3</v>
      </c>
      <c r="AC987" s="3">
        <f t="shared" si="332"/>
        <v>1.7386282497230912E-2</v>
      </c>
      <c r="AD987" s="48"/>
      <c r="AE987" s="46">
        <f t="shared" si="327"/>
        <v>42.092147366654054</v>
      </c>
      <c r="AF987" s="46">
        <f t="shared" si="328"/>
        <v>-248.53981597454512</v>
      </c>
      <c r="AG987" s="47">
        <f t="shared" si="329"/>
        <v>4937.7746436002781</v>
      </c>
      <c r="AH987" s="45" t="str">
        <f t="shared" si="333"/>
        <v>-248.53982,42.09215,04938</v>
      </c>
      <c r="AI987" s="44">
        <f t="shared" si="335"/>
        <v>1021.3688138196443</v>
      </c>
    </row>
    <row r="988" spans="1:35" ht="18" customHeight="1" x14ac:dyDescent="0.25">
      <c r="A988" s="36">
        <f t="shared" si="330"/>
        <v>0.75090277777777781</v>
      </c>
      <c r="B988" s="42">
        <f t="shared" si="315"/>
        <v>42.092147364291009</v>
      </c>
      <c r="C988" s="43">
        <f t="shared" si="316"/>
        <v>111.46018141736386</v>
      </c>
      <c r="D988" s="18">
        <f t="shared" si="317"/>
        <v>4.9205253643813194</v>
      </c>
      <c r="E988" s="21" t="str">
        <f t="shared" si="318"/>
        <v>Umbra</v>
      </c>
      <c r="F988" s="23">
        <f>IF($E988&lt;&gt;"Umbra",fracil2($S$2,$S$3,$S$4,$A988,$Q$2,$O$3,$Q$4,$U988,$V988,$W988),0)</f>
        <v>0</v>
      </c>
      <c r="G988" s="19">
        <f t="shared" si="319"/>
        <v>69.301474811323217</v>
      </c>
      <c r="H988" s="19">
        <f t="shared" si="320"/>
        <v>-4.5822633634213599</v>
      </c>
      <c r="I988" s="19">
        <f t="shared" si="321"/>
        <v>-3.3742454140264648</v>
      </c>
      <c r="J988" s="28">
        <f t="shared" si="322"/>
        <v>4.8154480594758617E-3</v>
      </c>
      <c r="K988" s="24">
        <f t="shared" si="323"/>
        <v>1048.2103252345039</v>
      </c>
      <c r="L988" s="32">
        <f t="shared" si="324"/>
        <v>0.56232767489238777</v>
      </c>
      <c r="M988" s="35">
        <f t="shared" si="325"/>
        <v>12.97811294604247</v>
      </c>
      <c r="O988" s="29">
        <f t="shared" si="326"/>
        <v>1046.5857842660439</v>
      </c>
      <c r="T988" s="48">
        <v>0.75090277777777781</v>
      </c>
      <c r="U988" s="29">
        <v>-1436.2513371406833</v>
      </c>
      <c r="V988" s="29">
        <v>4521.146322459329</v>
      </c>
      <c r="W988" s="29">
        <v>4256.5015786671902</v>
      </c>
      <c r="X988" s="4">
        <v>-0.32579561194716744</v>
      </c>
      <c r="Y988" s="4">
        <v>-0.11699706391750844</v>
      </c>
      <c r="Z988" s="4">
        <v>-1.1623010211007664E-2</v>
      </c>
      <c r="AA988" s="3">
        <f t="shared" si="331"/>
        <v>0.34636135479541025</v>
      </c>
      <c r="AB988" s="3">
        <f t="shared" si="334"/>
        <v>1.6325185231888324E-3</v>
      </c>
      <c r="AC988" s="3">
        <f t="shared" si="332"/>
        <v>1.7370354062975629E-2</v>
      </c>
      <c r="AD988" s="48"/>
      <c r="AE988" s="46">
        <f t="shared" si="327"/>
        <v>42.092147364291009</v>
      </c>
      <c r="AF988" s="46">
        <f t="shared" si="328"/>
        <v>-248.53981858263614</v>
      </c>
      <c r="AG988" s="47">
        <f t="shared" si="329"/>
        <v>4920.5253643813194</v>
      </c>
      <c r="AH988" s="45" t="str">
        <f t="shared" si="333"/>
        <v>-248.53982,42.09215,04921</v>
      </c>
      <c r="AI988" s="44">
        <f t="shared" si="335"/>
        <v>1021.3690036902402</v>
      </c>
    </row>
    <row r="989" spans="1:35" ht="18" customHeight="1" x14ac:dyDescent="0.25">
      <c r="A989" s="36">
        <f t="shared" si="330"/>
        <v>0.75091440972222223</v>
      </c>
      <c r="B989" s="42">
        <f t="shared" si="315"/>
        <v>42.092147361904715</v>
      </c>
      <c r="C989" s="43">
        <f t="shared" si="316"/>
        <v>111.46018447367656</v>
      </c>
      <c r="D989" s="18">
        <f t="shared" si="317"/>
        <v>4.9030952191269535</v>
      </c>
      <c r="E989" s="21" t="str">
        <f t="shared" si="318"/>
        <v>Umbra</v>
      </c>
      <c r="F989" s="23">
        <f>IF($E989&lt;&gt;"Umbra",fracil2($S$2,$S$3,$S$4,$A989,$Q$2,$O$3,$Q$4,$U989,$V989,$W989),0)</f>
        <v>0</v>
      </c>
      <c r="G989" s="19">
        <f t="shared" si="319"/>
        <v>69.30148104469508</v>
      </c>
      <c r="H989" s="19">
        <f t="shared" si="320"/>
        <v>-4.5832137648672235</v>
      </c>
      <c r="I989" s="19">
        <f t="shared" si="321"/>
        <v>-3.3751958154723285</v>
      </c>
      <c r="J989" s="28">
        <f t="shared" si="322"/>
        <v>4.8147367683717161E-3</v>
      </c>
      <c r="K989" s="24">
        <f t="shared" si="323"/>
        <v>1048.20908338151</v>
      </c>
      <c r="L989" s="32">
        <f t="shared" si="324"/>
        <v>0.56234134620848242</v>
      </c>
      <c r="M989" s="35">
        <f t="shared" si="325"/>
        <v>12.977469493873963</v>
      </c>
      <c r="O989" s="29">
        <f t="shared" si="326"/>
        <v>1046.5860299440149</v>
      </c>
      <c r="T989" s="48">
        <v>0.75091440972222223</v>
      </c>
      <c r="U989" s="29">
        <v>-1436.5789932035377</v>
      </c>
      <c r="V989" s="29">
        <v>4521.0286500866559</v>
      </c>
      <c r="W989" s="29">
        <v>4256.4898946089861</v>
      </c>
      <c r="X989" s="4">
        <v>-0.32578974313478737</v>
      </c>
      <c r="Y989" s="4">
        <v>-0.11700928320007914</v>
      </c>
      <c r="Z989" s="4">
        <v>-1.1612217475509013E-2</v>
      </c>
      <c r="AA989" s="3">
        <f t="shared" si="331"/>
        <v>0.34635960024449386</v>
      </c>
      <c r="AB989" s="3">
        <f t="shared" si="334"/>
        <v>1.6308115712781177E-3</v>
      </c>
      <c r="AC989" s="3">
        <f t="shared" si="332"/>
        <v>1.7354282366016365E-2</v>
      </c>
      <c r="AD989" s="48"/>
      <c r="AE989" s="46">
        <f t="shared" si="327"/>
        <v>42.092147361904715</v>
      </c>
      <c r="AF989" s="46">
        <f t="shared" si="328"/>
        <v>-248.53981552632342</v>
      </c>
      <c r="AG989" s="47">
        <f t="shared" si="329"/>
        <v>4903.0952191269535</v>
      </c>
      <c r="AH989" s="45" t="str">
        <f t="shared" si="333"/>
        <v>-248.53982,42.09215,04903</v>
      </c>
      <c r="AI989" s="44">
        <f t="shared" si="335"/>
        <v>1021.3692548654294</v>
      </c>
    </row>
    <row r="990" spans="1:35" ht="18" customHeight="1" x14ac:dyDescent="0.25">
      <c r="A990" s="36">
        <f t="shared" si="330"/>
        <v>0.75092597222222224</v>
      </c>
      <c r="B990" s="42">
        <f t="shared" si="315"/>
        <v>42.092147359539204</v>
      </c>
      <c r="C990" s="43">
        <f t="shared" si="316"/>
        <v>111.46018227615286</v>
      </c>
      <c r="D990" s="18">
        <f t="shared" si="317"/>
        <v>4.8858068494910185</v>
      </c>
      <c r="E990" s="21" t="str">
        <f t="shared" si="318"/>
        <v>Umbra</v>
      </c>
      <c r="F990" s="23">
        <f>IF($E990&lt;&gt;"Umbra",fracil2($S$2,$S$3,$S$4,$A990,$Q$2,$O$3,$Q$4,$U990,$V990,$W990),0)</f>
        <v>0</v>
      </c>
      <c r="G990" s="19">
        <f t="shared" si="319"/>
        <v>69.301481905806867</v>
      </c>
      <c r="H990" s="19">
        <f t="shared" si="320"/>
        <v>-4.5841544876252316</v>
      </c>
      <c r="I990" s="19">
        <f t="shared" si="321"/>
        <v>-3.3761365382303365</v>
      </c>
      <c r="J990" s="28">
        <f t="shared" si="322"/>
        <v>4.8140327233465469E-3</v>
      </c>
      <c r="K990" s="24">
        <f t="shared" si="323"/>
        <v>1048.2074315118891</v>
      </c>
      <c r="L990" s="32">
        <f t="shared" si="324"/>
        <v>0.56235493754359334</v>
      </c>
      <c r="M990" s="35">
        <f t="shared" si="325"/>
        <v>12.976836512467656</v>
      </c>
      <c r="O990" s="29">
        <f t="shared" si="326"/>
        <v>1046.5858531966596</v>
      </c>
      <c r="T990" s="48">
        <v>0.75092597222222224</v>
      </c>
      <c r="U990" s="29">
        <v>-1436.904279025269</v>
      </c>
      <c r="V990" s="29">
        <v>4520.9118146791152</v>
      </c>
      <c r="W990" s="29">
        <v>4256.4783055882326</v>
      </c>
      <c r="X990" s="4">
        <v>-0.32578390818698039</v>
      </c>
      <c r="Y990" s="4">
        <v>-0.11702144358532855</v>
      </c>
      <c r="Z990" s="4">
        <v>-1.1601530336617186E-2</v>
      </c>
      <c r="AA990" s="3">
        <f t="shared" si="331"/>
        <v>0.34635786204232255</v>
      </c>
      <c r="AB990" s="3">
        <f t="shared" si="334"/>
        <v>1.6245491069198615E-3</v>
      </c>
      <c r="AC990" s="3">
        <f t="shared" si="332"/>
        <v>1.7338367967802443E-2</v>
      </c>
      <c r="AD990" s="48"/>
      <c r="AE990" s="46">
        <f t="shared" si="327"/>
        <v>42.092147359539204</v>
      </c>
      <c r="AF990" s="46">
        <f t="shared" si="328"/>
        <v>-248.53981772384714</v>
      </c>
      <c r="AG990" s="47">
        <f t="shared" si="329"/>
        <v>4885.8068494910185</v>
      </c>
      <c r="AH990" s="45" t="str">
        <f t="shared" si="333"/>
        <v>-248.53982,42.09215,04886</v>
      </c>
      <c r="AI990" s="44">
        <f t="shared" si="335"/>
        <v>1021.3694192981887</v>
      </c>
    </row>
    <row r="991" spans="1:35" ht="18" customHeight="1" x14ac:dyDescent="0.25">
      <c r="A991" s="36">
        <f t="shared" si="330"/>
        <v>0.75093758101851849</v>
      </c>
      <c r="B991" s="42">
        <f t="shared" si="315"/>
        <v>42.092147357166525</v>
      </c>
      <c r="C991" s="43">
        <f t="shared" si="316"/>
        <v>111.46018273972939</v>
      </c>
      <c r="D991" s="18">
        <f t="shared" si="317"/>
        <v>4.8684542026167037</v>
      </c>
      <c r="E991" s="21" t="str">
        <f t="shared" si="318"/>
        <v>Umbra</v>
      </c>
      <c r="F991" s="23">
        <f>IF($E991&lt;&gt;"Umbra",fracil2($S$2,$S$3,$S$4,$A991,$Q$2,$O$3,$Q$4,$U991,$V991,$W991),0)</f>
        <v>0</v>
      </c>
      <c r="G991" s="19">
        <f t="shared" si="319"/>
        <v>69.301485486662827</v>
      </c>
      <c r="H991" s="19">
        <f t="shared" si="320"/>
        <v>-4.5850997063685117</v>
      </c>
      <c r="I991" s="19">
        <f t="shared" si="321"/>
        <v>-3.3770817569736167</v>
      </c>
      <c r="J991" s="28">
        <f t="shared" si="322"/>
        <v>4.8133270090565498E-3</v>
      </c>
      <c r="K991" s="24">
        <f t="shared" si="323"/>
        <v>1048.2059883906766</v>
      </c>
      <c r="L991" s="32">
        <f t="shared" si="324"/>
        <v>0.56236857967201226</v>
      </c>
      <c r="M991" s="35">
        <f t="shared" si="325"/>
        <v>12.976198493000988</v>
      </c>
      <c r="O991" s="29">
        <f t="shared" si="326"/>
        <v>1046.5858904104045</v>
      </c>
      <c r="T991" s="48">
        <v>0.75093758101851849</v>
      </c>
      <c r="U991" s="29">
        <v>-1437.2310696125214</v>
      </c>
      <c r="V991" s="29">
        <v>4520.7944244450455</v>
      </c>
      <c r="W991" s="29">
        <v>4256.4666734802522</v>
      </c>
      <c r="X991" s="4">
        <v>-0.32577803854732973</v>
      </c>
      <c r="Y991" s="4">
        <v>-0.11703368689484922</v>
      </c>
      <c r="Z991" s="4">
        <v>-1.1590818604209999E-2</v>
      </c>
      <c r="AA991" s="3">
        <f t="shared" si="331"/>
        <v>0.34635611925280424</v>
      </c>
      <c r="AB991" s="3">
        <f t="shared" si="334"/>
        <v>1.6217885429644775E-3</v>
      </c>
      <c r="AC991" s="3">
        <f t="shared" si="332"/>
        <v>1.7322416999574843E-2</v>
      </c>
      <c r="AD991" s="48"/>
      <c r="AE991" s="46">
        <f t="shared" si="327"/>
        <v>42.092147357166525</v>
      </c>
      <c r="AF991" s="46">
        <f t="shared" si="328"/>
        <v>-248.53981726027061</v>
      </c>
      <c r="AG991" s="47">
        <f t="shared" si="329"/>
        <v>4868.4542026167037</v>
      </c>
      <c r="AH991" s="45" t="str">
        <f t="shared" si="333"/>
        <v>-248.53982,42.09215,04868</v>
      </c>
      <c r="AI991" s="44">
        <f t="shared" si="335"/>
        <v>1021.3694192981887</v>
      </c>
    </row>
    <row r="992" spans="1:35" ht="18" customHeight="1" x14ac:dyDescent="0.25">
      <c r="A992" s="36">
        <f t="shared" si="330"/>
        <v>0.75094907407407396</v>
      </c>
      <c r="B992" s="42">
        <f t="shared" si="315"/>
        <v>42.092147354821371</v>
      </c>
      <c r="C992" s="43">
        <f t="shared" si="316"/>
        <v>111.4601823689277</v>
      </c>
      <c r="D992" s="18">
        <f t="shared" si="317"/>
        <v>4.8512937635396156</v>
      </c>
      <c r="E992" s="21" t="str">
        <f t="shared" si="318"/>
        <v>Umbra</v>
      </c>
      <c r="F992" s="23">
        <f>IF($E992&lt;&gt;"Umbra",fracil2($S$2,$S$3,$S$4,$A992,$Q$2,$O$3,$Q$4,$U992,$V992,$W992),0)</f>
        <v>0</v>
      </c>
      <c r="G992" s="19">
        <f t="shared" si="319"/>
        <v>69.301488183937735</v>
      </c>
      <c r="H992" s="19">
        <f t="shared" si="320"/>
        <v>-4.5860341487022733</v>
      </c>
      <c r="I992" s="19">
        <f t="shared" si="321"/>
        <v>-3.3780161993073783</v>
      </c>
      <c r="J992" s="28">
        <f t="shared" si="322"/>
        <v>4.8126303069066182E-3</v>
      </c>
      <c r="K992" s="24">
        <f t="shared" si="323"/>
        <v>1048.2044948650123</v>
      </c>
      <c r="L992" s="32">
        <f t="shared" si="324"/>
        <v>0.56238208452104399</v>
      </c>
      <c r="M992" s="35">
        <f t="shared" si="325"/>
        <v>12.975568364781449</v>
      </c>
      <c r="O992" s="29">
        <f t="shared" si="326"/>
        <v>1046.5858605380633</v>
      </c>
      <c r="T992" s="48">
        <v>0.75094907407407396</v>
      </c>
      <c r="U992" s="29">
        <v>-1437.5545315737015</v>
      </c>
      <c r="V992" s="29">
        <v>4520.6782157321277</v>
      </c>
      <c r="W992" s="29">
        <v>4256.455170216228</v>
      </c>
      <c r="X992" s="4">
        <v>-0.32577222053145044</v>
      </c>
      <c r="Y992" s="4">
        <v>-0.1170458335685932</v>
      </c>
      <c r="Z992" s="4">
        <v>-1.158024216008707E-2</v>
      </c>
      <c r="AA992" s="3">
        <f t="shared" si="331"/>
        <v>0.34635439774058746</v>
      </c>
      <c r="AB992" s="3">
        <f t="shared" si="334"/>
        <v>1.6174261037337195E-3</v>
      </c>
      <c r="AC992" s="3">
        <f t="shared" si="332"/>
        <v>1.7306667542564349E-2</v>
      </c>
      <c r="AD992" s="48"/>
      <c r="AE992" s="46">
        <f t="shared" si="327"/>
        <v>42.092147354821371</v>
      </c>
      <c r="AF992" s="46">
        <f t="shared" si="328"/>
        <v>-248.53981763107231</v>
      </c>
      <c r="AG992" s="47">
        <f t="shared" si="329"/>
        <v>4851.2937635396156</v>
      </c>
      <c r="AH992" s="45" t="str">
        <f t="shared" si="333"/>
        <v>-248.53982,42.09215,04851</v>
      </c>
      <c r="AI992" s="44">
        <f t="shared" si="335"/>
        <v>1021.3694192981887</v>
      </c>
    </row>
    <row r="993" spans="1:35" ht="18" customHeight="1" x14ac:dyDescent="0.25">
      <c r="A993" s="36">
        <f t="shared" si="330"/>
        <v>0.75096064814814811</v>
      </c>
      <c r="B993" s="42">
        <f t="shared" si="315"/>
        <v>42.092147352461851</v>
      </c>
      <c r="C993" s="43">
        <f t="shared" si="316"/>
        <v>111.46018458132842</v>
      </c>
      <c r="D993" s="18">
        <f t="shared" si="317"/>
        <v>4.8340174857321472</v>
      </c>
      <c r="E993" s="21" t="str">
        <f t="shared" si="318"/>
        <v>Umbra</v>
      </c>
      <c r="F993" s="23">
        <f>IF($E993&lt;&gt;"Umbra",fracil2($S$2,$S$3,$S$4,$A993,$Q$2,$O$3,$Q$4,$U993,$V993,$W993),0)</f>
        <v>0</v>
      </c>
      <c r="G993" s="19">
        <f t="shared" si="319"/>
        <v>69.301493530916858</v>
      </c>
      <c r="H993" s="19">
        <f t="shared" si="320"/>
        <v>-4.5869758654301798</v>
      </c>
      <c r="I993" s="19">
        <f t="shared" si="321"/>
        <v>-3.3789579160352847</v>
      </c>
      <c r="J993" s="28">
        <f t="shared" si="322"/>
        <v>4.8119298241017074E-3</v>
      </c>
      <c r="K993" s="24">
        <f t="shared" si="323"/>
        <v>1048.2031994251799</v>
      </c>
      <c r="L993" s="32">
        <f t="shared" si="324"/>
        <v>0.56239568101741255</v>
      </c>
      <c r="M993" s="35">
        <f t="shared" si="325"/>
        <v>12.974931382642552</v>
      </c>
      <c r="O993" s="29">
        <f t="shared" si="326"/>
        <v>1046.586038363384</v>
      </c>
      <c r="T993" s="48">
        <v>0.75096064814814811</v>
      </c>
      <c r="U993" s="29">
        <v>-1437.8804695095428</v>
      </c>
      <c r="V993" s="29">
        <v>4520.5611031736935</v>
      </c>
      <c r="W993" s="29">
        <v>4256.443589301427</v>
      </c>
      <c r="X993" s="4">
        <v>-0.32576635045397306</v>
      </c>
      <c r="Y993" s="4">
        <v>-0.11705809927650537</v>
      </c>
      <c r="Z993" s="4">
        <v>-1.1569609026134207E-2</v>
      </c>
      <c r="AA993" s="3">
        <f t="shared" si="331"/>
        <v>0.34635266643602819</v>
      </c>
      <c r="AB993" s="3">
        <f t="shared" si="334"/>
        <v>1.6147075464729693E-3</v>
      </c>
      <c r="AC993" s="3">
        <f t="shared" si="332"/>
        <v>1.7290833720363531E-2</v>
      </c>
      <c r="AD993" s="48"/>
      <c r="AE993" s="46">
        <f t="shared" si="327"/>
        <v>42.092147352461851</v>
      </c>
      <c r="AF993" s="46">
        <f t="shared" si="328"/>
        <v>-248.53981541867159</v>
      </c>
      <c r="AG993" s="47">
        <f t="shared" si="329"/>
        <v>4834.0174857321472</v>
      </c>
      <c r="AH993" s="45" t="str">
        <f t="shared" si="333"/>
        <v>-248.53982,42.09215,04834</v>
      </c>
      <c r="AI993" s="44">
        <f t="shared" si="335"/>
        <v>1021.3696091687847</v>
      </c>
    </row>
    <row r="994" spans="1:35" ht="18" customHeight="1" x14ac:dyDescent="0.25">
      <c r="A994" s="36">
        <f t="shared" si="330"/>
        <v>0.75097232638888889</v>
      </c>
      <c r="B994" s="42">
        <f t="shared" si="315"/>
        <v>42.092147350086861</v>
      </c>
      <c r="C994" s="43">
        <f t="shared" si="316"/>
        <v>111.46018288971173</v>
      </c>
      <c r="D994" s="18">
        <f t="shared" si="317"/>
        <v>4.8166179816416843</v>
      </c>
      <c r="E994" s="21" t="str">
        <f t="shared" si="318"/>
        <v>Umbra</v>
      </c>
      <c r="F994" s="23">
        <f>IF($E994&lt;&gt;"Umbra",fracil2($S$2,$S$3,$S$4,$A994,$Q$2,$O$3,$Q$4,$U994,$V994,$W994),0)</f>
        <v>0</v>
      </c>
      <c r="G994" s="19">
        <f t="shared" si="319"/>
        <v>69.301494926840704</v>
      </c>
      <c r="H994" s="19">
        <f t="shared" si="320"/>
        <v>-4.587922840534933</v>
      </c>
      <c r="I994" s="19">
        <f t="shared" si="321"/>
        <v>-3.379904891140038</v>
      </c>
      <c r="J994" s="28">
        <f t="shared" si="322"/>
        <v>4.8112255963427275E-3</v>
      </c>
      <c r="K994" s="24">
        <f t="shared" si="323"/>
        <v>1048.2015798867892</v>
      </c>
      <c r="L994" s="32">
        <f t="shared" si="324"/>
        <v>0.56240940065201561</v>
      </c>
      <c r="M994" s="35">
        <f t="shared" si="325"/>
        <v>12.974293780154303</v>
      </c>
      <c r="O994" s="29">
        <f t="shared" si="326"/>
        <v>1046.5859022923942</v>
      </c>
      <c r="T994" s="48">
        <v>0.75097232638888889</v>
      </c>
      <c r="U994" s="29">
        <v>-1438.2090289953267</v>
      </c>
      <c r="V994" s="29">
        <v>4520.4430340961599</v>
      </c>
      <c r="W994" s="29">
        <v>4256.4319257836987</v>
      </c>
      <c r="X994" s="4">
        <v>-0.32576042532133859</v>
      </c>
      <c r="Y994" s="4">
        <v>-0.11707049069544802</v>
      </c>
      <c r="Z994" s="4">
        <v>-1.1558915580791272E-2</v>
      </c>
      <c r="AA994" s="3">
        <f t="shared" si="331"/>
        <v>0.34635092467989209</v>
      </c>
      <c r="AB994" s="3">
        <f t="shared" si="334"/>
        <v>1.6093764387984915E-3</v>
      </c>
      <c r="AC994" s="3">
        <f t="shared" si="332"/>
        <v>1.7274910141096396E-2</v>
      </c>
      <c r="AD994" s="48"/>
      <c r="AE994" s="46">
        <f t="shared" si="327"/>
        <v>42.092147350086861</v>
      </c>
      <c r="AF994" s="46">
        <f t="shared" si="328"/>
        <v>-248.53981711028825</v>
      </c>
      <c r="AG994" s="47">
        <f t="shared" si="329"/>
        <v>4816.6179816416843</v>
      </c>
      <c r="AH994" s="45" t="str">
        <f t="shared" si="333"/>
        <v>-248.53982,42.09215,04817</v>
      </c>
      <c r="AI994" s="44">
        <f t="shared" si="335"/>
        <v>1021.3697434275697</v>
      </c>
    </row>
    <row r="995" spans="1:35" ht="18" customHeight="1" x14ac:dyDescent="0.25">
      <c r="A995" s="36">
        <f t="shared" si="330"/>
        <v>0.75098392361111121</v>
      </c>
      <c r="B995" s="42">
        <f t="shared" si="315"/>
        <v>42.092147347729743</v>
      </c>
      <c r="C995" s="43">
        <f t="shared" si="316"/>
        <v>111.46018521613405</v>
      </c>
      <c r="D995" s="18">
        <f t="shared" si="317"/>
        <v>4.7993385702620799</v>
      </c>
      <c r="E995" s="21" t="str">
        <f t="shared" si="318"/>
        <v>Umbra</v>
      </c>
      <c r="F995" s="23">
        <f>IF($E995&lt;&gt;"Umbra",fracil2($S$2,$S$3,$S$4,$A995,$Q$2,$O$3,$Q$4,$U995,$V995,$W995),0)</f>
        <v>0</v>
      </c>
      <c r="G995" s="19">
        <f t="shared" si="319"/>
        <v>69.301500390437354</v>
      </c>
      <c r="H995" s="19">
        <f t="shared" si="320"/>
        <v>-4.5888647753593679</v>
      </c>
      <c r="I995" s="19">
        <f t="shared" si="321"/>
        <v>-3.3808468259644728</v>
      </c>
      <c r="J995" s="28">
        <f t="shared" si="322"/>
        <v>4.8105272605185843E-3</v>
      </c>
      <c r="K995" s="24">
        <f t="shared" si="323"/>
        <v>1048.2002939138783</v>
      </c>
      <c r="L995" s="32">
        <f t="shared" si="324"/>
        <v>0.56242302058887461</v>
      </c>
      <c r="M995" s="35">
        <f t="shared" si="325"/>
        <v>12.973656553749976</v>
      </c>
      <c r="O995" s="29">
        <f t="shared" si="326"/>
        <v>1046.5860892854932</v>
      </c>
      <c r="T995" s="48">
        <v>0.75098392361111121</v>
      </c>
      <c r="U995" s="29">
        <v>-1438.5356155261015</v>
      </c>
      <c r="V995" s="29">
        <v>4520.3256594777231</v>
      </c>
      <c r="W995" s="29">
        <v>4256.4203427685852</v>
      </c>
      <c r="X995" s="4">
        <v>-0.32575452737750193</v>
      </c>
      <c r="Y995" s="4">
        <v>-0.11708283645110507</v>
      </c>
      <c r="Z995" s="4">
        <v>-1.1548313164504807E-2</v>
      </c>
      <c r="AA995" s="3">
        <f t="shared" si="331"/>
        <v>0.34634919696069943</v>
      </c>
      <c r="AB995" s="3">
        <f t="shared" si="334"/>
        <v>1.6068185632020567E-3</v>
      </c>
      <c r="AC995" s="3">
        <f t="shared" si="332"/>
        <v>1.7259122165339834E-2</v>
      </c>
      <c r="AD995" s="48"/>
      <c r="AE995" s="46">
        <f t="shared" si="327"/>
        <v>42.092147347729743</v>
      </c>
      <c r="AF995" s="46">
        <f t="shared" si="328"/>
        <v>-248.53981478386595</v>
      </c>
      <c r="AG995" s="47">
        <f t="shared" si="329"/>
        <v>4799.3385702620799</v>
      </c>
      <c r="AH995" s="45" t="str">
        <f t="shared" si="333"/>
        <v>-248.53981,42.09215,04799</v>
      </c>
      <c r="AI995" s="44">
        <f t="shared" si="335"/>
        <v>1021.3699332981656</v>
      </c>
    </row>
    <row r="996" spans="1:35" ht="18" customHeight="1" x14ac:dyDescent="0.25">
      <c r="A996" s="36">
        <f t="shared" si="330"/>
        <v>0.75099548611111111</v>
      </c>
      <c r="B996" s="42">
        <f t="shared" si="315"/>
        <v>42.09214734538623</v>
      </c>
      <c r="C996" s="43">
        <f t="shared" si="316"/>
        <v>111.46018229604167</v>
      </c>
      <c r="D996" s="18">
        <f t="shared" si="317"/>
        <v>4.7821482459848994</v>
      </c>
      <c r="E996" s="21" t="str">
        <f t="shared" si="318"/>
        <v>Umbra</v>
      </c>
      <c r="F996" s="23">
        <f>IF($E996&lt;&gt;"Umbra",fracil2($S$2,$S$3,$S$4,$A996,$Q$2,$O$3,$Q$4,$U996,$V996,$W996),0)</f>
        <v>0</v>
      </c>
      <c r="G996" s="19">
        <f t="shared" si="319"/>
        <v>69.301500498672254</v>
      </c>
      <c r="H996" s="19">
        <f t="shared" si="320"/>
        <v>-4.5897999059670695</v>
      </c>
      <c r="I996" s="19">
        <f t="shared" si="321"/>
        <v>-3.3817819565721745</v>
      </c>
      <c r="J996" s="28">
        <f t="shared" si="322"/>
        <v>4.8098336844123873E-3</v>
      </c>
      <c r="K996" s="24">
        <f t="shared" si="323"/>
        <v>1048.1985940073305</v>
      </c>
      <c r="L996" s="32">
        <f t="shared" si="324"/>
        <v>0.56243660143783336</v>
      </c>
      <c r="M996" s="35">
        <f t="shared" si="325"/>
        <v>12.973027853608833</v>
      </c>
      <c r="O996" s="29">
        <f t="shared" si="326"/>
        <v>1046.5858544417877</v>
      </c>
      <c r="T996" s="48">
        <v>0.75099548611111111</v>
      </c>
      <c r="U996" s="29">
        <v>-1438.8608098662571</v>
      </c>
      <c r="V996" s="29">
        <v>4520.2087707865585</v>
      </c>
      <c r="W996" s="29">
        <v>4256.4088194719043</v>
      </c>
      <c r="X996" s="4">
        <v>-0.32574864750995208</v>
      </c>
      <c r="Y996" s="4">
        <v>-0.11709515410628552</v>
      </c>
      <c r="Z996" s="4">
        <v>-1.1537778768810418E-2</v>
      </c>
      <c r="AA996" s="3">
        <f t="shared" si="331"/>
        <v>0.34634747986473902</v>
      </c>
      <c r="AB996" s="3">
        <f t="shared" si="334"/>
        <v>1.6012989376310426E-3</v>
      </c>
      <c r="AC996" s="3">
        <f t="shared" si="332"/>
        <v>1.7243435530294948E-2</v>
      </c>
      <c r="AD996" s="48"/>
      <c r="AE996" s="46">
        <f t="shared" si="327"/>
        <v>42.09214734538623</v>
      </c>
      <c r="AF996" s="46">
        <f t="shared" si="328"/>
        <v>-248.53981770395833</v>
      </c>
      <c r="AG996" s="47">
        <f t="shared" si="329"/>
        <v>4782.1482459848994</v>
      </c>
      <c r="AH996" s="45" t="str">
        <f t="shared" si="333"/>
        <v>-248.53982,42.09215,04782</v>
      </c>
      <c r="AI996" s="44">
        <f t="shared" si="335"/>
        <v>1021.3702018157371</v>
      </c>
    </row>
    <row r="997" spans="1:35" ht="18" customHeight="1" x14ac:dyDescent="0.25">
      <c r="A997" s="36">
        <f t="shared" si="330"/>
        <v>0.75100704861111112</v>
      </c>
      <c r="B997" s="42">
        <f t="shared" si="315"/>
        <v>42.092147343043585</v>
      </c>
      <c r="C997" s="43">
        <f t="shared" si="316"/>
        <v>111.46018400128241</v>
      </c>
      <c r="D997" s="18">
        <f t="shared" si="317"/>
        <v>4.7649545536360165</v>
      </c>
      <c r="E997" s="21" t="str">
        <f t="shared" si="318"/>
        <v>Umbra</v>
      </c>
      <c r="F997" s="23">
        <f>IF($E997&lt;&gt;"Umbra",fracil2($S$2,$S$3,$S$4,$A997,$Q$2,$O$3,$Q$4,$U997,$V997,$W997),0)</f>
        <v>0</v>
      </c>
      <c r="G997" s="19">
        <f t="shared" si="319"/>
        <v>69.301505314746876</v>
      </c>
      <c r="H997" s="19">
        <f t="shared" si="320"/>
        <v>-4.5907369459429876</v>
      </c>
      <c r="I997" s="19">
        <f t="shared" si="321"/>
        <v>-3.3827189965480926</v>
      </c>
      <c r="J997" s="28">
        <f t="shared" si="322"/>
        <v>4.8091409205438902E-3</v>
      </c>
      <c r="K997" s="24">
        <f t="shared" si="323"/>
        <v>1048.1972659603703</v>
      </c>
      <c r="L997" s="32">
        <f t="shared" si="324"/>
        <v>0.56245017737723924</v>
      </c>
      <c r="M997" s="35">
        <f t="shared" si="325"/>
        <v>12.972394384845261</v>
      </c>
      <c r="O997" s="29">
        <f t="shared" si="326"/>
        <v>1046.5859914901841</v>
      </c>
      <c r="T997" s="48">
        <v>0.75100704861111112</v>
      </c>
      <c r="U997" s="29">
        <v>-1439.1863589479883</v>
      </c>
      <c r="V997" s="29">
        <v>4520.091740140947</v>
      </c>
      <c r="W997" s="29">
        <v>4256.3972939175937</v>
      </c>
      <c r="X997" s="4">
        <v>-0.32574275315497836</v>
      </c>
      <c r="Y997" s="4">
        <v>-0.11710751286738386</v>
      </c>
      <c r="Z997" s="4">
        <v>-1.1527258685081707E-2</v>
      </c>
      <c r="AA997" s="3">
        <f t="shared" si="331"/>
        <v>0.34634576436815628</v>
      </c>
      <c r="AB997" s="3">
        <f t="shared" si="334"/>
        <v>1.599118147912299E-3</v>
      </c>
      <c r="AC997" s="3">
        <f t="shared" si="332"/>
        <v>1.722777025868907E-2</v>
      </c>
      <c r="AD997" s="48"/>
      <c r="AE997" s="46">
        <f t="shared" si="327"/>
        <v>42.092147343043585</v>
      </c>
      <c r="AF997" s="46">
        <f t="shared" si="328"/>
        <v>-248.53981599871759</v>
      </c>
      <c r="AG997" s="47">
        <f t="shared" si="329"/>
        <v>4764.9545536360165</v>
      </c>
      <c r="AH997" s="45" t="str">
        <f t="shared" si="333"/>
        <v>-248.53982,42.09215,04765</v>
      </c>
      <c r="AI997" s="44">
        <f t="shared" si="335"/>
        <v>1021.3703360745221</v>
      </c>
    </row>
    <row r="998" spans="1:35" ht="18" customHeight="1" x14ac:dyDescent="0.25">
      <c r="A998" s="36">
        <f t="shared" si="330"/>
        <v>0.75101858796296295</v>
      </c>
      <c r="B998" s="42">
        <f t="shared" si="315"/>
        <v>42.09214734071103</v>
      </c>
      <c r="C998" s="43">
        <f t="shared" si="316"/>
        <v>111.46018227925393</v>
      </c>
      <c r="D998" s="18">
        <f t="shared" si="317"/>
        <v>4.7478249806781605</v>
      </c>
      <c r="E998" s="21" t="str">
        <f t="shared" si="318"/>
        <v>Umbra</v>
      </c>
      <c r="F998" s="23">
        <f>IF($E998&lt;&gt;"Umbra",fracil2($S$2,$S$3,$S$4,$A998,$Q$2,$O$3,$Q$4,$U998,$V998,$W998),0)</f>
        <v>0</v>
      </c>
      <c r="G998" s="19">
        <f t="shared" si="319"/>
        <v>69.301506631390922</v>
      </c>
      <c r="H998" s="19">
        <f t="shared" si="320"/>
        <v>-4.5916692198177795</v>
      </c>
      <c r="I998" s="19">
        <f t="shared" si="321"/>
        <v>-3.3836512704228845</v>
      </c>
      <c r="J998" s="28">
        <f t="shared" si="322"/>
        <v>4.8084519300138915E-3</v>
      </c>
      <c r="K998" s="24">
        <f t="shared" si="323"/>
        <v>1048.1956681112417</v>
      </c>
      <c r="L998" s="32">
        <f t="shared" si="324"/>
        <v>0.56246372663273347</v>
      </c>
      <c r="M998" s="35">
        <f t="shared" si="325"/>
        <v>12.97176670067852</v>
      </c>
      <c r="O998" s="29">
        <f t="shared" si="326"/>
        <v>1046.5858529750508</v>
      </c>
      <c r="T998" s="48">
        <v>0.75101858796296295</v>
      </c>
      <c r="U998" s="29">
        <v>-1439.5109834769953</v>
      </c>
      <c r="V998" s="29">
        <v>4519.9750274380513</v>
      </c>
      <c r="W998" s="29">
        <v>4256.3858113449469</v>
      </c>
      <c r="X998" s="4">
        <v>-0.3257368679536074</v>
      </c>
      <c r="Y998" s="4">
        <v>-0.11711986263213454</v>
      </c>
      <c r="Z998" s="4">
        <v>-1.1516792799636726E-2</v>
      </c>
      <c r="AA998" s="3">
        <f t="shared" si="331"/>
        <v>0.34634405709292271</v>
      </c>
      <c r="AB998" s="3">
        <f t="shared" si="334"/>
        <v>1.5940657508448192E-3</v>
      </c>
      <c r="AC998" s="3">
        <f t="shared" si="332"/>
        <v>1.7212185744162573E-2</v>
      </c>
      <c r="AD998" s="48"/>
      <c r="AE998" s="46">
        <f t="shared" si="327"/>
        <v>42.09214734071103</v>
      </c>
      <c r="AF998" s="46">
        <f t="shared" si="328"/>
        <v>-248.53981772074607</v>
      </c>
      <c r="AG998" s="47">
        <f t="shared" si="329"/>
        <v>4747.8249806781605</v>
      </c>
      <c r="AH998" s="45" t="str">
        <f t="shared" si="333"/>
        <v>-248.53982,42.09215,04748</v>
      </c>
      <c r="AI998" s="44">
        <f t="shared" si="335"/>
        <v>1021.3704310098201</v>
      </c>
    </row>
    <row r="999" spans="1:35" ht="18" customHeight="1" x14ac:dyDescent="0.25">
      <c r="A999" s="36">
        <f t="shared" si="330"/>
        <v>0.75103018518518516</v>
      </c>
      <c r="B999" s="42">
        <f t="shared" si="315"/>
        <v>42.092147338367937</v>
      </c>
      <c r="C999" s="43">
        <f t="shared" si="316"/>
        <v>111.46018500516251</v>
      </c>
      <c r="D999" s="18">
        <f t="shared" si="317"/>
        <v>4.7306068498892273</v>
      </c>
      <c r="E999" s="21" t="str">
        <f t="shared" si="318"/>
        <v>Umbra</v>
      </c>
      <c r="F999" s="23">
        <f>IF($E999&lt;&gt;"Umbra",fracil2($S$2,$S$3,$S$4,$A999,$Q$2,$O$3,$Q$4,$U999,$V999,$W999),0)</f>
        <v>0</v>
      </c>
      <c r="G999" s="19">
        <f t="shared" si="319"/>
        <v>69.301512490598114</v>
      </c>
      <c r="H999" s="19">
        <f t="shared" si="320"/>
        <v>-4.5926079757946816</v>
      </c>
      <c r="I999" s="19">
        <f t="shared" si="321"/>
        <v>-3.3845900263997866</v>
      </c>
      <c r="J999" s="28">
        <f t="shared" si="322"/>
        <v>4.8077602902215494E-3</v>
      </c>
      <c r="K999" s="24">
        <f t="shared" si="323"/>
        <v>1048.1944206005412</v>
      </c>
      <c r="L999" s="32">
        <f t="shared" si="324"/>
        <v>0.56247733903777641</v>
      </c>
      <c r="M999" s="35">
        <f t="shared" si="325"/>
        <v>12.971131296081808</v>
      </c>
      <c r="O999" s="29">
        <f t="shared" si="326"/>
        <v>1046.5860720885244</v>
      </c>
      <c r="T999" s="48">
        <v>0.75103018518518516</v>
      </c>
      <c r="U999" s="29">
        <v>-1439.8375775448314</v>
      </c>
      <c r="V999" s="29">
        <v>4519.8575920608537</v>
      </c>
      <c r="W999" s="29">
        <v>4256.3742694089051</v>
      </c>
      <c r="X999" s="4">
        <v>-0.32573093918564588</v>
      </c>
      <c r="Y999" s="4">
        <v>-0.11713231427900524</v>
      </c>
      <c r="Z999" s="4">
        <v>-1.1506288543932455E-2</v>
      </c>
      <c r="AA999" s="3">
        <f t="shared" si="331"/>
        <v>0.34634234287360077</v>
      </c>
      <c r="AB999" s="3">
        <f t="shared" si="334"/>
        <v>1.5919211080912109E-3</v>
      </c>
      <c r="AC999" s="3">
        <f t="shared" si="332"/>
        <v>1.7196544145019869E-2</v>
      </c>
      <c r="AD999" s="48"/>
      <c r="AE999" s="46">
        <f t="shared" si="327"/>
        <v>42.092147338367937</v>
      </c>
      <c r="AF999" s="46">
        <f t="shared" si="328"/>
        <v>-248.53981499483749</v>
      </c>
      <c r="AG999" s="47">
        <f t="shared" si="329"/>
        <v>4730.6068498892273</v>
      </c>
      <c r="AH999" s="45" t="str">
        <f t="shared" si="333"/>
        <v>-248.53981,42.09215,04731</v>
      </c>
      <c r="AI999" s="44">
        <f t="shared" si="335"/>
        <v>1021.3706635528587</v>
      </c>
    </row>
    <row r="1000" spans="1:35" ht="18" customHeight="1" x14ac:dyDescent="0.25">
      <c r="A1000" s="36">
        <f t="shared" si="330"/>
        <v>0.75104168981481478</v>
      </c>
      <c r="B1000" s="42">
        <f t="shared" si="315"/>
        <v>42.092147336049607</v>
      </c>
      <c r="C1000" s="43">
        <f t="shared" si="316"/>
        <v>111.46018290176623</v>
      </c>
      <c r="D1000" s="18">
        <f t="shared" si="317"/>
        <v>4.713561429096444</v>
      </c>
      <c r="E1000" s="21" t="str">
        <f t="shared" si="318"/>
        <v>Umbra</v>
      </c>
      <c r="F1000" s="23">
        <f>IF($E1000&lt;&gt;"Umbra",fracil2($S$2,$S$3,$S$4,$A1000,$Q$2,$O$3,$Q$4,$U1000,$V1000,$W1000),0)</f>
        <v>0</v>
      </c>
      <c r="G1000" s="19">
        <f t="shared" si="319"/>
        <v>69.301513404061978</v>
      </c>
      <c r="H1000" s="19">
        <f t="shared" si="320"/>
        <v>-4.5935355299316232</v>
      </c>
      <c r="I1000" s="19">
        <f t="shared" si="321"/>
        <v>-3.3855175805367281</v>
      </c>
      <c r="J1000" s="28">
        <f t="shared" si="322"/>
        <v>4.8070767066244564E-3</v>
      </c>
      <c r="K1000" s="24">
        <f t="shared" si="323"/>
        <v>1048.1927998141705</v>
      </c>
      <c r="L1000" s="32">
        <f t="shared" si="324"/>
        <v>0.56249084420309925</v>
      </c>
      <c r="M1000" s="35">
        <f t="shared" si="325"/>
        <v>12.970507071445411</v>
      </c>
      <c r="O1000" s="29">
        <f t="shared" si="326"/>
        <v>1046.5859029105127</v>
      </c>
      <c r="T1000" s="48">
        <v>0.75104168981481478</v>
      </c>
      <c r="U1000" s="29">
        <v>-1440.1611834105756</v>
      </c>
      <c r="V1000" s="29">
        <v>4519.7412167342327</v>
      </c>
      <c r="W1000" s="29">
        <v>4256.3628432467285</v>
      </c>
      <c r="X1000" s="4">
        <v>-0.32572505773491278</v>
      </c>
      <c r="Y1000" s="4">
        <v>-0.11714467597436513</v>
      </c>
      <c r="Z1000" s="4">
        <v>-1.1495902708038038E-2</v>
      </c>
      <c r="AA1000" s="3">
        <f t="shared" si="331"/>
        <v>0.34634064752007371</v>
      </c>
      <c r="AB1000" s="3">
        <f t="shared" si="334"/>
        <v>1.5866371443680504E-3</v>
      </c>
      <c r="AC1000" s="3">
        <f t="shared" si="332"/>
        <v>1.7181078932565232E-2</v>
      </c>
      <c r="AD1000" s="48"/>
      <c r="AE1000" s="46">
        <f t="shared" si="327"/>
        <v>42.092147336049607</v>
      </c>
      <c r="AF1000" s="46">
        <f t="shared" si="328"/>
        <v>-248.53981709823375</v>
      </c>
      <c r="AG1000" s="47">
        <f t="shared" si="329"/>
        <v>4713.561429096444</v>
      </c>
      <c r="AH1000" s="45" t="str">
        <f t="shared" si="333"/>
        <v>-248.53982,42.09215,04714</v>
      </c>
      <c r="AI1000" s="44">
        <f t="shared" si="335"/>
        <v>1021.370827985618</v>
      </c>
    </row>
    <row r="1001" spans="1:35" ht="18" customHeight="1" x14ac:dyDescent="0.25">
      <c r="A1001" s="36">
        <f t="shared" si="330"/>
        <v>0.75105333333333324</v>
      </c>
      <c r="B1001" s="42">
        <f t="shared" si="315"/>
        <v>42.092147333705533</v>
      </c>
      <c r="C1001" s="43">
        <f t="shared" si="316"/>
        <v>111.46018333797652</v>
      </c>
      <c r="D1001" s="18">
        <f t="shared" si="317"/>
        <v>4.6963153615979536</v>
      </c>
      <c r="E1001" s="21" t="str">
        <f t="shared" si="318"/>
        <v>Umbra</v>
      </c>
      <c r="F1001" s="23">
        <f>IF($E1001&lt;&gt;"Umbra",fracil2($S$2,$S$3,$S$4,$A1001,$Q$2,$O$3,$Q$4,$U1001,$V1001,$W1001),0)</f>
        <v>0</v>
      </c>
      <c r="G1001" s="19">
        <f t="shared" si="319"/>
        <v>69.30151693805368</v>
      </c>
      <c r="H1001" s="19">
        <f t="shared" si="320"/>
        <v>-4.5944749599712509</v>
      </c>
      <c r="I1001" s="19">
        <f t="shared" si="321"/>
        <v>-3.3864570105763558</v>
      </c>
      <c r="J1001" s="28">
        <f t="shared" si="322"/>
        <v>4.8063861096798392E-3</v>
      </c>
      <c r="K1001" s="24">
        <f t="shared" si="323"/>
        <v>1048.1913663976081</v>
      </c>
      <c r="L1001" s="32">
        <f t="shared" si="324"/>
        <v>0.56250450887660486</v>
      </c>
      <c r="M1001" s="35">
        <f t="shared" si="325"/>
        <v>12.969872920822775</v>
      </c>
      <c r="O1001" s="29">
        <f t="shared" si="326"/>
        <v>1046.5859379246256</v>
      </c>
      <c r="T1001" s="48">
        <v>0.75105333333333324</v>
      </c>
      <c r="U1001" s="29">
        <v>-1440.4888900024857</v>
      </c>
      <c r="V1001" s="29">
        <v>4519.6233520288806</v>
      </c>
      <c r="W1001" s="29">
        <v>4256.3512825839343</v>
      </c>
      <c r="X1001" s="4">
        <v>-0.3257190936823926</v>
      </c>
      <c r="Y1001" s="4">
        <v>-0.11715722189206362</v>
      </c>
      <c r="Z1001" s="4">
        <v>-1.1485410980716338E-2</v>
      </c>
      <c r="AA1001" s="3">
        <f t="shared" si="331"/>
        <v>0.34633893413265199</v>
      </c>
      <c r="AB1001" s="3">
        <f t="shared" si="334"/>
        <v>1.5836898145050295E-3</v>
      </c>
      <c r="AC1001" s="3">
        <f t="shared" si="332"/>
        <v>1.7165456092270354E-2</v>
      </c>
      <c r="AD1001" s="48"/>
      <c r="AE1001" s="46">
        <f t="shared" si="327"/>
        <v>42.092147333705533</v>
      </c>
      <c r="AF1001" s="46">
        <f t="shared" si="328"/>
        <v>-248.5398166620235</v>
      </c>
      <c r="AG1001" s="47">
        <f t="shared" si="329"/>
        <v>4696.3153615979536</v>
      </c>
      <c r="AH1001" s="45" t="str">
        <f t="shared" si="333"/>
        <v>-248.53982,42.09215,04696</v>
      </c>
      <c r="AI1001" s="44">
        <f t="shared" si="335"/>
        <v>1021.370827985618</v>
      </c>
    </row>
    <row r="1002" spans="1:35" ht="18" customHeight="1" x14ac:dyDescent="0.25">
      <c r="A1002" s="36">
        <f t="shared" si="330"/>
        <v>0.75106482638888883</v>
      </c>
      <c r="B1002" s="42">
        <f t="shared" si="315"/>
        <v>42.092147331395829</v>
      </c>
      <c r="C1002" s="43">
        <f t="shared" si="316"/>
        <v>111.46018244032267</v>
      </c>
      <c r="D1002" s="18">
        <f t="shared" si="317"/>
        <v>4.6793130228006703</v>
      </c>
      <c r="E1002" s="21" t="str">
        <f t="shared" si="318"/>
        <v>Umbra</v>
      </c>
      <c r="F1002" s="23">
        <f>IF($E1002&lt;&gt;"Umbra",fracil2($S$2,$S$3,$S$4,$A1002,$Q$2,$O$3,$Q$4,$U1002,$V1002,$W1002),0)</f>
        <v>0</v>
      </c>
      <c r="G1002" s="19">
        <f t="shared" si="319"/>
        <v>69.30151907090476</v>
      </c>
      <c r="H1002" s="19">
        <f t="shared" si="320"/>
        <v>-4.5954006220251982</v>
      </c>
      <c r="I1002" s="19">
        <f t="shared" si="321"/>
        <v>-3.3873826726303031</v>
      </c>
      <c r="J1002" s="28">
        <f t="shared" si="322"/>
        <v>4.8057063397094662E-3</v>
      </c>
      <c r="K1002" s="24">
        <f t="shared" si="323"/>
        <v>1048.1898467711312</v>
      </c>
      <c r="L1002" s="32">
        <f t="shared" si="324"/>
        <v>0.56251799608312092</v>
      </c>
      <c r="M1002" s="35">
        <f t="shared" si="325"/>
        <v>12.969249055741427</v>
      </c>
      <c r="O1002" s="29">
        <f t="shared" si="326"/>
        <v>1046.5858656925193</v>
      </c>
      <c r="T1002" s="48">
        <v>0.75106482638888883</v>
      </c>
      <c r="U1002" s="29">
        <v>-1440.8122523909692</v>
      </c>
      <c r="V1002" s="29">
        <v>4519.5070352811654</v>
      </c>
      <c r="W1002" s="29">
        <v>4256.3398853014096</v>
      </c>
      <c r="X1002" s="4">
        <v>-0.32571320129740922</v>
      </c>
      <c r="Y1002" s="4">
        <v>-0.11716962688516086</v>
      </c>
      <c r="Z1002" s="4">
        <v>-1.147508198804599E-2</v>
      </c>
      <c r="AA1002" s="3">
        <f t="shared" si="331"/>
        <v>0.34633724672701144</v>
      </c>
      <c r="AB1002" s="3">
        <f t="shared" si="334"/>
        <v>1.5795318756824709E-3</v>
      </c>
      <c r="AC1002" s="3">
        <f t="shared" si="332"/>
        <v>1.7150075624924377E-2</v>
      </c>
      <c r="AD1002" s="48"/>
      <c r="AE1002" s="46">
        <f t="shared" si="327"/>
        <v>42.092147331395829</v>
      </c>
      <c r="AF1002" s="46">
        <f t="shared" si="328"/>
        <v>-248.53981755967732</v>
      </c>
      <c r="AG1002" s="47">
        <f t="shared" si="329"/>
        <v>4679.3130228006703</v>
      </c>
      <c r="AH1002" s="45" t="str">
        <f t="shared" si="333"/>
        <v>-248.53982,42.09215,04679</v>
      </c>
      <c r="AI1002" s="44">
        <f t="shared" si="335"/>
        <v>1021.370827985618</v>
      </c>
    </row>
    <row r="1003" spans="1:35" ht="18" customHeight="1" x14ac:dyDescent="0.25">
      <c r="A1003" s="36">
        <f t="shared" si="330"/>
        <v>0.75107638888888895</v>
      </c>
      <c r="B1003" s="42">
        <f t="shared" si="315"/>
        <v>42.09214732907494</v>
      </c>
      <c r="C1003" s="43">
        <f t="shared" si="316"/>
        <v>111.46018291679184</v>
      </c>
      <c r="D1003" s="18">
        <f t="shared" si="317"/>
        <v>4.6622177211238522</v>
      </c>
      <c r="E1003" s="21" t="str">
        <f t="shared" si="318"/>
        <v>Umbra</v>
      </c>
      <c r="F1003" s="23">
        <f>IF($E1003&lt;&gt;"Umbra",fracil2($S$2,$S$3,$S$4,$A1003,$Q$2,$O$3,$Q$4,$U1003,$V1003,$W1003),0)</f>
        <v>0</v>
      </c>
      <c r="G1003" s="19">
        <f t="shared" si="319"/>
        <v>69.301522618871559</v>
      </c>
      <c r="H1003" s="19">
        <f t="shared" si="320"/>
        <v>-4.5963318610666128</v>
      </c>
      <c r="I1003" s="19">
        <f t="shared" si="321"/>
        <v>-3.3883139116717178</v>
      </c>
      <c r="J1003" s="28">
        <f t="shared" si="322"/>
        <v>4.8050239369377776E-3</v>
      </c>
      <c r="K1003" s="24">
        <f t="shared" si="323"/>
        <v>1048.1884299821681</v>
      </c>
      <c r="L1003" s="32">
        <f t="shared" si="324"/>
        <v>0.5625315620741741</v>
      </c>
      <c r="M1003" s="35">
        <f t="shared" si="325"/>
        <v>12.968620390013914</v>
      </c>
      <c r="O1003" s="29">
        <f t="shared" si="326"/>
        <v>1046.5859039441625</v>
      </c>
      <c r="T1003" s="48">
        <v>0.75107638888888895</v>
      </c>
      <c r="U1003" s="29">
        <v>-1441.137670273461</v>
      </c>
      <c r="V1003" s="29">
        <v>4519.3899645791817</v>
      </c>
      <c r="W1003" s="29">
        <v>4256.3284257026235</v>
      </c>
      <c r="X1003" s="4">
        <v>-0.32570726340963801</v>
      </c>
      <c r="Y1003" s="4">
        <v>-0.11718213815132272</v>
      </c>
      <c r="Z1003" s="4">
        <v>-1.146471291526982E-2</v>
      </c>
      <c r="AA1003" s="3">
        <f t="shared" si="331"/>
        <v>0.3463355520037476</v>
      </c>
      <c r="AB1003" s="3">
        <f t="shared" si="334"/>
        <v>1.5761323270030814E-3</v>
      </c>
      <c r="AC1003" s="3">
        <f t="shared" si="332"/>
        <v>1.7134635526879227E-2</v>
      </c>
      <c r="AD1003" s="48"/>
      <c r="AE1003" s="46">
        <f t="shared" si="327"/>
        <v>42.09214732907494</v>
      </c>
      <c r="AF1003" s="46">
        <f t="shared" si="328"/>
        <v>-248.53981708320816</v>
      </c>
      <c r="AG1003" s="47">
        <f t="shared" si="329"/>
        <v>4662.2177211238522</v>
      </c>
      <c r="AH1003" s="45" t="str">
        <f t="shared" si="333"/>
        <v>-248.53982,42.09215,04662</v>
      </c>
      <c r="AI1003" s="44">
        <f t="shared" si="335"/>
        <v>1021.370827985618</v>
      </c>
    </row>
    <row r="1004" spans="1:35" ht="18" customHeight="1" x14ac:dyDescent="0.25">
      <c r="A1004" s="36">
        <f t="shared" si="330"/>
        <v>0.75108796296296287</v>
      </c>
      <c r="B1004" s="42">
        <f t="shared" si="315"/>
        <v>42.092147326755239</v>
      </c>
      <c r="C1004" s="43">
        <f t="shared" si="316"/>
        <v>111.46018352450525</v>
      </c>
      <c r="D1004" s="18">
        <f t="shared" si="317"/>
        <v>4.6451202324642509</v>
      </c>
      <c r="E1004" s="21" t="str">
        <f t="shared" si="318"/>
        <v>Umbra</v>
      </c>
      <c r="F1004" s="23">
        <f>IF($E1004&lt;&gt;"Umbra",fracil2($S$2,$S$3,$S$4,$A1004,$Q$2,$O$3,$Q$4,$U1004,$V1004,$W1004),0)</f>
        <v>0</v>
      </c>
      <c r="G1004" s="19">
        <f t="shared" si="319"/>
        <v>69.301526300805278</v>
      </c>
      <c r="H1004" s="19">
        <f t="shared" si="320"/>
        <v>-4.597263270555823</v>
      </c>
      <c r="I1004" s="19">
        <f t="shared" si="321"/>
        <v>-3.3892453211609279</v>
      </c>
      <c r="J1004" s="28">
        <f t="shared" si="322"/>
        <v>4.804342312727531E-3</v>
      </c>
      <c r="K1004" s="24">
        <f t="shared" si="323"/>
        <v>1048.1870238354772</v>
      </c>
      <c r="L1004" s="32">
        <f t="shared" si="324"/>
        <v>0.56254513977208642</v>
      </c>
      <c r="M1004" s="35">
        <f t="shared" si="325"/>
        <v>12.967991505068428</v>
      </c>
      <c r="O1004" s="29">
        <f t="shared" si="326"/>
        <v>1046.5859527483083</v>
      </c>
      <c r="T1004" s="48">
        <v>0.75108796296296287</v>
      </c>
      <c r="U1004" s="29">
        <v>-1441.4634181546667</v>
      </c>
      <c r="V1004" s="29">
        <v>4519.2727604882184</v>
      </c>
      <c r="W1004" s="29">
        <v>4256.3169646379474</v>
      </c>
      <c r="X1004" s="4">
        <v>-0.32570131280254705</v>
      </c>
      <c r="Y1004" s="4">
        <v>-0.11719468527213434</v>
      </c>
      <c r="Z1004" s="4">
        <v>-1.1454354873422088E-2</v>
      </c>
      <c r="AA1004" s="3">
        <f t="shared" si="331"/>
        <v>0.34633385867238498</v>
      </c>
      <c r="AB1004" s="3">
        <f t="shared" si="334"/>
        <v>1.5728759318587478E-3</v>
      </c>
      <c r="AC1004" s="3">
        <f t="shared" si="332"/>
        <v>1.7119211905491614E-2</v>
      </c>
      <c r="AD1004" s="48"/>
      <c r="AE1004" s="46">
        <f t="shared" si="327"/>
        <v>42.092147326755239</v>
      </c>
      <c r="AF1004" s="46">
        <f t="shared" si="328"/>
        <v>-248.53981647549475</v>
      </c>
      <c r="AG1004" s="47">
        <f t="shared" si="329"/>
        <v>4645.1202324642509</v>
      </c>
      <c r="AH1004" s="45" t="str">
        <f t="shared" si="333"/>
        <v>-248.53982,42.09215,04645</v>
      </c>
      <c r="AI1004" s="44">
        <f t="shared" si="335"/>
        <v>1021.370827985618</v>
      </c>
    </row>
    <row r="1005" spans="1:35" ht="18" customHeight="1" x14ac:dyDescent="0.25">
      <c r="A1005" s="36">
        <f t="shared" si="330"/>
        <v>0.75109960648148144</v>
      </c>
      <c r="B1005" s="42">
        <f t="shared" si="315"/>
        <v>42.092147324424111</v>
      </c>
      <c r="C1005" s="43">
        <f t="shared" si="316"/>
        <v>111.46018605586787</v>
      </c>
      <c r="D1005" s="18">
        <f t="shared" si="317"/>
        <v>4.6279278879774211</v>
      </c>
      <c r="E1005" s="21" t="str">
        <f t="shared" si="318"/>
        <v>Umbra</v>
      </c>
      <c r="F1005" s="23">
        <f>IF($E1005&lt;&gt;"Umbra",fracil2($S$2,$S$3,$S$4,$A1005,$Q$2,$O$3,$Q$4,$U1005,$V1005,$W1005),0)</f>
        <v>0</v>
      </c>
      <c r="G1005" s="19">
        <f t="shared" si="319"/>
        <v>69.30153195744667</v>
      </c>
      <c r="H1005" s="19">
        <f t="shared" si="320"/>
        <v>-4.5982005641469339</v>
      </c>
      <c r="I1005" s="19">
        <f t="shared" si="321"/>
        <v>-3.3901826147520389</v>
      </c>
      <c r="J1005" s="28">
        <f t="shared" si="322"/>
        <v>4.8036579040084673E-3</v>
      </c>
      <c r="K1005" s="24">
        <f t="shared" si="323"/>
        <v>1048.185764550934</v>
      </c>
      <c r="L1005" s="32">
        <f t="shared" si="324"/>
        <v>0.56255879584184665</v>
      </c>
      <c r="M1005" s="35">
        <f t="shared" si="325"/>
        <v>12.967357199335337</v>
      </c>
      <c r="O1005" s="29">
        <f t="shared" si="326"/>
        <v>1046.5861562199436</v>
      </c>
      <c r="T1005" s="48">
        <v>0.75109960648148144</v>
      </c>
      <c r="U1005" s="29">
        <v>-1441.7912641895637</v>
      </c>
      <c r="V1005" s="29">
        <v>4519.1547866342007</v>
      </c>
      <c r="W1005" s="29">
        <v>4256.3054399881021</v>
      </c>
      <c r="X1005" s="4">
        <v>-0.3256953161162483</v>
      </c>
      <c r="Y1005" s="4">
        <v>-0.11720733967917424</v>
      </c>
      <c r="Z1005" s="4">
        <v>-1.1443954789289387E-2</v>
      </c>
      <c r="AA1005" s="3">
        <f t="shared" si="331"/>
        <v>0.34633215778490961</v>
      </c>
      <c r="AB1005" s="3">
        <f t="shared" si="334"/>
        <v>1.5698358199723627E-3</v>
      </c>
      <c r="AC1005" s="3">
        <f t="shared" si="332"/>
        <v>1.7103725732580597E-2</v>
      </c>
      <c r="AD1005" s="48"/>
      <c r="AE1005" s="46">
        <f t="shared" si="327"/>
        <v>42.092147324424111</v>
      </c>
      <c r="AF1005" s="46">
        <f t="shared" si="328"/>
        <v>-248.53981394413213</v>
      </c>
      <c r="AG1005" s="47">
        <f t="shared" si="329"/>
        <v>4627.9278879774211</v>
      </c>
      <c r="AH1005" s="45" t="str">
        <f t="shared" si="333"/>
        <v>-248.53981,42.09215,04628</v>
      </c>
      <c r="AI1005" s="44">
        <f t="shared" si="335"/>
        <v>1021.3710605286566</v>
      </c>
    </row>
    <row r="1006" spans="1:35" ht="18" customHeight="1" x14ac:dyDescent="0.25">
      <c r="A1006" s="36">
        <f t="shared" si="330"/>
        <v>0.7511111226851851</v>
      </c>
      <c r="B1006" s="42">
        <f t="shared" si="315"/>
        <v>42.0921473221253</v>
      </c>
      <c r="C1006" s="43">
        <f t="shared" si="316"/>
        <v>111.46018245524404</v>
      </c>
      <c r="D1006" s="18">
        <f t="shared" si="317"/>
        <v>4.6109637953341007</v>
      </c>
      <c r="E1006" s="21" t="str">
        <f t="shared" si="318"/>
        <v>Umbra</v>
      </c>
      <c r="F1006" s="23">
        <f>IF($E1006&lt;&gt;"Umbra",fracil2($S$2,$S$3,$S$4,$A1006,$Q$2,$O$3,$Q$4,$U1006,$V1006,$W1006),0)</f>
        <v>0</v>
      </c>
      <c r="G1006" s="19">
        <f t="shared" si="319"/>
        <v>69.301531332655387</v>
      </c>
      <c r="H1006" s="19">
        <f t="shared" si="320"/>
        <v>-4.5991231484450266</v>
      </c>
      <c r="I1006" s="19">
        <f t="shared" si="321"/>
        <v>-3.3911051990501315</v>
      </c>
      <c r="J1006" s="28">
        <f t="shared" si="322"/>
        <v>4.8029838156971958E-3</v>
      </c>
      <c r="K1006" s="24">
        <f t="shared" si="323"/>
        <v>1048.1840319691617</v>
      </c>
      <c r="L1006" s="32">
        <f t="shared" si="324"/>
        <v>0.56257230494509114</v>
      </c>
      <c r="M1006" s="35">
        <f t="shared" si="325"/>
        <v>12.966737418980307</v>
      </c>
      <c r="O1006" s="29">
        <f t="shared" si="326"/>
        <v>1046.585866660361</v>
      </c>
      <c r="T1006" s="48">
        <v>0.7511111226851851</v>
      </c>
      <c r="U1006" s="29">
        <v>-1442.1150436541493</v>
      </c>
      <c r="V1006" s="29">
        <v>4519.038261468726</v>
      </c>
      <c r="W1006" s="29">
        <v>4256.294068343831</v>
      </c>
      <c r="X1006" s="4">
        <v>-0.32568938657463303</v>
      </c>
      <c r="Y1006" s="4">
        <v>-0.11721986192204063</v>
      </c>
      <c r="Z1006" s="4">
        <v>-1.1433706805757345E-2</v>
      </c>
      <c r="AA1006" s="3">
        <f t="shared" si="331"/>
        <v>0.34633048119924853</v>
      </c>
      <c r="AB1006" s="3">
        <f t="shared" si="334"/>
        <v>1.5639730377185453E-3</v>
      </c>
      <c r="AC1006" s="3">
        <f t="shared" si="332"/>
        <v>1.7088466094570834E-2</v>
      </c>
      <c r="AD1006" s="48"/>
      <c r="AE1006" s="46">
        <f t="shared" si="327"/>
        <v>42.0921473221253</v>
      </c>
      <c r="AF1006" s="46">
        <f t="shared" si="328"/>
        <v>-248.53981754475598</v>
      </c>
      <c r="AG1006" s="47">
        <f t="shared" si="329"/>
        <v>4610.9637953341007</v>
      </c>
      <c r="AH1006" s="45" t="str">
        <f t="shared" si="333"/>
        <v>-248.53982,42.09215,04611</v>
      </c>
      <c r="AI1006" s="44">
        <f t="shared" si="335"/>
        <v>1021.3713607404279</v>
      </c>
    </row>
    <row r="1007" spans="1:35" ht="18" customHeight="1" x14ac:dyDescent="0.25">
      <c r="A1007" s="36">
        <f t="shared" si="330"/>
        <v>0.75112275462962963</v>
      </c>
      <c r="B1007" s="42">
        <f t="shared" si="315"/>
        <v>42.092147319804859</v>
      </c>
      <c r="C1007" s="43">
        <f t="shared" si="316"/>
        <v>111.46018235998959</v>
      </c>
      <c r="D1007" s="18">
        <f t="shared" si="317"/>
        <v>4.5938301736068752</v>
      </c>
      <c r="E1007" s="21" t="str">
        <f t="shared" si="318"/>
        <v>Umbra</v>
      </c>
      <c r="F1007" s="23">
        <f>IF($E1007&lt;&gt;"Umbra",fracil2($S$2,$S$3,$S$4,$A1007,$Q$2,$O$3,$Q$4,$U1007,$V1007,$W1007),0)</f>
        <v>0</v>
      </c>
      <c r="G1007" s="19">
        <f t="shared" si="319"/>
        <v>69.30153430567492</v>
      </c>
      <c r="H1007" s="19">
        <f t="shared" si="320"/>
        <v>-4.6000562721815275</v>
      </c>
      <c r="I1007" s="19">
        <f t="shared" si="321"/>
        <v>-3.3920383227866324</v>
      </c>
      <c r="J1007" s="28">
        <f t="shared" si="322"/>
        <v>4.802303953392653E-3</v>
      </c>
      <c r="K1007" s="24">
        <f t="shared" si="323"/>
        <v>1048.18256706326</v>
      </c>
      <c r="L1007" s="32">
        <f t="shared" si="324"/>
        <v>0.56258594564504716</v>
      </c>
      <c r="M1007" s="35">
        <f t="shared" si="325"/>
        <v>12.96610788857172</v>
      </c>
      <c r="O1007" s="29">
        <f t="shared" si="326"/>
        <v>1046.5858589435484</v>
      </c>
      <c r="T1007" s="48">
        <v>0.75112275462962963</v>
      </c>
      <c r="U1007" s="29">
        <v>-1442.4423472655171</v>
      </c>
      <c r="V1007" s="29">
        <v>4518.9204531726264</v>
      </c>
      <c r="W1007" s="29">
        <v>4256.2825830582005</v>
      </c>
      <c r="X1007" s="4">
        <v>-0.32568338459717727</v>
      </c>
      <c r="Y1007" s="4">
        <v>-0.11723254732358857</v>
      </c>
      <c r="Z1007" s="4">
        <v>-1.142337233003665E-2</v>
      </c>
      <c r="AA1007" s="3">
        <f t="shared" si="331"/>
        <v>0.3463287897216184</v>
      </c>
      <c r="AB1007" s="3">
        <f t="shared" si="334"/>
        <v>1.5614744135008887E-3</v>
      </c>
      <c r="AC1007" s="3">
        <f t="shared" si="332"/>
        <v>1.7073077717381431E-2</v>
      </c>
      <c r="AD1007" s="48"/>
      <c r="AE1007" s="46">
        <f t="shared" si="327"/>
        <v>42.092147319804859</v>
      </c>
      <c r="AF1007" s="46">
        <f t="shared" si="328"/>
        <v>-248.53981764001043</v>
      </c>
      <c r="AG1007" s="47">
        <f t="shared" si="329"/>
        <v>4593.8301736068752</v>
      </c>
      <c r="AH1007" s="45" t="str">
        <f t="shared" si="333"/>
        <v>-248.53982,42.09215,04594</v>
      </c>
      <c r="AI1007" s="44">
        <f t="shared" si="335"/>
        <v>1021.3713607404279</v>
      </c>
    </row>
    <row r="1008" spans="1:35" ht="18" customHeight="1" x14ac:dyDescent="0.25">
      <c r="A1008" s="36">
        <f t="shared" si="330"/>
        <v>0.75113429398148146</v>
      </c>
      <c r="B1008" s="42">
        <f t="shared" si="315"/>
        <v>42.092147317503965</v>
      </c>
      <c r="C1008" s="43">
        <f t="shared" si="316"/>
        <v>111.46018609455679</v>
      </c>
      <c r="D1008" s="18">
        <f t="shared" si="317"/>
        <v>4.5768326250672544</v>
      </c>
      <c r="E1008" s="21" t="str">
        <f t="shared" si="318"/>
        <v>Umbra</v>
      </c>
      <c r="F1008" s="23">
        <f>IF($E1008&lt;&gt;"Umbra",fracil2($S$2,$S$3,$S$4,$A1008,$Q$2,$O$3,$Q$4,$U1008,$V1008,$W1008),0)</f>
        <v>0</v>
      </c>
      <c r="G1008" s="19">
        <f t="shared" si="319"/>
        <v>69.301541151943255</v>
      </c>
      <c r="H1008" s="19">
        <f t="shared" si="320"/>
        <v>-4.6009834110014207</v>
      </c>
      <c r="I1008" s="19">
        <f t="shared" si="321"/>
        <v>-3.3929654616065257</v>
      </c>
      <c r="J1008" s="28">
        <f t="shared" si="322"/>
        <v>4.801630348415957E-3</v>
      </c>
      <c r="K1008" s="24">
        <f t="shared" si="323"/>
        <v>1048.181421909856</v>
      </c>
      <c r="L1008" s="32">
        <f t="shared" si="324"/>
        <v>0.56259947340513872</v>
      </c>
      <c r="M1008" s="35">
        <f t="shared" si="325"/>
        <v>12.965479513779137</v>
      </c>
      <c r="O1008" s="29">
        <f t="shared" si="326"/>
        <v>1046.5861591575706</v>
      </c>
      <c r="T1008" s="48">
        <v>0.75113429398148146</v>
      </c>
      <c r="U1008" s="29">
        <v>-1442.7673379861399</v>
      </c>
      <c r="V1008" s="29">
        <v>4518.8034625920654</v>
      </c>
      <c r="W1008" s="29">
        <v>4256.2711889874399</v>
      </c>
      <c r="X1008" s="4">
        <v>-0.32567741762094804</v>
      </c>
      <c r="Y1008" s="4">
        <v>-0.11724516838874734</v>
      </c>
      <c r="Z1008" s="4">
        <v>-1.1413134461742802E-2</v>
      </c>
      <c r="AA1008" s="3">
        <f t="shared" si="331"/>
        <v>0.34632711343034772</v>
      </c>
      <c r="AB1008" s="3">
        <f t="shared" si="334"/>
        <v>1.5592847176261828E-3</v>
      </c>
      <c r="AC1008" s="3">
        <f t="shared" si="332"/>
        <v>1.705783324247824E-2</v>
      </c>
      <c r="AD1008" s="48"/>
      <c r="AE1008" s="46">
        <f t="shared" si="327"/>
        <v>42.092147317503965</v>
      </c>
      <c r="AF1008" s="46">
        <f t="shared" si="328"/>
        <v>-248.53981390544322</v>
      </c>
      <c r="AG1008" s="47">
        <f t="shared" si="329"/>
        <v>4576.8326250672544</v>
      </c>
      <c r="AH1008" s="45" t="str">
        <f t="shared" si="333"/>
        <v>-248.53981,42.09215,04577</v>
      </c>
      <c r="AI1008" s="44">
        <f t="shared" si="335"/>
        <v>1021.3716609521992</v>
      </c>
    </row>
    <row r="1009" spans="1:35" ht="18" customHeight="1" x14ac:dyDescent="0.25">
      <c r="A1009" s="36">
        <f t="shared" si="330"/>
        <v>0.75114592592592588</v>
      </c>
      <c r="B1009" s="42">
        <f t="shared" si="315"/>
        <v>42.092147315192442</v>
      </c>
      <c r="C1009" s="43">
        <f t="shared" si="316"/>
        <v>111.46018241689052</v>
      </c>
      <c r="D1009" s="18">
        <f t="shared" si="317"/>
        <v>4.5597443947663123</v>
      </c>
      <c r="E1009" s="21" t="str">
        <f t="shared" si="318"/>
        <v>Umbra</v>
      </c>
      <c r="F1009" s="23">
        <f>IF($E1009&lt;&gt;"Umbra",fracil2($S$2,$S$3,$S$4,$A1009,$Q$2,$O$3,$Q$4,$U1009,$V1009,$W1009),0)</f>
        <v>0</v>
      </c>
      <c r="G1009" s="19">
        <f t="shared" si="319"/>
        <v>69.301540471015315</v>
      </c>
      <c r="H1009" s="19">
        <f t="shared" si="320"/>
        <v>-4.6019127361339667</v>
      </c>
      <c r="I1009" s="19">
        <f t="shared" si="321"/>
        <v>-3.3938947867390716</v>
      </c>
      <c r="J1009" s="28">
        <f t="shared" si="322"/>
        <v>4.8009544069865283E-3</v>
      </c>
      <c r="K1009" s="24">
        <f t="shared" si="323"/>
        <v>1048.1796734031773</v>
      </c>
      <c r="L1009" s="32">
        <f t="shared" si="324"/>
        <v>0.56261311297672856</v>
      </c>
      <c r="M1009" s="35">
        <f t="shared" si="325"/>
        <v>12.96485522624614</v>
      </c>
      <c r="O1009" s="29">
        <f t="shared" si="326"/>
        <v>1046.5858634032033</v>
      </c>
      <c r="T1009" s="48">
        <v>0.75114592592592588</v>
      </c>
      <c r="U1009" s="29">
        <v>-1443.09435033663</v>
      </c>
      <c r="V1009" s="29">
        <v>4518.6857293741887</v>
      </c>
      <c r="W1009" s="29">
        <v>4256.2597341295523</v>
      </c>
      <c r="X1009" s="4">
        <v>-0.32567140642707493</v>
      </c>
      <c r="Y1009" s="4">
        <v>-0.11725789227654246</v>
      </c>
      <c r="Z1009" s="4">
        <v>-1.1402855544833371E-2</v>
      </c>
      <c r="AA1009" s="3">
        <f t="shared" si="331"/>
        <v>0.34632542987759735</v>
      </c>
      <c r="AB1009" s="3">
        <f t="shared" si="334"/>
        <v>1.5530695148784736E-3</v>
      </c>
      <c r="AC1009" s="3">
        <f t="shared" si="332"/>
        <v>1.7042527695817055E-2</v>
      </c>
      <c r="AD1009" s="48"/>
      <c r="AE1009" s="46">
        <f t="shared" si="327"/>
        <v>42.092147315192442</v>
      </c>
      <c r="AF1009" s="46">
        <f t="shared" si="328"/>
        <v>-248.53981758310948</v>
      </c>
      <c r="AG1009" s="47">
        <f t="shared" si="329"/>
        <v>4559.7443947663123</v>
      </c>
      <c r="AH1009" s="45" t="str">
        <f t="shared" si="333"/>
        <v>-248.53982,42.09215,04560</v>
      </c>
      <c r="AI1009" s="44">
        <f t="shared" si="335"/>
        <v>1021.3719611639706</v>
      </c>
    </row>
    <row r="1010" spans="1:35" ht="18" customHeight="1" x14ac:dyDescent="0.25">
      <c r="A1010" s="36">
        <f t="shared" si="330"/>
        <v>0.7511573958333333</v>
      </c>
      <c r="B1010" s="42">
        <f t="shared" si="315"/>
        <v>42.092147312912815</v>
      </c>
      <c r="C1010" s="43">
        <f t="shared" si="316"/>
        <v>111.46018533491805</v>
      </c>
      <c r="D1010" s="18">
        <f t="shared" si="317"/>
        <v>4.5428826477937037</v>
      </c>
      <c r="E1010" s="21" t="str">
        <f t="shared" si="318"/>
        <v>Umbra</v>
      </c>
      <c r="F1010" s="23">
        <f>IF($E1010&lt;&gt;"Umbra",fracil2($S$2,$S$3,$S$4,$A1010,$Q$2,$O$3,$Q$4,$U1010,$V1010,$W1010),0)</f>
        <v>0</v>
      </c>
      <c r="G1010" s="19">
        <f t="shared" si="319"/>
        <v>69.301546461970332</v>
      </c>
      <c r="H1010" s="19">
        <f t="shared" si="320"/>
        <v>-4.6028321798274696</v>
      </c>
      <c r="I1010" s="19">
        <f t="shared" si="321"/>
        <v>-3.3948142304325746</v>
      </c>
      <c r="J1010" s="28">
        <f t="shared" si="322"/>
        <v>4.8002880243729453E-3</v>
      </c>
      <c r="K1010" s="24">
        <f t="shared" si="323"/>
        <v>1048.1784746935357</v>
      </c>
      <c r="L1010" s="32">
        <f t="shared" si="324"/>
        <v>0.5626265563687719</v>
      </c>
      <c r="M1010" s="35">
        <f t="shared" si="325"/>
        <v>12.964232645917706</v>
      </c>
      <c r="O1010" s="29">
        <f t="shared" si="326"/>
        <v>1046.5860979652587</v>
      </c>
      <c r="T1010" s="48">
        <v>0.7511573958333333</v>
      </c>
      <c r="U1010" s="29">
        <v>-1443.4173114942414</v>
      </c>
      <c r="V1010" s="29">
        <v>4518.5694400083521</v>
      </c>
      <c r="W1010" s="29">
        <v>4256.2484310917253</v>
      </c>
      <c r="X1010" s="4">
        <v>-0.32566546305489785</v>
      </c>
      <c r="Y1010" s="4">
        <v>-0.11727048137552085</v>
      </c>
      <c r="Z1010" s="4">
        <v>-1.139272521788798E-2</v>
      </c>
      <c r="AA1010" s="3">
        <f t="shared" si="331"/>
        <v>0.34632377021610533</v>
      </c>
      <c r="AB1010" s="3">
        <f t="shared" si="334"/>
        <v>1.552236785361296E-3</v>
      </c>
      <c r="AC1010" s="3">
        <f t="shared" si="332"/>
        <v>1.702744345300505E-2</v>
      </c>
      <c r="AD1010" s="48"/>
      <c r="AE1010" s="46">
        <f t="shared" si="327"/>
        <v>42.092147312912815</v>
      </c>
      <c r="AF1010" s="46">
        <f t="shared" si="328"/>
        <v>-248.53981466508196</v>
      </c>
      <c r="AG1010" s="47">
        <f t="shared" si="329"/>
        <v>4542.8826477937037</v>
      </c>
      <c r="AH1010" s="45" t="str">
        <f t="shared" si="333"/>
        <v>-248.53981,42.09215,04543</v>
      </c>
      <c r="AI1010" s="44">
        <f t="shared" si="335"/>
        <v>1021.3721937070092</v>
      </c>
    </row>
    <row r="1011" spans="1:35" ht="18" customHeight="1" x14ac:dyDescent="0.25">
      <c r="A1011" s="36">
        <f t="shared" si="330"/>
        <v>0.75116902777777783</v>
      </c>
      <c r="B1011" s="42">
        <f t="shared" si="315"/>
        <v>42.092147310607324</v>
      </c>
      <c r="C1011" s="43">
        <f t="shared" si="316"/>
        <v>111.46018289073113</v>
      </c>
      <c r="D1011" s="18">
        <f t="shared" si="317"/>
        <v>4.5258199397367207</v>
      </c>
      <c r="E1011" s="21" t="str">
        <f t="shared" si="318"/>
        <v>Umbra</v>
      </c>
      <c r="F1011" s="23">
        <f>IF($E1011&lt;&gt;"Umbra",fracil2($S$2,$S$3,$S$4,$A1011,$Q$2,$O$3,$Q$4,$U1011,$V1011,$W1011),0)</f>
        <v>0</v>
      </c>
      <c r="G1011" s="19">
        <f t="shared" si="319"/>
        <v>69.301547031802812</v>
      </c>
      <c r="H1011" s="19">
        <f t="shared" si="320"/>
        <v>-4.60376057883333</v>
      </c>
      <c r="I1011" s="19">
        <f t="shared" si="321"/>
        <v>-3.395742629438435</v>
      </c>
      <c r="J1011" s="28">
        <f t="shared" si="322"/>
        <v>4.799615003419435E-3</v>
      </c>
      <c r="K1011" s="24">
        <f t="shared" si="323"/>
        <v>1048.1768280731976</v>
      </c>
      <c r="L1011" s="32">
        <f t="shared" si="324"/>
        <v>0.562640191580139</v>
      </c>
      <c r="M1011" s="35">
        <f t="shared" si="325"/>
        <v>12.963608045499829</v>
      </c>
      <c r="O1011" s="29">
        <f t="shared" si="326"/>
        <v>1046.5859013868676</v>
      </c>
      <c r="T1011" s="48">
        <v>0.75116902777777783</v>
      </c>
      <c r="U1011" s="29">
        <v>-1443.7444079883899</v>
      </c>
      <c r="V1011" s="29">
        <v>4518.451646719468</v>
      </c>
      <c r="W1011" s="29">
        <v>4256.2369933425362</v>
      </c>
      <c r="X1011" s="4">
        <v>-0.32565943583327461</v>
      </c>
      <c r="Y1011" s="4">
        <v>-0.11728325796039693</v>
      </c>
      <c r="Z1011" s="4">
        <v>-1.1382489693420466E-2</v>
      </c>
      <c r="AA1011" s="3">
        <f t="shared" si="331"/>
        <v>0.34632209259109148</v>
      </c>
      <c r="AB1011" s="3">
        <f t="shared" si="334"/>
        <v>1.5465029904202878E-3</v>
      </c>
      <c r="AC1011" s="3">
        <f t="shared" si="332"/>
        <v>1.701220261963925E-2</v>
      </c>
      <c r="AD1011" s="48"/>
      <c r="AE1011" s="46">
        <f t="shared" si="327"/>
        <v>42.092147310607324</v>
      </c>
      <c r="AF1011" s="46">
        <f t="shared" si="328"/>
        <v>-248.53981710926888</v>
      </c>
      <c r="AG1011" s="47">
        <f t="shared" si="329"/>
        <v>4525.8199397367207</v>
      </c>
      <c r="AH1011" s="45" t="str">
        <f t="shared" si="333"/>
        <v>-248.53982,42.09215,04526</v>
      </c>
      <c r="AI1011" s="44">
        <f t="shared" si="335"/>
        <v>1021.3723835776051</v>
      </c>
    </row>
    <row r="1012" spans="1:35" ht="18" customHeight="1" x14ac:dyDescent="0.25">
      <c r="A1012" s="36">
        <f t="shared" si="330"/>
        <v>0.75118063657407408</v>
      </c>
      <c r="B1012" s="42">
        <f t="shared" si="315"/>
        <v>42.092147308308185</v>
      </c>
      <c r="C1012" s="43">
        <f t="shared" si="316"/>
        <v>111.46018368810022</v>
      </c>
      <c r="D1012" s="18">
        <f t="shared" si="317"/>
        <v>4.5087933183312998</v>
      </c>
      <c r="E1012" s="21" t="str">
        <f t="shared" si="318"/>
        <v>Umbra</v>
      </c>
      <c r="F1012" s="23">
        <f>IF($E1012&lt;&gt;"Umbra",fracil2($S$2,$S$3,$S$4,$A1012,$Q$2,$O$3,$Q$4,$U1012,$V1012,$W1012),0)</f>
        <v>0</v>
      </c>
      <c r="G1012" s="19">
        <f t="shared" si="319"/>
        <v>69.301550894116247</v>
      </c>
      <c r="H1012" s="19">
        <f t="shared" si="320"/>
        <v>-4.6046882192804253</v>
      </c>
      <c r="I1012" s="19">
        <f t="shared" si="321"/>
        <v>-3.3966702698855302</v>
      </c>
      <c r="J1012" s="28">
        <f t="shared" si="322"/>
        <v>4.7989442023357136E-3</v>
      </c>
      <c r="K1012" s="24">
        <f t="shared" si="323"/>
        <v>1048.1754454037496</v>
      </c>
      <c r="L1012" s="32">
        <f t="shared" si="324"/>
        <v>0.56265379569581742</v>
      </c>
      <c r="M1012" s="35">
        <f t="shared" si="325"/>
        <v>12.962981516299108</v>
      </c>
      <c r="O1012" s="29">
        <f t="shared" si="326"/>
        <v>1046.585965440476</v>
      </c>
      <c r="T1012" s="48">
        <v>0.75118063657407408</v>
      </c>
      <c r="U1012" s="29">
        <v>-1444.0710997869326</v>
      </c>
      <c r="V1012" s="29">
        <v>4518.3339841700672</v>
      </c>
      <c r="W1012" s="29">
        <v>4256.2255797836542</v>
      </c>
      <c r="X1012" s="4">
        <v>-0.32565340908363521</v>
      </c>
      <c r="Y1012" s="4">
        <v>-0.117296042621026</v>
      </c>
      <c r="Z1012" s="4">
        <v>-1.1372289066375708E-2</v>
      </c>
      <c r="AA1012" s="3">
        <f t="shared" si="331"/>
        <v>0.34632042016167081</v>
      </c>
      <c r="AB1012" s="3">
        <f t="shared" si="334"/>
        <v>1.5442983729463495E-3</v>
      </c>
      <c r="AC1012" s="3">
        <f t="shared" si="332"/>
        <v>1.6997013799624667E-2</v>
      </c>
      <c r="AD1012" s="48"/>
      <c r="AE1012" s="46">
        <f t="shared" si="327"/>
        <v>42.092147308308185</v>
      </c>
      <c r="AF1012" s="46">
        <f t="shared" si="328"/>
        <v>-248.53981631189978</v>
      </c>
      <c r="AG1012" s="47">
        <f t="shared" si="329"/>
        <v>4508.7933183312998</v>
      </c>
      <c r="AH1012" s="45" t="str">
        <f t="shared" si="333"/>
        <v>-248.53982,42.09215,04509</v>
      </c>
      <c r="AI1012" s="44">
        <f t="shared" si="335"/>
        <v>1021.3723835776051</v>
      </c>
    </row>
    <row r="1013" spans="1:35" ht="18" customHeight="1" x14ac:dyDescent="0.25">
      <c r="A1013" s="36">
        <f t="shared" si="330"/>
        <v>0.75119222222222215</v>
      </c>
      <c r="B1013" s="42">
        <f t="shared" si="315"/>
        <v>42.092147306016479</v>
      </c>
      <c r="C1013" s="43">
        <f t="shared" si="316"/>
        <v>111.46018554726562</v>
      </c>
      <c r="D1013" s="18">
        <f t="shared" si="317"/>
        <v>4.4918115358241266</v>
      </c>
      <c r="E1013" s="21" t="str">
        <f t="shared" si="318"/>
        <v>Umbra</v>
      </c>
      <c r="F1013" s="23">
        <f>IF($E1013&lt;&gt;"Umbra",fracil2($S$2,$S$3,$S$4,$A1013,$Q$2,$O$3,$Q$4,$U1013,$V1013,$W1013),0)</f>
        <v>0</v>
      </c>
      <c r="G1013" s="19">
        <f t="shared" si="319"/>
        <v>69.301555828994793</v>
      </c>
      <c r="H1013" s="19">
        <f t="shared" si="320"/>
        <v>-4.605613814331087</v>
      </c>
      <c r="I1013" s="19">
        <f t="shared" si="321"/>
        <v>-3.3975958649361919</v>
      </c>
      <c r="J1013" s="28">
        <f t="shared" si="322"/>
        <v>4.7982761185653101E-3</v>
      </c>
      <c r="K1013" s="24">
        <f t="shared" si="323"/>
        <v>1048.1741521819076</v>
      </c>
      <c r="L1013" s="32">
        <f t="shared" si="324"/>
        <v>0.56266737020689417</v>
      </c>
      <c r="M1013" s="35">
        <f t="shared" si="325"/>
        <v>12.962355564061351</v>
      </c>
      <c r="O1013" s="29">
        <f t="shared" si="326"/>
        <v>1046.5861148662104</v>
      </c>
      <c r="T1013" s="48">
        <v>0.75119222222222215</v>
      </c>
      <c r="U1013" s="29">
        <v>-1444.3972170121019</v>
      </c>
      <c r="V1013" s="29">
        <v>4518.2165135834439</v>
      </c>
      <c r="W1013" s="29">
        <v>4256.2141962820206</v>
      </c>
      <c r="X1013" s="4">
        <v>-0.32564738563094026</v>
      </c>
      <c r="Y1013" s="4">
        <v>-0.117308829643687</v>
      </c>
      <c r="Z1013" s="4">
        <v>-1.1362129530181675E-2</v>
      </c>
      <c r="AA1013" s="3">
        <f t="shared" si="331"/>
        <v>0.34631875384982908</v>
      </c>
      <c r="AB1013" s="3">
        <f t="shared" si="334"/>
        <v>1.5411454770970449E-3</v>
      </c>
      <c r="AC1013" s="3">
        <f t="shared" si="332"/>
        <v>1.6981886214603805E-2</v>
      </c>
      <c r="AD1013" s="48"/>
      <c r="AE1013" s="46">
        <f t="shared" si="327"/>
        <v>42.092147306016479</v>
      </c>
      <c r="AF1013" s="46">
        <f t="shared" si="328"/>
        <v>-248.53981445273439</v>
      </c>
      <c r="AG1013" s="47">
        <f t="shared" si="329"/>
        <v>4491.8115358241266</v>
      </c>
      <c r="AH1013" s="45" t="str">
        <f t="shared" si="333"/>
        <v>-248.53981,42.09215,04492</v>
      </c>
      <c r="AI1013" s="44">
        <f t="shared" si="335"/>
        <v>1021.3725178363901</v>
      </c>
    </row>
    <row r="1014" spans="1:35" ht="18" customHeight="1" x14ac:dyDescent="0.25">
      <c r="A1014" s="36">
        <f t="shared" si="330"/>
        <v>0.75120372685185188</v>
      </c>
      <c r="B1014" s="42">
        <f t="shared" si="315"/>
        <v>42.092147303745911</v>
      </c>
      <c r="C1014" s="43">
        <f t="shared" si="316"/>
        <v>111.46018413359812</v>
      </c>
      <c r="D1014" s="18">
        <f t="shared" si="317"/>
        <v>4.4749767211387734</v>
      </c>
      <c r="E1014" s="21" t="str">
        <f t="shared" si="318"/>
        <v>Umbra</v>
      </c>
      <c r="F1014" s="23">
        <f>IF($E1014&lt;&gt;"Umbra",fracil2($S$2,$S$3,$S$4,$A1014,$Q$2,$O$3,$Q$4,$U1014,$V1014,$W1014),0)</f>
        <v>0</v>
      </c>
      <c r="G1014" s="19">
        <f t="shared" si="319"/>
        <v>69.301557406780148</v>
      </c>
      <c r="H1014" s="19">
        <f t="shared" si="320"/>
        <v>-4.6065301919888775</v>
      </c>
      <c r="I1014" s="19">
        <f t="shared" si="321"/>
        <v>-3.3985122425939824</v>
      </c>
      <c r="J1014" s="28">
        <f t="shared" si="322"/>
        <v>4.7976149075212972E-3</v>
      </c>
      <c r="K1014" s="24">
        <f t="shared" si="323"/>
        <v>1048.1726085925727</v>
      </c>
      <c r="L1014" s="32">
        <f t="shared" si="324"/>
        <v>0.56268085027776049</v>
      </c>
      <c r="M1014" s="35">
        <f t="shared" si="325"/>
        <v>12.961738284330378</v>
      </c>
      <c r="O1014" s="29">
        <f t="shared" si="326"/>
        <v>1046.5860011458676</v>
      </c>
      <c r="T1014" s="48">
        <v>0.75120372685185188</v>
      </c>
      <c r="U1014" s="29">
        <v>-1444.720793660704</v>
      </c>
      <c r="V1014" s="29">
        <v>4518.0999433198494</v>
      </c>
      <c r="W1014" s="29">
        <v>4256.20291129833</v>
      </c>
      <c r="X1014" s="4">
        <v>-0.32564140201587671</v>
      </c>
      <c r="Y1014" s="4">
        <v>-0.11732154117422475</v>
      </c>
      <c r="Z1014" s="4">
        <v>-1.1352071611416171E-2</v>
      </c>
      <c r="AA1014" s="3">
        <f t="shared" si="331"/>
        <v>0.34631710362070173</v>
      </c>
      <c r="AB1014" s="3">
        <f t="shared" si="334"/>
        <v>1.5364701640974961E-3</v>
      </c>
      <c r="AC1014" s="3">
        <f t="shared" si="332"/>
        <v>1.6966909987933106E-2</v>
      </c>
      <c r="AD1014" s="48"/>
      <c r="AE1014" s="46">
        <f t="shared" si="327"/>
        <v>42.092147303745911</v>
      </c>
      <c r="AF1014" s="46">
        <f t="shared" si="328"/>
        <v>-248.53981586640188</v>
      </c>
      <c r="AG1014" s="47">
        <f t="shared" si="329"/>
        <v>4474.9767211387734</v>
      </c>
      <c r="AH1014" s="45" t="str">
        <f t="shared" si="333"/>
        <v>-248.53982,42.09215,04475</v>
      </c>
      <c r="AI1014" s="44">
        <f t="shared" si="335"/>
        <v>1021.3726822691494</v>
      </c>
    </row>
    <row r="1015" spans="1:35" ht="18" customHeight="1" x14ac:dyDescent="0.25">
      <c r="A1015" s="36">
        <f t="shared" si="330"/>
        <v>0.75121530092592603</v>
      </c>
      <c r="B1015" s="42">
        <f t="shared" si="315"/>
        <v>42.092147301464379</v>
      </c>
      <c r="C1015" s="43">
        <f t="shared" si="316"/>
        <v>111.46018388829313</v>
      </c>
      <c r="D1015" s="18">
        <f t="shared" si="317"/>
        <v>4.4580505488793278</v>
      </c>
      <c r="E1015" s="21" t="str">
        <f t="shared" si="318"/>
        <v>Umbra</v>
      </c>
      <c r="F1015" s="23">
        <f>IF($E1015&lt;&gt;"Umbra",fracil2($S$2,$S$3,$S$4,$A1015,$Q$2,$O$3,$Q$4,$U1015,$V1015,$W1015),0)</f>
        <v>0</v>
      </c>
      <c r="G1015" s="19">
        <f t="shared" si="319"/>
        <v>69.301560189987569</v>
      </c>
      <c r="H1015" s="19">
        <f t="shared" si="320"/>
        <v>-4.607451981826423</v>
      </c>
      <c r="I1015" s="19">
        <f t="shared" si="321"/>
        <v>-3.399434032431528</v>
      </c>
      <c r="J1015" s="28">
        <f t="shared" si="322"/>
        <v>4.7969510615118614E-3</v>
      </c>
      <c r="K1015" s="24">
        <f t="shared" si="323"/>
        <v>1048.1711514458143</v>
      </c>
      <c r="L1015" s="32">
        <f t="shared" si="324"/>
        <v>0.56269440918181168</v>
      </c>
      <c r="M1015" s="35">
        <f t="shared" si="325"/>
        <v>12.961116469462315</v>
      </c>
      <c r="O1015" s="29">
        <f t="shared" si="326"/>
        <v>1046.5859813654645</v>
      </c>
      <c r="T1015" s="48">
        <v>0.75121530092592603</v>
      </c>
      <c r="U1015" s="29">
        <v>-1445.046409216337</v>
      </c>
      <c r="V1015" s="29">
        <v>4517.9826236025901</v>
      </c>
      <c r="W1015" s="29">
        <v>4256.1915650744741</v>
      </c>
      <c r="X1015" s="4">
        <v>-0.32563537337907666</v>
      </c>
      <c r="Y1015" s="4">
        <v>-0.11733435763422816</v>
      </c>
      <c r="Z1015" s="4">
        <v>-1.1341973458001661E-2</v>
      </c>
      <c r="AA1015" s="3">
        <f t="shared" si="331"/>
        <v>0.34631544614569193</v>
      </c>
      <c r="AB1015" s="3">
        <f t="shared" si="334"/>
        <v>1.5333557186537996E-3</v>
      </c>
      <c r="AC1015" s="3">
        <f t="shared" si="332"/>
        <v>1.6951873901755888E-2</v>
      </c>
      <c r="AD1015" s="48"/>
      <c r="AE1015" s="46">
        <f t="shared" si="327"/>
        <v>42.092147301464379</v>
      </c>
      <c r="AF1015" s="46">
        <f t="shared" si="328"/>
        <v>-248.53981611170687</v>
      </c>
      <c r="AG1015" s="47">
        <f t="shared" si="329"/>
        <v>4458.0505488793278</v>
      </c>
      <c r="AH1015" s="45" t="str">
        <f t="shared" si="333"/>
        <v>-248.53982,42.09215,04458</v>
      </c>
      <c r="AI1015" s="44">
        <f t="shared" si="335"/>
        <v>1021.3726822691494</v>
      </c>
    </row>
    <row r="1016" spans="1:35" ht="18" customHeight="1" x14ac:dyDescent="0.25">
      <c r="A1016" s="36">
        <f t="shared" si="330"/>
        <v>0.75122690972222228</v>
      </c>
      <c r="B1016" s="42">
        <f t="shared" si="315"/>
        <v>42.092147299178933</v>
      </c>
      <c r="C1016" s="43">
        <f t="shared" si="316"/>
        <v>111.46018464276034</v>
      </c>
      <c r="D1016" s="18">
        <f t="shared" si="317"/>
        <v>4.4410846641785611</v>
      </c>
      <c r="E1016" s="21" t="str">
        <f t="shared" si="318"/>
        <v>Umbra</v>
      </c>
      <c r="F1016" s="23">
        <f>IF($E1016&lt;&gt;"Umbra",fracil2($S$2,$S$3,$S$4,$A1016,$Q$2,$O$3,$Q$4,$U1016,$V1016,$W1016),0)</f>
        <v>0</v>
      </c>
      <c r="G1016" s="19">
        <f t="shared" si="319"/>
        <v>69.301563997787767</v>
      </c>
      <c r="H1016" s="19">
        <f t="shared" si="320"/>
        <v>-4.6083763082117795</v>
      </c>
      <c r="I1016" s="19">
        <f t="shared" si="321"/>
        <v>-3.4003583588168844</v>
      </c>
      <c r="J1016" s="28">
        <f t="shared" si="322"/>
        <v>4.7962865251251711E-3</v>
      </c>
      <c r="K1016" s="24">
        <f t="shared" si="323"/>
        <v>1048.1697715763476</v>
      </c>
      <c r="L1016" s="32">
        <f t="shared" si="324"/>
        <v>0.5627080063362695</v>
      </c>
      <c r="M1016" s="35">
        <f t="shared" si="325"/>
        <v>12.960492186436056</v>
      </c>
      <c r="O1016" s="29">
        <f t="shared" si="326"/>
        <v>1046.5860419699711</v>
      </c>
      <c r="T1016" s="48">
        <v>0.75122690972222228</v>
      </c>
      <c r="U1016" s="29">
        <v>-1445.3730735421457</v>
      </c>
      <c r="V1016" s="29">
        <v>4517.8649109387206</v>
      </c>
      <c r="W1016" s="29">
        <v>4256.1801922300556</v>
      </c>
      <c r="X1016" s="4">
        <v>-0.32562931846239956</v>
      </c>
      <c r="Y1016" s="4">
        <v>-0.11734723877131548</v>
      </c>
      <c r="Z1016" s="4">
        <v>-1.1331864558433644E-2</v>
      </c>
      <c r="AA1016" s="3">
        <f t="shared" si="331"/>
        <v>0.34631378639018923</v>
      </c>
      <c r="AB1016" s="3">
        <f t="shared" si="334"/>
        <v>1.5303911841670569E-3</v>
      </c>
      <c r="AC1016" s="3">
        <f t="shared" si="332"/>
        <v>1.6936821864756153E-2</v>
      </c>
      <c r="AD1016" s="48"/>
      <c r="AE1016" s="46">
        <f t="shared" si="327"/>
        <v>42.092147299178933</v>
      </c>
      <c r="AF1016" s="46">
        <f t="shared" si="328"/>
        <v>-248.53981535723966</v>
      </c>
      <c r="AG1016" s="47">
        <f t="shared" si="329"/>
        <v>4441.0846641785611</v>
      </c>
      <c r="AH1016" s="45" t="str">
        <f t="shared" si="333"/>
        <v>-248.53982,42.09215,04441</v>
      </c>
      <c r="AI1016" s="44">
        <f t="shared" si="335"/>
        <v>1021.3726822691494</v>
      </c>
    </row>
    <row r="1017" spans="1:35" ht="18" customHeight="1" x14ac:dyDescent="0.25">
      <c r="A1017" s="36">
        <f t="shared" si="330"/>
        <v>0.75123844907407411</v>
      </c>
      <c r="B1017" s="42">
        <f t="shared" si="315"/>
        <v>42.092147296910568</v>
      </c>
      <c r="C1017" s="43">
        <f t="shared" si="316"/>
        <v>111.46018529348534</v>
      </c>
      <c r="D1017" s="18">
        <f t="shared" si="317"/>
        <v>4.4242356459071743</v>
      </c>
      <c r="E1017" s="21" t="str">
        <f t="shared" si="318"/>
        <v>Umbra</v>
      </c>
      <c r="F1017" s="23">
        <f>IF($E1017&lt;&gt;"Umbra",fracil2($S$2,$S$3,$S$4,$A1017,$Q$2,$O$3,$Q$4,$U1017,$V1017,$W1017),0)</f>
        <v>0</v>
      </c>
      <c r="G1017" s="19">
        <f t="shared" si="319"/>
        <v>69.301567679076683</v>
      </c>
      <c r="H1017" s="19">
        <f t="shared" si="320"/>
        <v>-4.6092942333830997</v>
      </c>
      <c r="I1017" s="19">
        <f t="shared" si="321"/>
        <v>-3.4012762839882047</v>
      </c>
      <c r="J1017" s="28">
        <f t="shared" si="322"/>
        <v>4.7956275658861888E-3</v>
      </c>
      <c r="K1017" s="24">
        <f t="shared" si="323"/>
        <v>1048.1683935589679</v>
      </c>
      <c r="L1017" s="32">
        <f t="shared" si="324"/>
        <v>0.56272152049102464</v>
      </c>
      <c r="M1017" s="35">
        <f t="shared" si="325"/>
        <v>12.959872295226431</v>
      </c>
      <c r="O1017" s="29">
        <f t="shared" si="326"/>
        <v>1046.5860942336747</v>
      </c>
      <c r="T1017" s="48">
        <v>0.75123844907407411</v>
      </c>
      <c r="U1017" s="29">
        <v>-1445.6977699935105</v>
      </c>
      <c r="V1017" s="29">
        <v>4517.7478924046936</v>
      </c>
      <c r="W1017" s="29">
        <v>4256.1688977255317</v>
      </c>
      <c r="X1017" s="4">
        <v>-0.3256232927362202</v>
      </c>
      <c r="Y1017" s="4">
        <v>-0.1173600669924274</v>
      </c>
      <c r="Z1017" s="4">
        <v>-1.1321839558418456E-2</v>
      </c>
      <c r="AA1017" s="3">
        <f t="shared" si="331"/>
        <v>0.34631213976387221</v>
      </c>
      <c r="AB1017" s="3">
        <f t="shared" si="334"/>
        <v>1.5268180470504947E-3</v>
      </c>
      <c r="AC1017" s="3">
        <f t="shared" si="332"/>
        <v>1.6921894802920112E-2</v>
      </c>
      <c r="AD1017" s="48"/>
      <c r="AE1017" s="46">
        <f t="shared" si="327"/>
        <v>42.092147296910568</v>
      </c>
      <c r="AF1017" s="46">
        <f t="shared" si="328"/>
        <v>-248.53981470651468</v>
      </c>
      <c r="AG1017" s="47">
        <f t="shared" si="329"/>
        <v>4424.2356459071743</v>
      </c>
      <c r="AH1017" s="45" t="str">
        <f t="shared" si="333"/>
        <v>-248.53981,42.09215,04424</v>
      </c>
      <c r="AI1017" s="44">
        <f t="shared" si="335"/>
        <v>1021.3726822691494</v>
      </c>
    </row>
    <row r="1018" spans="1:35" ht="18" customHeight="1" x14ac:dyDescent="0.25">
      <c r="A1018" s="36">
        <f t="shared" si="330"/>
        <v>0.75125001157407401</v>
      </c>
      <c r="B1018" s="42">
        <f t="shared" si="315"/>
        <v>42.092147294640682</v>
      </c>
      <c r="C1018" s="43">
        <f t="shared" si="316"/>
        <v>111.46018633239663</v>
      </c>
      <c r="D1018" s="18">
        <f t="shared" si="317"/>
        <v>4.4073662066521138</v>
      </c>
      <c r="E1018" s="21" t="str">
        <f t="shared" si="318"/>
        <v>Umbra</v>
      </c>
      <c r="F1018" s="23">
        <f>IF($E1018&lt;&gt;"Umbra",fracil2($S$2,$S$3,$S$4,$A1018,$Q$2,$O$3,$Q$4,$U1018,$V1018,$W1018),0)</f>
        <v>0</v>
      </c>
      <c r="G1018" s="19">
        <f t="shared" si="319"/>
        <v>69.301571759090407</v>
      </c>
      <c r="H1018" s="19">
        <f t="shared" si="320"/>
        <v>-4.6102134172144478</v>
      </c>
      <c r="I1018" s="19">
        <f t="shared" si="321"/>
        <v>-3.4021954678195527</v>
      </c>
      <c r="J1018" s="28">
        <f t="shared" si="322"/>
        <v>4.7949686579689546E-3</v>
      </c>
      <c r="K1018" s="24">
        <f t="shared" si="323"/>
        <v>1048.1670452857429</v>
      </c>
      <c r="L1018" s="32">
        <f t="shared" si="324"/>
        <v>0.56273505976666605</v>
      </c>
      <c r="M1018" s="35">
        <f t="shared" si="325"/>
        <v>12.959251257590653</v>
      </c>
      <c r="O1018" s="29">
        <f t="shared" si="326"/>
        <v>1046.5861777088066</v>
      </c>
      <c r="T1018" s="48">
        <v>0.75125001157407401</v>
      </c>
      <c r="U1018" s="29">
        <v>-1446.0231419190227</v>
      </c>
      <c r="V1018" s="29">
        <v>4517.6306154175409</v>
      </c>
      <c r="W1018" s="29">
        <v>4256.1575895321885</v>
      </c>
      <c r="X1018" s="4">
        <v>-0.32561724784688312</v>
      </c>
      <c r="Y1018" s="4">
        <v>-0.11737294450130137</v>
      </c>
      <c r="Z1018" s="4">
        <v>-1.1311814733014257E-2</v>
      </c>
      <c r="AA1018" s="3">
        <f t="shared" si="331"/>
        <v>0.34631049269237874</v>
      </c>
      <c r="AB1018" s="3">
        <f t="shared" si="334"/>
        <v>1.5237297527571562E-3</v>
      </c>
      <c r="AC1018" s="3">
        <f t="shared" si="332"/>
        <v>1.6906968050658666E-2</v>
      </c>
      <c r="AD1018" s="48"/>
      <c r="AE1018" s="46">
        <f t="shared" si="327"/>
        <v>42.092147294640682</v>
      </c>
      <c r="AF1018" s="46">
        <f t="shared" si="328"/>
        <v>-248.53981366760337</v>
      </c>
      <c r="AG1018" s="47">
        <f t="shared" si="329"/>
        <v>4407.3662066521138</v>
      </c>
      <c r="AH1018" s="45" t="str">
        <f t="shared" si="333"/>
        <v>-248.53981,42.09215,04407</v>
      </c>
      <c r="AI1018" s="44">
        <f t="shared" si="335"/>
        <v>1021.3726822691494</v>
      </c>
    </row>
    <row r="1019" spans="1:35" ht="18" customHeight="1" x14ac:dyDescent="0.25">
      <c r="A1019" s="36">
        <f t="shared" si="330"/>
        <v>0.75126165509259257</v>
      </c>
      <c r="B1019" s="42">
        <f t="shared" si="315"/>
        <v>42.092147292359904</v>
      </c>
      <c r="C1019" s="43">
        <f t="shared" si="316"/>
        <v>111.46018474056876</v>
      </c>
      <c r="D1019" s="18">
        <f t="shared" si="317"/>
        <v>4.3904042937192571</v>
      </c>
      <c r="E1019" s="21" t="str">
        <f t="shared" si="318"/>
        <v>Umbra</v>
      </c>
      <c r="F1019" s="23">
        <f>IF($E1019&lt;&gt;"Umbra",fracil2($S$2,$S$3,$S$4,$A1019,$Q$2,$O$3,$Q$4,$U1019,$V1019,$W1019),0)</f>
        <v>0</v>
      </c>
      <c r="G1019" s="19">
        <f t="shared" si="319"/>
        <v>69.301573178376387</v>
      </c>
      <c r="H1019" s="19">
        <f t="shared" si="320"/>
        <v>-4.6111366642479146</v>
      </c>
      <c r="I1019" s="19">
        <f t="shared" si="321"/>
        <v>-3.4031187148530195</v>
      </c>
      <c r="J1019" s="28">
        <f t="shared" si="322"/>
        <v>4.794307058722665E-3</v>
      </c>
      <c r="K1019" s="24">
        <f t="shared" si="323"/>
        <v>1048.1654779360194</v>
      </c>
      <c r="L1019" s="32">
        <f t="shared" si="324"/>
        <v>0.56274869397340654</v>
      </c>
      <c r="M1019" s="35">
        <f t="shared" si="325"/>
        <v>12.958629448666816</v>
      </c>
      <c r="O1019" s="29">
        <f t="shared" si="326"/>
        <v>1046.5860496635246</v>
      </c>
      <c r="T1019" s="48">
        <v>0.75126165509259257</v>
      </c>
      <c r="U1019" s="29">
        <v>-1446.3505820396817</v>
      </c>
      <c r="V1019" s="29">
        <v>4517.5125777698795</v>
      </c>
      <c r="W1019" s="29">
        <v>4256.146219350534</v>
      </c>
      <c r="X1019" s="4">
        <v>-0.32561115814687946</v>
      </c>
      <c r="Y1019" s="4">
        <v>-0.11738592570935918</v>
      </c>
      <c r="Z1019" s="4">
        <v>-1.1301746495418673E-2</v>
      </c>
      <c r="AA1019" s="3">
        <f t="shared" si="331"/>
        <v>0.34630883808855073</v>
      </c>
      <c r="AB1019" s="3">
        <f t="shared" si="334"/>
        <v>1.5196747395302488E-3</v>
      </c>
      <c r="AC1019" s="3">
        <f t="shared" si="332"/>
        <v>1.6891976708579795E-2</v>
      </c>
      <c r="AD1019" s="48"/>
      <c r="AE1019" s="46">
        <f t="shared" si="327"/>
        <v>42.092147292359904</v>
      </c>
      <c r="AF1019" s="46">
        <f t="shared" si="328"/>
        <v>-248.53981525943124</v>
      </c>
      <c r="AG1019" s="47">
        <f t="shared" si="329"/>
        <v>4390.4042937192571</v>
      </c>
      <c r="AH1019" s="45" t="str">
        <f t="shared" si="333"/>
        <v>-248.53982,42.09215,04390</v>
      </c>
      <c r="AI1019" s="44">
        <f t="shared" si="335"/>
        <v>1021.3728165279344</v>
      </c>
    </row>
    <row r="1020" spans="1:35" ht="18" customHeight="1" x14ac:dyDescent="0.25">
      <c r="A1020" s="36">
        <f t="shared" si="330"/>
        <v>0.75127317129629623</v>
      </c>
      <c r="B1020" s="42">
        <f t="shared" si="315"/>
        <v>42.092147290105842</v>
      </c>
      <c r="C1020" s="43">
        <f t="shared" si="316"/>
        <v>111.46018600821674</v>
      </c>
      <c r="D1020" s="18">
        <f t="shared" si="317"/>
        <v>4.3736312294722666</v>
      </c>
      <c r="E1020" s="21" t="str">
        <f t="shared" si="318"/>
        <v>Umbra</v>
      </c>
      <c r="F1020" s="23">
        <f>IF($E1020&lt;&gt;"Umbra",fracil2($S$2,$S$3,$S$4,$A1020,$Q$2,$O$3,$Q$4,$U1020,$V1020,$W1020),0)</f>
        <v>0</v>
      </c>
      <c r="G1020" s="19">
        <f t="shared" si="319"/>
        <v>69.30157747392137</v>
      </c>
      <c r="H1020" s="19">
        <f t="shared" si="320"/>
        <v>-4.6120506887046098</v>
      </c>
      <c r="I1020" s="19">
        <f t="shared" si="321"/>
        <v>-3.4040327393097147</v>
      </c>
      <c r="J1020" s="28">
        <f t="shared" si="322"/>
        <v>4.7936537091149943E-3</v>
      </c>
      <c r="K1020" s="24">
        <f t="shared" si="323"/>
        <v>1048.1641567686322</v>
      </c>
      <c r="L1020" s="32">
        <f t="shared" si="324"/>
        <v>0.56276217544250928</v>
      </c>
      <c r="M1020" s="35">
        <f t="shared" si="325"/>
        <v>12.958011709724083</v>
      </c>
      <c r="O1020" s="29">
        <f t="shared" si="326"/>
        <v>1046.5861515302429</v>
      </c>
      <c r="T1020" s="48">
        <v>0.75127317129629623</v>
      </c>
      <c r="U1020" s="29">
        <v>-1446.6746572648226</v>
      </c>
      <c r="V1020" s="29">
        <v>4517.3957380792172</v>
      </c>
      <c r="W1020" s="29">
        <v>4256.1349757610706</v>
      </c>
      <c r="X1020" s="4">
        <v>-0.32560512373384548</v>
      </c>
      <c r="Y1020" s="4">
        <v>-0.11739879815008707</v>
      </c>
      <c r="Z1020" s="4">
        <v>-1.1291804682653095E-2</v>
      </c>
      <c r="AA1020" s="3">
        <f t="shared" si="331"/>
        <v>0.34630720359502903</v>
      </c>
      <c r="AB1020" s="3">
        <f t="shared" si="334"/>
        <v>1.5171768971899396E-3</v>
      </c>
      <c r="AC1020" s="3">
        <f t="shared" si="332"/>
        <v>1.6877173659109283E-2</v>
      </c>
      <c r="AD1020" s="48"/>
      <c r="AE1020" s="46">
        <f t="shared" si="327"/>
        <v>42.092147290105842</v>
      </c>
      <c r="AF1020" s="46">
        <f t="shared" si="328"/>
        <v>-248.53981399178326</v>
      </c>
      <c r="AG1020" s="47">
        <f t="shared" si="329"/>
        <v>4373.6312294722666</v>
      </c>
      <c r="AH1020" s="45" t="str">
        <f t="shared" si="333"/>
        <v>-248.53981,42.09215,04374</v>
      </c>
      <c r="AI1020" s="44">
        <f t="shared" si="335"/>
        <v>1021.3728165279344</v>
      </c>
    </row>
    <row r="1021" spans="1:35" ht="18" customHeight="1" x14ac:dyDescent="0.25">
      <c r="A1021" s="36">
        <f t="shared" si="330"/>
        <v>0.75128479166666662</v>
      </c>
      <c r="B1021" s="42">
        <f t="shared" si="315"/>
        <v>42.092147287835708</v>
      </c>
      <c r="C1021" s="43">
        <f t="shared" si="316"/>
        <v>111.46018539017095</v>
      </c>
      <c r="D1021" s="18">
        <f t="shared" si="317"/>
        <v>4.3567290363189386</v>
      </c>
      <c r="E1021" s="21" t="str">
        <f t="shared" si="318"/>
        <v>Umbra</v>
      </c>
      <c r="F1021" s="23">
        <f>IF($E1021&lt;&gt;"Umbra",fracil2($S$2,$S$3,$S$4,$A1021,$Q$2,$O$3,$Q$4,$U1021,$V1021,$W1021),0)</f>
        <v>0</v>
      </c>
      <c r="G1021" s="19">
        <f t="shared" si="319"/>
        <v>69.301579873541726</v>
      </c>
      <c r="H1021" s="19">
        <f t="shared" si="320"/>
        <v>-4.6129710494015628</v>
      </c>
      <c r="I1021" s="19">
        <f t="shared" si="321"/>
        <v>-3.4049531000066677</v>
      </c>
      <c r="J1021" s="28">
        <f t="shared" si="322"/>
        <v>4.7929963327969166E-3</v>
      </c>
      <c r="K1021" s="24">
        <f t="shared" si="323"/>
        <v>1048.1626733141179</v>
      </c>
      <c r="L1021" s="32">
        <f t="shared" si="324"/>
        <v>0.56277577842784399</v>
      </c>
      <c r="M1021" s="35">
        <f t="shared" si="325"/>
        <v>12.957391105971016</v>
      </c>
      <c r="O1021" s="29">
        <f t="shared" si="326"/>
        <v>1046.5861017805296</v>
      </c>
      <c r="T1021" s="48">
        <v>0.75128479166666662</v>
      </c>
      <c r="U1021" s="29">
        <v>-1447.0015098938131</v>
      </c>
      <c r="V1021" s="29">
        <v>4517.2778818603338</v>
      </c>
      <c r="W1021" s="29">
        <v>4256.1236456119541</v>
      </c>
      <c r="X1021" s="4">
        <v>-0.32559903066317797</v>
      </c>
      <c r="Y1021" s="4">
        <v>-0.11741180443334256</v>
      </c>
      <c r="Z1021" s="4">
        <v>-1.1281799571811628E-2</v>
      </c>
      <c r="AA1021" s="3">
        <f t="shared" si="331"/>
        <v>0.34630555812847286</v>
      </c>
      <c r="AB1021" s="3">
        <f t="shared" si="334"/>
        <v>1.5131447193690135E-3</v>
      </c>
      <c r="AC1021" s="3">
        <f t="shared" si="332"/>
        <v>1.6862276410402652E-2</v>
      </c>
      <c r="AD1021" s="48"/>
      <c r="AE1021" s="46">
        <f t="shared" si="327"/>
        <v>42.092147287835708</v>
      </c>
      <c r="AF1021" s="46">
        <f t="shared" si="328"/>
        <v>-248.53981460982905</v>
      </c>
      <c r="AG1021" s="47">
        <f t="shared" si="329"/>
        <v>4356.7290363189386</v>
      </c>
      <c r="AH1021" s="45" t="str">
        <f t="shared" si="333"/>
        <v>-248.53981,42.09215,04357</v>
      </c>
      <c r="AI1021" s="44">
        <f t="shared" si="335"/>
        <v>1021.3728165279344</v>
      </c>
    </row>
    <row r="1022" spans="1:35" ht="18" customHeight="1" x14ac:dyDescent="0.25">
      <c r="A1022" s="36">
        <f t="shared" si="330"/>
        <v>0.75129660879629634</v>
      </c>
      <c r="B1022" s="42">
        <f t="shared" si="315"/>
        <v>42.092147285530416</v>
      </c>
      <c r="C1022" s="43">
        <f t="shared" si="316"/>
        <v>111.46018495298767</v>
      </c>
      <c r="D1022" s="18">
        <f t="shared" si="317"/>
        <v>4.3395552281172058</v>
      </c>
      <c r="E1022" s="21" t="str">
        <f t="shared" si="318"/>
        <v>Umbra</v>
      </c>
      <c r="F1022" s="23">
        <f>IF($E1022&lt;&gt;"Umbra",fracil2($S$2,$S$3,$S$4,$A1022,$Q$2,$O$3,$Q$4,$U1022,$V1022,$W1022),0)</f>
        <v>0</v>
      </c>
      <c r="G1022" s="19">
        <f t="shared" si="319"/>
        <v>69.301582505903582</v>
      </c>
      <c r="H1022" s="19">
        <f t="shared" si="320"/>
        <v>-4.6139062735183689</v>
      </c>
      <c r="I1022" s="19">
        <f t="shared" si="321"/>
        <v>-3.4058883241234739</v>
      </c>
      <c r="J1022" s="28">
        <f t="shared" si="322"/>
        <v>4.7923293851037168E-3</v>
      </c>
      <c r="K1022" s="24">
        <f t="shared" si="323"/>
        <v>1048.1611816370255</v>
      </c>
      <c r="L1022" s="32">
        <f t="shared" si="324"/>
        <v>0.5627896098404267</v>
      </c>
      <c r="M1022" s="35">
        <f t="shared" si="325"/>
        <v>12.956760330702078</v>
      </c>
      <c r="O1022" s="29">
        <f t="shared" si="326"/>
        <v>1046.5860665718826</v>
      </c>
      <c r="T1022" s="48">
        <v>0.75129660879629634</v>
      </c>
      <c r="U1022" s="29">
        <v>-1447.3339055194501</v>
      </c>
      <c r="V1022" s="29">
        <v>4517.1580112865349</v>
      </c>
      <c r="W1022" s="29">
        <v>4256.1121333895953</v>
      </c>
      <c r="X1022" s="4">
        <v>-0.32559282688132118</v>
      </c>
      <c r="Y1022" s="4">
        <v>-0.11742505621229184</v>
      </c>
      <c r="Z1022" s="4">
        <v>-1.1271648013364291E-2</v>
      </c>
      <c r="AA1022" s="3">
        <f t="shared" si="331"/>
        <v>0.34630388792499439</v>
      </c>
      <c r="AB1022" s="3">
        <f t="shared" si="334"/>
        <v>1.5097247894981112E-3</v>
      </c>
      <c r="AC1022" s="3">
        <f t="shared" si="332"/>
        <v>1.6847161157529714E-2</v>
      </c>
      <c r="AD1022" s="48"/>
      <c r="AE1022" s="46">
        <f t="shared" si="327"/>
        <v>42.092147285530416</v>
      </c>
      <c r="AF1022" s="46">
        <f t="shared" si="328"/>
        <v>-248.53981504701233</v>
      </c>
      <c r="AG1022" s="47">
        <f t="shared" si="329"/>
        <v>4339.5552281172058</v>
      </c>
      <c r="AH1022" s="45" t="str">
        <f t="shared" si="333"/>
        <v>-248.53982,42.09215,04340</v>
      </c>
      <c r="AI1022" s="44">
        <f t="shared" si="335"/>
        <v>1021.3728165279344</v>
      </c>
    </row>
    <row r="1023" spans="1:35" ht="18" customHeight="1" x14ac:dyDescent="0.25">
      <c r="A1023" s="36">
        <f t="shared" si="330"/>
        <v>0.75130795138888884</v>
      </c>
      <c r="B1023" s="42">
        <f t="shared" si="315"/>
        <v>42.0921472833219</v>
      </c>
      <c r="C1023" s="43">
        <f t="shared" si="316"/>
        <v>111.46018291215367</v>
      </c>
      <c r="D1023" s="18">
        <f t="shared" si="317"/>
        <v>4.3230921083777503</v>
      </c>
      <c r="E1023" s="21" t="str">
        <f t="shared" si="318"/>
        <v>Umbra</v>
      </c>
      <c r="F1023" s="23">
        <f>IF($E1023&lt;&gt;"Umbra",fracil2($S$2,$S$3,$S$4,$A1023,$Q$2,$O$3,$Q$4,$U1023,$V1023,$W1023),0)</f>
        <v>0</v>
      </c>
      <c r="G1023" s="19">
        <f t="shared" si="319"/>
        <v>69.301583378893511</v>
      </c>
      <c r="H1023" s="19">
        <f t="shared" si="320"/>
        <v>-4.6148021975141784</v>
      </c>
      <c r="I1023" s="19">
        <f t="shared" si="321"/>
        <v>-3.4067842481192834</v>
      </c>
      <c r="J1023" s="28">
        <f t="shared" si="322"/>
        <v>4.7916909296401005E-3</v>
      </c>
      <c r="K1023" s="24">
        <f t="shared" si="323"/>
        <v>1048.1596215710842</v>
      </c>
      <c r="L1023" s="32">
        <f t="shared" si="324"/>
        <v>0.56280288526414057</v>
      </c>
      <c r="M1023" s="35">
        <f t="shared" si="325"/>
        <v>12.95615727493602</v>
      </c>
      <c r="O1023" s="29">
        <f t="shared" si="326"/>
        <v>1046.5859024268343</v>
      </c>
      <c r="T1023" s="48">
        <v>0.75130795138888884</v>
      </c>
      <c r="U1023" s="29">
        <v>-1447.6528209411017</v>
      </c>
      <c r="V1023" s="29">
        <v>4517.0429871517772</v>
      </c>
      <c r="W1023" s="29">
        <v>4256.1010975674308</v>
      </c>
      <c r="X1023" s="4">
        <v>-0.32558686831016659</v>
      </c>
      <c r="Y1023" s="4">
        <v>-0.11743779225430877</v>
      </c>
      <c r="Z1023" s="4">
        <v>-1.1261928323350941E-2</v>
      </c>
      <c r="AA1023" s="3">
        <f t="shared" si="331"/>
        <v>0.34630228831924897</v>
      </c>
      <c r="AB1023" s="3">
        <f t="shared" si="334"/>
        <v>1.5059678443015271E-3</v>
      </c>
      <c r="AC1023" s="3">
        <f t="shared" si="332"/>
        <v>1.6832688987262236E-2</v>
      </c>
      <c r="AD1023" s="48"/>
      <c r="AE1023" s="46">
        <f t="shared" si="327"/>
        <v>42.0921472833219</v>
      </c>
      <c r="AF1023" s="46">
        <f t="shared" si="328"/>
        <v>-248.53981708784633</v>
      </c>
      <c r="AG1023" s="47">
        <f t="shared" si="329"/>
        <v>4323.0921083777503</v>
      </c>
      <c r="AH1023" s="45" t="str">
        <f t="shared" si="333"/>
        <v>-248.53982,42.09215,04323</v>
      </c>
      <c r="AI1023" s="44">
        <f t="shared" si="335"/>
        <v>1021.3730063985304</v>
      </c>
    </row>
    <row r="1024" spans="1:35" ht="18" customHeight="1" x14ac:dyDescent="0.25">
      <c r="A1024" s="36">
        <f t="shared" si="330"/>
        <v>0.75131951388888885</v>
      </c>
      <c r="B1024" s="42">
        <f t="shared" si="315"/>
        <v>42.092147281071924</v>
      </c>
      <c r="C1024" s="43">
        <f t="shared" si="316"/>
        <v>111.46018444802877</v>
      </c>
      <c r="D1024" s="18">
        <f t="shared" si="317"/>
        <v>4.3063098795173573</v>
      </c>
      <c r="E1024" s="21" t="str">
        <f t="shared" si="318"/>
        <v>Umbra</v>
      </c>
      <c r="F1024" s="23">
        <f>IF($E1024&lt;&gt;"Umbra",fracil2($S$2,$S$3,$S$4,$A1024,$Q$2,$O$3,$Q$4,$U1024,$V1024,$W1024),0)</f>
        <v>0</v>
      </c>
      <c r="G1024" s="19">
        <f t="shared" si="319"/>
        <v>69.301587949086908</v>
      </c>
      <c r="H1024" s="19">
        <f t="shared" si="320"/>
        <v>-4.6157168302498306</v>
      </c>
      <c r="I1024" s="19">
        <f t="shared" si="321"/>
        <v>-3.4076988808549356</v>
      </c>
      <c r="J1024" s="28">
        <f t="shared" si="322"/>
        <v>4.7910408267776722E-3</v>
      </c>
      <c r="K1024" s="24">
        <f t="shared" si="323"/>
        <v>1048.1583222600975</v>
      </c>
      <c r="L1024" s="32">
        <f t="shared" si="324"/>
        <v>0.56281641390250303</v>
      </c>
      <c r="M1024" s="35">
        <f t="shared" si="325"/>
        <v>12.955538902097215</v>
      </c>
      <c r="O1024" s="29">
        <f t="shared" si="326"/>
        <v>1046.586025859998</v>
      </c>
      <c r="T1024" s="48">
        <v>0.75131951388888885</v>
      </c>
      <c r="U1024" s="29">
        <v>-1447.9781952111223</v>
      </c>
      <c r="V1024" s="29">
        <v>4516.9256184473243</v>
      </c>
      <c r="W1024" s="29">
        <v>4256.0898478350409</v>
      </c>
      <c r="X1024" s="4">
        <v>-0.32558078242568278</v>
      </c>
      <c r="Y1024" s="4">
        <v>-0.11745080870984428</v>
      </c>
      <c r="Z1024" s="4">
        <v>-1.1252032708190371E-2</v>
      </c>
      <c r="AA1024" s="3">
        <f t="shared" si="331"/>
        <v>0.34630065924220016</v>
      </c>
      <c r="AB1024" s="3">
        <f t="shared" si="334"/>
        <v>1.5040602554930616E-3</v>
      </c>
      <c r="AC1024" s="3">
        <f t="shared" si="332"/>
        <v>1.6817954921211728E-2</v>
      </c>
      <c r="AD1024" s="48"/>
      <c r="AE1024" s="46">
        <f t="shared" si="327"/>
        <v>42.092147281071924</v>
      </c>
      <c r="AF1024" s="46">
        <f t="shared" si="328"/>
        <v>-248.53981555197123</v>
      </c>
      <c r="AG1024" s="47">
        <f t="shared" si="329"/>
        <v>4306.3098795173573</v>
      </c>
      <c r="AH1024" s="45" t="str">
        <f t="shared" si="333"/>
        <v>-248.53982,42.09215,04306</v>
      </c>
      <c r="AI1024" s="44">
        <f t="shared" si="335"/>
        <v>1021.3731708312897</v>
      </c>
    </row>
    <row r="1025" spans="1:35" ht="18" customHeight="1" x14ac:dyDescent="0.25">
      <c r="A1025" s="36">
        <f t="shared" si="330"/>
        <v>0.75133106481481482</v>
      </c>
      <c r="B1025" s="42">
        <f t="shared" si="315"/>
        <v>42.092147278828335</v>
      </c>
      <c r="C1025" s="43">
        <f t="shared" si="316"/>
        <v>111.46018425522864</v>
      </c>
      <c r="D1025" s="18">
        <f t="shared" si="317"/>
        <v>4.2895660959002271</v>
      </c>
      <c r="E1025" s="21" t="str">
        <f t="shared" si="318"/>
        <v>Umbra</v>
      </c>
      <c r="F1025" s="23">
        <f>IF($E1025&lt;&gt;"Umbra",fracil2($S$2,$S$3,$S$4,$A1025,$Q$2,$O$3,$Q$4,$U1025,$V1025,$W1025),0)</f>
        <v>0</v>
      </c>
      <c r="G1025" s="19">
        <f t="shared" si="319"/>
        <v>69.301590753127556</v>
      </c>
      <c r="H1025" s="19">
        <f t="shared" si="320"/>
        <v>-4.6166287308169887</v>
      </c>
      <c r="I1025" s="19">
        <f t="shared" si="321"/>
        <v>-3.4086107814220936</v>
      </c>
      <c r="J1025" s="28">
        <f t="shared" si="322"/>
        <v>4.7903932354429746E-3</v>
      </c>
      <c r="K1025" s="24">
        <f t="shared" si="323"/>
        <v>1048.1568874975426</v>
      </c>
      <c r="L1025" s="32">
        <f t="shared" si="324"/>
        <v>0.56282992848614011</v>
      </c>
      <c r="M1025" s="35">
        <f t="shared" si="325"/>
        <v>12.954923665999049</v>
      </c>
      <c r="O1025" s="29">
        <f t="shared" si="326"/>
        <v>1046.5860103021089</v>
      </c>
      <c r="T1025" s="48">
        <v>0.75133106481481482</v>
      </c>
      <c r="U1025" s="29">
        <v>-1448.3031031256878</v>
      </c>
      <c r="V1025" s="29">
        <v>4516.8084027835403</v>
      </c>
      <c r="W1025" s="29">
        <v>4256.0786238739838</v>
      </c>
      <c r="X1025" s="4">
        <v>-0.3255746982134422</v>
      </c>
      <c r="Y1025" s="4">
        <v>-0.11746383026760118</v>
      </c>
      <c r="Z1025" s="4">
        <v>-1.1242173414103596E-2</v>
      </c>
      <c r="AA1025" s="3">
        <f t="shared" si="331"/>
        <v>0.34629903551841229</v>
      </c>
      <c r="AB1025" s="3">
        <f t="shared" si="334"/>
        <v>1.5000362621076201E-3</v>
      </c>
      <c r="AC1025" s="3">
        <f t="shared" si="332"/>
        <v>1.6803274984336612E-2</v>
      </c>
      <c r="AD1025" s="48"/>
      <c r="AE1025" s="46">
        <f t="shared" si="327"/>
        <v>42.092147278828335</v>
      </c>
      <c r="AF1025" s="46">
        <f t="shared" si="328"/>
        <v>-248.53981574477137</v>
      </c>
      <c r="AG1025" s="47">
        <f t="shared" si="329"/>
        <v>4289.5660959002271</v>
      </c>
      <c r="AH1025" s="45" t="str">
        <f t="shared" si="333"/>
        <v>-248.53982,42.09215,04290</v>
      </c>
      <c r="AI1025" s="44">
        <f t="shared" si="335"/>
        <v>1021.3731708312897</v>
      </c>
    </row>
    <row r="1026" spans="1:35" ht="18" customHeight="1" x14ac:dyDescent="0.25">
      <c r="A1026" s="36">
        <f t="shared" si="330"/>
        <v>0.75134258101851847</v>
      </c>
      <c r="B1026" s="42">
        <f t="shared" si="315"/>
        <v>42.092147276593337</v>
      </c>
      <c r="C1026" s="43">
        <f t="shared" si="316"/>
        <v>111.46018678599845</v>
      </c>
      <c r="D1026" s="18">
        <f t="shared" si="317"/>
        <v>4.2728763192344559</v>
      </c>
      <c r="E1026" s="21" t="str">
        <f t="shared" si="318"/>
        <v>Umbra</v>
      </c>
      <c r="F1026" s="23">
        <f>IF($E1026&lt;&gt;"Umbra",fracil2($S$2,$S$3,$S$4,$A1026,$Q$2,$O$3,$Q$4,$U1026,$V1026,$W1026),0)</f>
        <v>0</v>
      </c>
      <c r="G1026" s="19">
        <f t="shared" si="319"/>
        <v>69.30159631927252</v>
      </c>
      <c r="H1026" s="19">
        <f t="shared" si="320"/>
        <v>-4.6175387011795976</v>
      </c>
      <c r="I1026" s="19">
        <f t="shared" si="321"/>
        <v>-3.4095207517847026</v>
      </c>
      <c r="J1026" s="28">
        <f t="shared" si="322"/>
        <v>4.7897484809061959E-3</v>
      </c>
      <c r="K1026" s="24">
        <f t="shared" si="323"/>
        <v>1048.1556765377495</v>
      </c>
      <c r="L1026" s="32">
        <f t="shared" si="324"/>
        <v>0.56284339888888202</v>
      </c>
      <c r="M1026" s="35">
        <f t="shared" si="325"/>
        <v>12.954307681297699</v>
      </c>
      <c r="O1026" s="29">
        <f t="shared" si="326"/>
        <v>1046.5862137284792</v>
      </c>
      <c r="T1026" s="48">
        <v>0.75134258101851847</v>
      </c>
      <c r="U1026" s="29">
        <v>-1448.6272405027855</v>
      </c>
      <c r="V1026" s="29">
        <v>4516.6914499593731</v>
      </c>
      <c r="W1026" s="29">
        <v>4256.0674361158453</v>
      </c>
      <c r="X1026" s="4">
        <v>-0.32556862187287727</v>
      </c>
      <c r="Y1026" s="4">
        <v>-0.11747684313228643</v>
      </c>
      <c r="Z1026" s="4">
        <v>-1.1232358153242424E-2</v>
      </c>
      <c r="AA1026" s="3">
        <f t="shared" si="331"/>
        <v>0.34629741854396645</v>
      </c>
      <c r="AB1026" s="3">
        <f t="shared" si="334"/>
        <v>1.4978343901844251E-3</v>
      </c>
      <c r="AC1026" s="3">
        <f t="shared" si="332"/>
        <v>1.6788660659126677E-2</v>
      </c>
      <c r="AD1026" s="48"/>
      <c r="AE1026" s="46">
        <f t="shared" si="327"/>
        <v>42.092147276593337</v>
      </c>
      <c r="AF1026" s="46">
        <f t="shared" si="328"/>
        <v>-248.53981321400155</v>
      </c>
      <c r="AG1026" s="47">
        <f t="shared" si="329"/>
        <v>4272.8763192344559</v>
      </c>
      <c r="AH1026" s="45" t="str">
        <f t="shared" si="333"/>
        <v>-248.53981,42.09215,04273</v>
      </c>
      <c r="AI1026" s="44">
        <f t="shared" si="335"/>
        <v>1021.3733831130697</v>
      </c>
    </row>
    <row r="1027" spans="1:35" ht="18" customHeight="1" x14ac:dyDescent="0.25">
      <c r="A1027" s="36">
        <f t="shared" si="330"/>
        <v>0.7513541782407408</v>
      </c>
      <c r="B1027" s="42">
        <f t="shared" si="315"/>
        <v>42.092147274348115</v>
      </c>
      <c r="C1027" s="43">
        <f t="shared" si="316"/>
        <v>111.46018564713778</v>
      </c>
      <c r="D1027" s="18">
        <f t="shared" si="317"/>
        <v>4.2560986182297711</v>
      </c>
      <c r="E1027" s="21" t="str">
        <f t="shared" si="318"/>
        <v>Umbra</v>
      </c>
      <c r="F1027" s="23">
        <f>IF($E1027&lt;&gt;"Umbra",fracil2($S$2,$S$3,$S$4,$A1027,$Q$2,$O$3,$Q$4,$U1027,$V1027,$W1027),0)</f>
        <v>0</v>
      </c>
      <c r="G1027" s="19">
        <f t="shared" si="319"/>
        <v>69.301598166600385</v>
      </c>
      <c r="H1027" s="19">
        <f t="shared" si="320"/>
        <v>-4.6184521035324275</v>
      </c>
      <c r="I1027" s="19">
        <f t="shared" si="321"/>
        <v>-3.4104341541375325</v>
      </c>
      <c r="J1027" s="28">
        <f t="shared" si="322"/>
        <v>4.7891014120775956E-3</v>
      </c>
      <c r="K1027" s="24">
        <f t="shared" si="323"/>
        <v>1048.1541633735508</v>
      </c>
      <c r="L1027" s="32">
        <f t="shared" si="324"/>
        <v>0.56285696489545212</v>
      </c>
      <c r="M1027" s="35">
        <f t="shared" si="325"/>
        <v>12.953692131423583</v>
      </c>
      <c r="O1027" s="29">
        <f t="shared" si="326"/>
        <v>1046.5861221041494</v>
      </c>
      <c r="T1027" s="48">
        <v>0.7513541782407408</v>
      </c>
      <c r="U1027" s="29">
        <v>-1448.9533648045883</v>
      </c>
      <c r="V1027" s="29">
        <v>4516.573764937375</v>
      </c>
      <c r="W1027" s="29">
        <v>4256.0561894189841</v>
      </c>
      <c r="X1027" s="4">
        <v>-0.32556250131615866</v>
      </c>
      <c r="Y1027" s="4">
        <v>-0.11748995920972237</v>
      </c>
      <c r="Z1027" s="4">
        <v>-1.122250451724654E-2</v>
      </c>
      <c r="AA1027" s="3">
        <f t="shared" si="331"/>
        <v>0.34629579464090471</v>
      </c>
      <c r="AB1027" s="3">
        <f t="shared" si="334"/>
        <v>1.4931763979281838E-3</v>
      </c>
      <c r="AC1027" s="3">
        <f t="shared" si="332"/>
        <v>1.6773989287192946E-2</v>
      </c>
      <c r="AD1027" s="48"/>
      <c r="AE1027" s="46">
        <f t="shared" si="327"/>
        <v>42.092147274348115</v>
      </c>
      <c r="AF1027" s="46">
        <f t="shared" si="328"/>
        <v>-248.53981435286221</v>
      </c>
      <c r="AG1027" s="47">
        <f t="shared" si="329"/>
        <v>4256.0986182297711</v>
      </c>
      <c r="AH1027" s="45" t="str">
        <f t="shared" si="333"/>
        <v>-248.53981,42.09215,04256</v>
      </c>
      <c r="AI1027" s="44">
        <f t="shared" si="335"/>
        <v>1021.3735173718547</v>
      </c>
    </row>
    <row r="1028" spans="1:35" ht="18" customHeight="1" x14ac:dyDescent="0.25">
      <c r="A1028" s="36">
        <f t="shared" si="330"/>
        <v>0.75136577546296301</v>
      </c>
      <c r="B1028" s="42">
        <f t="shared" si="315"/>
        <v>42.092147272106494</v>
      </c>
      <c r="C1028" s="43">
        <f t="shared" si="316"/>
        <v>111.46018434996424</v>
      </c>
      <c r="D1028" s="18">
        <f t="shared" si="317"/>
        <v>4.2393362600059845</v>
      </c>
      <c r="E1028" s="21" t="str">
        <f t="shared" si="318"/>
        <v>Umbra</v>
      </c>
      <c r="F1028" s="23">
        <f>IF($E1028&lt;&gt;"Umbra",fracil2($S$2,$S$3,$S$4,$A1028,$Q$2,$O$3,$Q$4,$U1028,$V1028,$W1028),0)</f>
        <v>0</v>
      </c>
      <c r="G1028" s="19">
        <f t="shared" si="319"/>
        <v>69.3015998500709</v>
      </c>
      <c r="H1028" s="19">
        <f t="shared" si="320"/>
        <v>-4.6193646142320883</v>
      </c>
      <c r="I1028" s="19">
        <f t="shared" si="321"/>
        <v>-3.4113466648371933</v>
      </c>
      <c r="J1028" s="28">
        <f t="shared" si="322"/>
        <v>4.7884557458056035E-3</v>
      </c>
      <c r="K1028" s="24">
        <f t="shared" si="323"/>
        <v>1048.1526390484278</v>
      </c>
      <c r="L1028" s="32">
        <f t="shared" si="324"/>
        <v>0.56287052931373471</v>
      </c>
      <c r="M1028" s="35">
        <f t="shared" si="325"/>
        <v>12.953077296705366</v>
      </c>
      <c r="O1028" s="29">
        <f t="shared" si="326"/>
        <v>1046.5860177510376</v>
      </c>
      <c r="T1028" s="48">
        <v>0.75136577546296301</v>
      </c>
      <c r="U1028" s="29">
        <v>-1449.2794706421839</v>
      </c>
      <c r="V1028" s="29">
        <v>4516.4560712162638</v>
      </c>
      <c r="W1028" s="29">
        <v>4256.0449530070719</v>
      </c>
      <c r="X1028" s="4">
        <v>-0.32555637479740024</v>
      </c>
      <c r="Y1028" s="4">
        <v>-0.11750309593316835</v>
      </c>
      <c r="Z1028" s="4">
        <v>-1.1212671338771445E-2</v>
      </c>
      <c r="AA1028" s="3">
        <f t="shared" si="331"/>
        <v>0.34629417367847237</v>
      </c>
      <c r="AB1028" s="3">
        <f t="shared" si="334"/>
        <v>1.4900720890134473E-3</v>
      </c>
      <c r="AC1028" s="3">
        <f t="shared" si="332"/>
        <v>1.675934841699428E-2</v>
      </c>
      <c r="AD1028" s="48"/>
      <c r="AE1028" s="46">
        <f t="shared" si="327"/>
        <v>42.092147272106494</v>
      </c>
      <c r="AF1028" s="46">
        <f t="shared" si="328"/>
        <v>-248.53981565003576</v>
      </c>
      <c r="AG1028" s="47">
        <f t="shared" si="329"/>
        <v>4239.3362600059845</v>
      </c>
      <c r="AH1028" s="45" t="str">
        <f t="shared" si="333"/>
        <v>-248.53982,42.09215,04239</v>
      </c>
      <c r="AI1028" s="44">
        <f t="shared" si="335"/>
        <v>1021.3736516306398</v>
      </c>
    </row>
    <row r="1029" spans="1:35" ht="18" customHeight="1" x14ac:dyDescent="0.25">
      <c r="A1029" s="36">
        <f t="shared" si="330"/>
        <v>0.75137733796296302</v>
      </c>
      <c r="B1029" s="42">
        <f t="shared" si="315"/>
        <v>42.092147269873017</v>
      </c>
      <c r="C1029" s="43">
        <f t="shared" si="316"/>
        <v>111.46018716288755</v>
      </c>
      <c r="D1029" s="18">
        <f t="shared" si="317"/>
        <v>4.2226222746348867</v>
      </c>
      <c r="E1029" s="21" t="str">
        <f t="shared" si="318"/>
        <v>Umbra</v>
      </c>
      <c r="F1029" s="23">
        <f>IF($E1029&lt;&gt;"Umbra",fracil2($S$2,$S$3,$S$4,$A1029,$Q$2,$O$3,$Q$4,$U1029,$V1029,$W1029),0)</f>
        <v>0</v>
      </c>
      <c r="G1029" s="19">
        <f t="shared" si="319"/>
        <v>69.301605707718082</v>
      </c>
      <c r="H1029" s="19">
        <f t="shared" si="320"/>
        <v>-4.6202760144663175</v>
      </c>
      <c r="I1029" s="19">
        <f t="shared" si="321"/>
        <v>-3.4122580650714225</v>
      </c>
      <c r="J1029" s="28">
        <f t="shared" si="322"/>
        <v>4.7878126789344458E-3</v>
      </c>
      <c r="K1029" s="24">
        <f t="shared" si="323"/>
        <v>1048.1514495153062</v>
      </c>
      <c r="L1029" s="32">
        <f t="shared" si="324"/>
        <v>0.56288404860515207</v>
      </c>
      <c r="M1029" s="35">
        <f t="shared" si="325"/>
        <v>12.952460118789499</v>
      </c>
      <c r="O1029" s="29">
        <f t="shared" si="326"/>
        <v>1046.5862438635208</v>
      </c>
      <c r="T1029" s="48">
        <v>0.75137733796296302</v>
      </c>
      <c r="U1029" s="29">
        <v>-1449.6049139554666</v>
      </c>
      <c r="V1029" s="29">
        <v>4516.3386012644842</v>
      </c>
      <c r="W1029" s="29">
        <v>4256.0337490213606</v>
      </c>
      <c r="X1029" s="4">
        <v>-0.32555025393991383</v>
      </c>
      <c r="Y1029" s="4">
        <v>-0.1175162288205437</v>
      </c>
      <c r="Z1029" s="4">
        <v>-1.1202879438804395E-2</v>
      </c>
      <c r="AA1029" s="3">
        <f t="shared" si="331"/>
        <v>0.34629255895018185</v>
      </c>
      <c r="AB1029" s="3">
        <f t="shared" si="334"/>
        <v>1.4882694587527974E-3</v>
      </c>
      <c r="AC1029" s="3">
        <f t="shared" si="332"/>
        <v>1.6744769040652054E-2</v>
      </c>
      <c r="AD1029" s="48"/>
      <c r="AE1029" s="46">
        <f t="shared" si="327"/>
        <v>42.092147269873017</v>
      </c>
      <c r="AF1029" s="46">
        <f t="shared" si="328"/>
        <v>-248.53981283711244</v>
      </c>
      <c r="AG1029" s="47">
        <f t="shared" si="329"/>
        <v>4222.6222746348867</v>
      </c>
      <c r="AH1029" s="45" t="str">
        <f t="shared" si="333"/>
        <v>-248.53981,42.09215,04223</v>
      </c>
      <c r="AI1029" s="44">
        <f t="shared" si="335"/>
        <v>1021.3738841736783</v>
      </c>
    </row>
    <row r="1030" spans="1:35" ht="18" customHeight="1" x14ac:dyDescent="0.25">
      <c r="A1030" s="36">
        <f t="shared" si="330"/>
        <v>0.75138891203703706</v>
      </c>
      <c r="B1030" s="42">
        <f t="shared" ref="B1030:B1093" si="336">latitude($U1030,$V1030,$W1030)</f>
        <v>42.092147267644251</v>
      </c>
      <c r="C1030" s="43">
        <f t="shared" ref="C1030:C1093" si="337">longitude($S$2,$S$3,$S$4,$A1030,$U1030,$V1030)</f>
        <v>111.46018316134305</v>
      </c>
      <c r="D1030" s="18">
        <f t="shared" ref="D1030:D1093" si="338">altitude($U1030,$V1030,$W1030)</f>
        <v>4.2059334133209632</v>
      </c>
      <c r="E1030" s="21" t="str">
        <f t="shared" ref="E1030:E1093" si="339">illum2($S$2,$S$3,$S$4,$A1030,$U1030,$V1030,$W1030)</f>
        <v>Umbra</v>
      </c>
      <c r="F1030" s="23">
        <f>IF($E1030&lt;&gt;"Umbra",fracil2($S$2,$S$3,$S$4,$A1030,$Q$2,$O$3,$Q$4,$U1030,$V1030,$W1030),0)</f>
        <v>0</v>
      </c>
      <c r="G1030" s="19">
        <f t="shared" ref="G1030:G1093" si="340">azimuth($S$2,$S$3,$S$4,$A1030,$Q$2,$O$3,$Q$4,$U1030,$V1030,$W1030)</f>
        <v>69.301604625799513</v>
      </c>
      <c r="H1030" s="19">
        <f t="shared" ref="H1030:H1093" si="341">elev($S$2,$S$3,$S$4,$A1030,$Q$2,$O$3,$Q$4,$U1030,$V1030,$W1030)</f>
        <v>-4.6211835260212615</v>
      </c>
      <c r="I1030" s="19">
        <f t="shared" ref="I1030:I1093" si="342">elev($S$2,$S$3,$S$4,$A1030,$Q$2,$O$3,$Q$4,$U1030,$V1030,$W1030)+DEGREES(ACOS($Q$3/$Q$4))</f>
        <v>-3.4131655766263664</v>
      </c>
      <c r="J1030" s="28">
        <f t="shared" ref="J1030:J1093" si="343">vang($S$2,$S$3,$S$4,$A1030,$Q$2,$O$3,$Q$4,$U1030,$V1030,$W1030,$X1030,$Y1030,$Z1030)</f>
        <v>4.7871715795854593E-3</v>
      </c>
      <c r="K1030" s="24">
        <f t="shared" ref="K1030:K1093" si="344">slant_rng($S$2,$S$3,$S$4,$A1030,$Q$2,$O$3,$Q$4,$U1030,$V1030,$W1030)</f>
        <v>1048.1497145293527</v>
      </c>
      <c r="L1030" s="32">
        <f t="shared" ref="L1030:L1093" si="345">radec2("ra",$S$2,$S$3,$S$4,$A1030,$Q$2,$O$3,$Q$4,$U1030,$V1030,$W1030)/24</f>
        <v>0.56289758444289006</v>
      </c>
      <c r="M1030" s="35">
        <f t="shared" ref="M1030:M1093" si="346">radec2("dec",$S$2,$S$3,$S$4,$A1030,$Q$2,$O$3,$Q$4,$U1030,$V1030,$W1030)</f>
        <v>12.951850678137443</v>
      </c>
      <c r="O1030" s="29">
        <f t="shared" ref="O1030:O1093" si="347">DEGREES(ACOS(SIN(RADIANS($B1030))*SIN(RADIANS($O$2))+COS(RADIANS($B1030))*COS(RADIANS($O$2))*COS(RADIANS($C1030-$O$3))))*111.2</f>
        <v>1046.5859220703414</v>
      </c>
      <c r="T1030" s="48">
        <v>0.75138891203703706</v>
      </c>
      <c r="U1030" s="29">
        <v>-1449.93014573452</v>
      </c>
      <c r="V1030" s="29">
        <v>4516.221192333127</v>
      </c>
      <c r="W1030" s="29">
        <v>4256.0225618773238</v>
      </c>
      <c r="X1030" s="4">
        <v>-0.32554413115423064</v>
      </c>
      <c r="Y1030" s="4">
        <v>-0.11752937325501946</v>
      </c>
      <c r="Z1030" s="4">
        <v>-1.1193112571255047E-2</v>
      </c>
      <c r="AA1030" s="3">
        <f t="shared" si="331"/>
        <v>0.34629094801295829</v>
      </c>
      <c r="AB1030" s="3">
        <f t="shared" si="334"/>
        <v>1.4829762475174453E-3</v>
      </c>
      <c r="AC1030" s="3">
        <f t="shared" si="332"/>
        <v>1.6730226975568942E-2</v>
      </c>
      <c r="AD1030" s="48"/>
      <c r="AE1030" s="46">
        <f t="shared" ref="AE1030:AE1093" si="348">$B1030</f>
        <v>42.092147267644251</v>
      </c>
      <c r="AF1030" s="46">
        <f t="shared" ref="AF1030:AF1093" si="349">$C1030-360</f>
        <v>-248.53981683865695</v>
      </c>
      <c r="AG1030" s="47">
        <f t="shared" ref="AG1030:AG1093" si="350">$D1030*1000</f>
        <v>4205.9334133209632</v>
      </c>
      <c r="AH1030" s="45" t="str">
        <f t="shared" si="333"/>
        <v>-248.53982,42.09215,04206</v>
      </c>
      <c r="AI1030" s="44">
        <f t="shared" si="335"/>
        <v>1021.3742130391971</v>
      </c>
    </row>
    <row r="1031" spans="1:35" ht="18" customHeight="1" x14ac:dyDescent="0.25">
      <c r="A1031" s="36">
        <f t="shared" ref="A1031:A1094" si="351">$T1031+$S$5/86400</f>
        <v>0.75140046296296292</v>
      </c>
      <c r="B1031" s="42">
        <f t="shared" si="336"/>
        <v>42.092147265420316</v>
      </c>
      <c r="C1031" s="43">
        <f t="shared" si="337"/>
        <v>111.46018464693843</v>
      </c>
      <c r="D1031" s="18">
        <f t="shared" si="338"/>
        <v>4.189270546793523</v>
      </c>
      <c r="E1031" s="21" t="str">
        <f t="shared" si="339"/>
        <v>Umbra</v>
      </c>
      <c r="F1031" s="23">
        <f>IF($E1031&lt;&gt;"Umbra",fracil2($S$2,$S$3,$S$4,$A1031,$Q$2,$O$3,$Q$4,$U1031,$V1031,$W1031),0)</f>
        <v>0</v>
      </c>
      <c r="G1031" s="19">
        <f t="shared" si="340"/>
        <v>69.30160912348299</v>
      </c>
      <c r="H1031" s="19">
        <f t="shared" si="341"/>
        <v>-4.6220916553503191</v>
      </c>
      <c r="I1031" s="19">
        <f t="shared" si="342"/>
        <v>-3.414073705955424</v>
      </c>
      <c r="J1031" s="28">
        <f t="shared" si="343"/>
        <v>4.7865322175867685E-3</v>
      </c>
      <c r="K1031" s="24">
        <f t="shared" si="344"/>
        <v>1048.1484231429677</v>
      </c>
      <c r="L1031" s="32">
        <f t="shared" si="345"/>
        <v>0.56291108775634202</v>
      </c>
      <c r="M1031" s="35">
        <f t="shared" si="346"/>
        <v>12.951236693728525</v>
      </c>
      <c r="O1031" s="29">
        <f t="shared" si="347"/>
        <v>1046.5860414614986</v>
      </c>
      <c r="T1031" s="48">
        <v>0.75140046296296292</v>
      </c>
      <c r="U1031" s="29">
        <v>-1450.2551478602247</v>
      </c>
      <c r="V1031" s="29">
        <v>4516.1038509697182</v>
      </c>
      <c r="W1031" s="29">
        <v>4256.0113921586399</v>
      </c>
      <c r="X1031" s="4">
        <v>-0.32553800562452667</v>
      </c>
      <c r="Y1031" s="4">
        <v>-0.11754253208547072</v>
      </c>
      <c r="Z1031" s="4">
        <v>-1.1183374674962537E-2</v>
      </c>
      <c r="AA1031" s="3">
        <f t="shared" ref="AA1031:AA1094" si="352">SQRT($X1031*$X1031+$Y1031*$Y1031+$Z1031*$Z1031)</f>
        <v>0.34628934119342869</v>
      </c>
      <c r="AB1031" s="3">
        <f t="shared" si="334"/>
        <v>1.481535944042889E-3</v>
      </c>
      <c r="AC1031" s="3">
        <f t="shared" ref="AC1031:AC1094" si="353">vrel($S$2,$S$3,$S$4,$A1031,$B1031,$C1031,$U1031,$V1031,$W1031,$X1031,$Y1031,$Z1031)</f>
        <v>1.6715728089984672E-2</v>
      </c>
      <c r="AD1031" s="48"/>
      <c r="AE1031" s="46">
        <f t="shared" si="348"/>
        <v>42.092147265420316</v>
      </c>
      <c r="AF1031" s="46">
        <f t="shared" si="349"/>
        <v>-248.53981535306156</v>
      </c>
      <c r="AG1031" s="47">
        <f t="shared" si="350"/>
        <v>4189.270546793523</v>
      </c>
      <c r="AH1031" s="45" t="str">
        <f t="shared" ref="AH1031:AH1094" si="354">CONCATENATE(TEXT($AF1031,"00.00000"),",",TEXT($AE1031,"00.00000"),",",TEXT($AG1031,"00000"))</f>
        <v>-248.53982,42.09215,04189</v>
      </c>
      <c r="AI1031" s="44">
        <f t="shared" si="335"/>
        <v>1021.3743472979821</v>
      </c>
    </row>
    <row r="1032" spans="1:35" ht="18" customHeight="1" x14ac:dyDescent="0.25">
      <c r="A1032" s="36">
        <f t="shared" si="351"/>
        <v>0.75141204861111122</v>
      </c>
      <c r="B1032" s="42">
        <f t="shared" si="336"/>
        <v>42.092147263193425</v>
      </c>
      <c r="C1032" s="43">
        <f t="shared" si="337"/>
        <v>111.46018537628531</v>
      </c>
      <c r="D1032" s="18">
        <f t="shared" si="338"/>
        <v>4.1725751793301242</v>
      </c>
      <c r="E1032" s="21" t="str">
        <f t="shared" si="339"/>
        <v>Umbra</v>
      </c>
      <c r="F1032" s="23">
        <f>IF($E1032&lt;&gt;"Umbra",fracil2($S$2,$S$3,$S$4,$A1032,$Q$2,$O$3,$Q$4,$U1032,$V1032,$W1032),0)</f>
        <v>0</v>
      </c>
      <c r="G1032" s="19">
        <f t="shared" si="340"/>
        <v>69.301612857364503</v>
      </c>
      <c r="H1032" s="19">
        <f t="shared" si="341"/>
        <v>-4.6230012773440397</v>
      </c>
      <c r="I1032" s="19">
        <f t="shared" si="342"/>
        <v>-3.4149833279491446</v>
      </c>
      <c r="J1032" s="28">
        <f t="shared" si="343"/>
        <v>4.7858924601501688E-3</v>
      </c>
      <c r="K1032" s="24">
        <f t="shared" si="344"/>
        <v>1048.1470684703752</v>
      </c>
      <c r="L1032" s="32">
        <f t="shared" si="345"/>
        <v>0.56292463050621377</v>
      </c>
      <c r="M1032" s="35">
        <f t="shared" si="346"/>
        <v>12.950622264548315</v>
      </c>
      <c r="O1032" s="29">
        <f t="shared" si="347"/>
        <v>1046.5861000477084</v>
      </c>
      <c r="T1032" s="48">
        <v>0.75141204861111122</v>
      </c>
      <c r="U1032" s="29">
        <v>-1450.581061535896</v>
      </c>
      <c r="V1032" s="29">
        <v>4515.9861650713674</v>
      </c>
      <c r="W1032" s="29">
        <v>4256.0002006535233</v>
      </c>
      <c r="X1032" s="4">
        <v>-0.32553185653389044</v>
      </c>
      <c r="Y1032" s="4">
        <v>-0.11755574934154887</v>
      </c>
      <c r="Z1032" s="4">
        <v>-1.1173629489882132E-2</v>
      </c>
      <c r="AA1032" s="3">
        <f t="shared" si="352"/>
        <v>0.34628773269873664</v>
      </c>
      <c r="AB1032" s="3">
        <f t="shared" ref="AB1032:AB1095" si="355">-($AC1032-$AC1031)/(($A1032-$A1031)*86400)*1000/9.806</f>
        <v>1.4781967038049308E-3</v>
      </c>
      <c r="AC1032" s="3">
        <f t="shared" si="353"/>
        <v>1.6701218397910101E-2</v>
      </c>
      <c r="AD1032" s="48"/>
      <c r="AE1032" s="46">
        <f t="shared" si="348"/>
        <v>42.092147263193425</v>
      </c>
      <c r="AF1032" s="46">
        <f t="shared" si="349"/>
        <v>-248.53981462371468</v>
      </c>
      <c r="AG1032" s="47">
        <f t="shared" si="350"/>
        <v>4172.5751793301242</v>
      </c>
      <c r="AH1032" s="45" t="str">
        <f t="shared" si="354"/>
        <v>-248.53981,42.09215,04173</v>
      </c>
      <c r="AI1032" s="44">
        <f t="shared" ref="AI1032:AI1095" si="356">IFERROR(ACOS(SIN(RADIANS($B1031))*SIN(RADIANS($B1032))+COS(RADIANS($B1031))*COS(RADIANS($B1032))*COS(RADIANS($C1031-$C1032)))*6371,0)+AI1031</f>
        <v>1021.3743472979821</v>
      </c>
    </row>
    <row r="1033" spans="1:35" ht="18" customHeight="1" x14ac:dyDescent="0.25">
      <c r="A1033" s="36">
        <f t="shared" si="351"/>
        <v>0.75142366898148139</v>
      </c>
      <c r="B1033" s="42">
        <f t="shared" si="336"/>
        <v>42.092147260962378</v>
      </c>
      <c r="C1033" s="43">
        <f t="shared" si="337"/>
        <v>111.46018742897765</v>
      </c>
      <c r="D1033" s="18">
        <f t="shared" si="338"/>
        <v>4.1558391132675752</v>
      </c>
      <c r="E1033" s="21" t="str">
        <f t="shared" si="339"/>
        <v>Umbra</v>
      </c>
      <c r="F1033" s="23">
        <f>IF($E1033&lt;&gt;"Umbra",fracil2($S$2,$S$3,$S$4,$A1033,$Q$2,$O$3,$Q$4,$U1033,$V1033,$W1033),0)</f>
        <v>0</v>
      </c>
      <c r="G1033" s="19">
        <f t="shared" si="340"/>
        <v>69.30161794531115</v>
      </c>
      <c r="H1033" s="19">
        <f t="shared" si="341"/>
        <v>-4.6239136079848846</v>
      </c>
      <c r="I1033" s="19">
        <f t="shared" si="342"/>
        <v>-3.4158956585899896</v>
      </c>
      <c r="J1033" s="28">
        <f t="shared" si="343"/>
        <v>4.785251963292215E-3</v>
      </c>
      <c r="K1033" s="24">
        <f t="shared" si="344"/>
        <v>1048.1458170064263</v>
      </c>
      <c r="L1033" s="32">
        <f t="shared" si="345"/>
        <v>0.56293821124495458</v>
      </c>
      <c r="M1033" s="35">
        <f t="shared" si="346"/>
        <v>12.950005007947286</v>
      </c>
      <c r="O1033" s="29">
        <f t="shared" si="347"/>
        <v>1046.5862650351692</v>
      </c>
      <c r="T1033" s="48">
        <v>0.75142366898148139</v>
      </c>
      <c r="U1033" s="29">
        <v>-1450.9080487285914</v>
      </c>
      <c r="V1033" s="29">
        <v>4515.8680759860135</v>
      </c>
      <c r="W1033" s="29">
        <v>4255.9889818667807</v>
      </c>
      <c r="X1033" s="4">
        <v>-0.32552568053509534</v>
      </c>
      <c r="Y1033" s="4">
        <v>-0.11756903249227586</v>
      </c>
      <c r="Z1033" s="4">
        <v>-1.1163873023602259E-2</v>
      </c>
      <c r="AA1033" s="3">
        <f t="shared" si="352"/>
        <v>0.34628612179799217</v>
      </c>
      <c r="AB1033" s="3">
        <f t="shared" si="355"/>
        <v>1.4754810494516366E-3</v>
      </c>
      <c r="AC1033" s="3">
        <f t="shared" si="353"/>
        <v>1.6686691956470746E-2</v>
      </c>
      <c r="AD1033" s="48"/>
      <c r="AE1033" s="46">
        <f t="shared" si="348"/>
        <v>42.092147260962378</v>
      </c>
      <c r="AF1033" s="46">
        <f t="shared" si="349"/>
        <v>-248.53981257102237</v>
      </c>
      <c r="AG1033" s="47">
        <f t="shared" si="350"/>
        <v>4155.8391132675752</v>
      </c>
      <c r="AH1033" s="45" t="str">
        <f t="shared" si="354"/>
        <v>-248.53981,42.09215,04156</v>
      </c>
      <c r="AI1033" s="44">
        <f t="shared" si="356"/>
        <v>1021.3745117307415</v>
      </c>
    </row>
    <row r="1034" spans="1:35" ht="18" customHeight="1" x14ac:dyDescent="0.25">
      <c r="A1034" s="36">
        <f t="shared" si="351"/>
        <v>0.75143520833333344</v>
      </c>
      <c r="B1034" s="42">
        <f t="shared" si="336"/>
        <v>42.092147258751837</v>
      </c>
      <c r="C1034" s="43">
        <f t="shared" si="337"/>
        <v>111.46018623836289</v>
      </c>
      <c r="D1034" s="18">
        <f t="shared" si="338"/>
        <v>4.1392470439905082</v>
      </c>
      <c r="E1034" s="21" t="str">
        <f t="shared" si="339"/>
        <v>Umbra</v>
      </c>
      <c r="F1034" s="23">
        <f>IF($E1034&lt;&gt;"Umbra",fracil2($S$2,$S$3,$S$4,$A1034,$Q$2,$O$3,$Q$4,$U1034,$V1034,$W1034),0)</f>
        <v>0</v>
      </c>
      <c r="G1034" s="19">
        <f t="shared" si="340"/>
        <v>69.301619706758459</v>
      </c>
      <c r="H1034" s="19">
        <f t="shared" si="341"/>
        <v>-4.6248168980611366</v>
      </c>
      <c r="I1034" s="19">
        <f t="shared" si="342"/>
        <v>-3.4167989486662416</v>
      </c>
      <c r="J1034" s="28">
        <f t="shared" si="343"/>
        <v>4.7846179496770919E-3</v>
      </c>
      <c r="K1034" s="24">
        <f t="shared" si="344"/>
        <v>1048.1443172493666</v>
      </c>
      <c r="L1034" s="32">
        <f t="shared" si="345"/>
        <v>0.56295169786228683</v>
      </c>
      <c r="M1034" s="35">
        <f t="shared" si="346"/>
        <v>12.94939628326633</v>
      </c>
      <c r="O1034" s="29">
        <f t="shared" si="347"/>
        <v>1046.5861692505032</v>
      </c>
      <c r="T1034" s="48">
        <v>0.75143520833333344</v>
      </c>
      <c r="U1034" s="29">
        <v>-1451.232498420761</v>
      </c>
      <c r="V1034" s="29">
        <v>4515.7508878861572</v>
      </c>
      <c r="W1034" s="29">
        <v>4255.977859606367</v>
      </c>
      <c r="X1034" s="4">
        <v>-0.325519545979919</v>
      </c>
      <c r="Y1034" s="4">
        <v>-0.11758223435238173</v>
      </c>
      <c r="Z1034" s="4">
        <v>-1.1154212552796817E-2</v>
      </c>
      <c r="AA1034" s="3">
        <f t="shared" si="352"/>
        <v>0.34628452623232242</v>
      </c>
      <c r="AB1034" s="3">
        <f t="shared" si="355"/>
        <v>1.4712162160850264E-3</v>
      </c>
      <c r="AC1034" s="3">
        <f t="shared" si="353"/>
        <v>1.6672308490494211E-2</v>
      </c>
      <c r="AD1034" s="48"/>
      <c r="AE1034" s="46">
        <f t="shared" si="348"/>
        <v>42.092147258751837</v>
      </c>
      <c r="AF1034" s="46">
        <f t="shared" si="349"/>
        <v>-248.53981376163711</v>
      </c>
      <c r="AG1034" s="47">
        <f t="shared" si="350"/>
        <v>4139.2470439905082</v>
      </c>
      <c r="AH1034" s="45" t="str">
        <f t="shared" si="354"/>
        <v>-248.53981,42.09215,04139</v>
      </c>
      <c r="AI1034" s="44">
        <f t="shared" si="356"/>
        <v>1021.3745117307415</v>
      </c>
    </row>
    <row r="1035" spans="1:35" ht="18" customHeight="1" x14ac:dyDescent="0.25">
      <c r="A1035" s="36">
        <f t="shared" si="351"/>
        <v>0.75144674768518527</v>
      </c>
      <c r="B1035" s="42">
        <f t="shared" si="336"/>
        <v>42.092147256544081</v>
      </c>
      <c r="C1035" s="43">
        <f t="shared" si="337"/>
        <v>111.46018595346759</v>
      </c>
      <c r="D1035" s="18">
        <f t="shared" si="338"/>
        <v>4.1226657189145044</v>
      </c>
      <c r="E1035" s="21" t="str">
        <f t="shared" si="339"/>
        <v>Umbra</v>
      </c>
      <c r="F1035" s="23">
        <f>IF($E1035&lt;&gt;"Umbra",fracil2($S$2,$S$3,$S$4,$A1035,$Q$2,$O$3,$Q$4,$U1035,$V1035,$W1035),0)</f>
        <v>0</v>
      </c>
      <c r="G1035" s="19">
        <f t="shared" si="340"/>
        <v>69.301622388035938</v>
      </c>
      <c r="H1035" s="19">
        <f t="shared" si="341"/>
        <v>-4.625719940437139</v>
      </c>
      <c r="I1035" s="19">
        <f t="shared" si="342"/>
        <v>-3.4177019910422439</v>
      </c>
      <c r="J1035" s="28">
        <f t="shared" si="343"/>
        <v>4.7839851888558556E-3</v>
      </c>
      <c r="K1035" s="24">
        <f t="shared" si="344"/>
        <v>1048.1428914765031</v>
      </c>
      <c r="L1035" s="32">
        <f t="shared" si="345"/>
        <v>0.56296518219702607</v>
      </c>
      <c r="M1035" s="35">
        <f t="shared" si="346"/>
        <v>12.948787040095985</v>
      </c>
      <c r="O1035" s="29">
        <f t="shared" si="347"/>
        <v>1046.5861462887522</v>
      </c>
      <c r="T1035" s="48">
        <v>0.75144674768518527</v>
      </c>
      <c r="U1035" s="29">
        <v>-1451.5570125647557</v>
      </c>
      <c r="V1035" s="29">
        <v>4515.6336611232082</v>
      </c>
      <c r="W1035" s="29">
        <v>4255.9667445482928</v>
      </c>
      <c r="X1035" s="4">
        <v>-0.3255134035573089</v>
      </c>
      <c r="Y1035" s="4">
        <v>-0.11759546111169603</v>
      </c>
      <c r="Z1035" s="4">
        <v>-1.1144570909934814E-2</v>
      </c>
      <c r="AA1035" s="3">
        <f t="shared" si="352"/>
        <v>0.3462829332067961</v>
      </c>
      <c r="AB1035" s="3">
        <f t="shared" si="355"/>
        <v>1.4683440006197288E-3</v>
      </c>
      <c r="AC1035" s="3">
        <f t="shared" si="353"/>
        <v>1.6657953104967971E-2</v>
      </c>
      <c r="AD1035" s="48"/>
      <c r="AE1035" s="46">
        <f t="shared" si="348"/>
        <v>42.092147256544081</v>
      </c>
      <c r="AF1035" s="46">
        <f t="shared" si="349"/>
        <v>-248.5398140465324</v>
      </c>
      <c r="AG1035" s="47">
        <f t="shared" si="350"/>
        <v>4122.6657189145044</v>
      </c>
      <c r="AH1035" s="45" t="str">
        <f t="shared" si="354"/>
        <v>-248.53981,42.09215,04123</v>
      </c>
      <c r="AI1035" s="44">
        <f t="shared" si="356"/>
        <v>1021.3745117307415</v>
      </c>
    </row>
    <row r="1036" spans="1:35" ht="18" customHeight="1" x14ac:dyDescent="0.25">
      <c r="A1036" s="36">
        <f t="shared" si="351"/>
        <v>0.75145835648148152</v>
      </c>
      <c r="B1036" s="42">
        <f t="shared" si="336"/>
        <v>42.092147254325653</v>
      </c>
      <c r="C1036" s="43">
        <f t="shared" si="337"/>
        <v>111.46018682163053</v>
      </c>
      <c r="D1036" s="18">
        <f t="shared" si="338"/>
        <v>4.1059944702619759</v>
      </c>
      <c r="E1036" s="21" t="str">
        <f t="shared" si="339"/>
        <v>Umbra</v>
      </c>
      <c r="F1036" s="23">
        <f>IF($E1036&lt;&gt;"Umbra",fracil2($S$2,$S$3,$S$4,$A1036,$Q$2,$O$3,$Q$4,$U1036,$V1036,$W1036),0)</f>
        <v>0</v>
      </c>
      <c r="G1036" s="19">
        <f t="shared" si="340"/>
        <v>69.301626258898239</v>
      </c>
      <c r="H1036" s="19">
        <f t="shared" si="341"/>
        <v>-4.6266283095352474</v>
      </c>
      <c r="I1036" s="19">
        <f t="shared" si="342"/>
        <v>-3.4186103601403524</v>
      </c>
      <c r="J1036" s="28">
        <f t="shared" si="343"/>
        <v>4.7833496864595369E-3</v>
      </c>
      <c r="K1036" s="24">
        <f t="shared" si="344"/>
        <v>1048.1415510568711</v>
      </c>
      <c r="L1036" s="32">
        <f t="shared" si="345"/>
        <v>0.56297874521301638</v>
      </c>
      <c r="M1036" s="35">
        <f t="shared" si="346"/>
        <v>12.948173330488242</v>
      </c>
      <c r="O1036" s="29">
        <f t="shared" si="347"/>
        <v>1046.5862160364384</v>
      </c>
      <c r="T1036" s="48">
        <v>0.75145835648148152</v>
      </c>
      <c r="U1036" s="29">
        <v>-1451.8835634419092</v>
      </c>
      <c r="V1036" s="29">
        <v>4515.5156830610131</v>
      </c>
      <c r="W1036" s="29">
        <v>4255.9555692113208</v>
      </c>
      <c r="X1036" s="4">
        <v>-0.3255072166381896</v>
      </c>
      <c r="Y1036" s="4">
        <v>-0.11760879096378558</v>
      </c>
      <c r="Z1036" s="4">
        <v>-1.1134887412254001E-2</v>
      </c>
      <c r="AA1036" s="3">
        <f t="shared" si="352"/>
        <v>0.34628133289738311</v>
      </c>
      <c r="AB1036" s="3">
        <f t="shared" si="355"/>
        <v>1.4658914150234743E-3</v>
      </c>
      <c r="AC1036" s="3">
        <f t="shared" si="353"/>
        <v>1.6643535450158665E-2</v>
      </c>
      <c r="AD1036" s="48"/>
      <c r="AE1036" s="46">
        <f t="shared" si="348"/>
        <v>42.092147254325653</v>
      </c>
      <c r="AF1036" s="46">
        <f t="shared" si="349"/>
        <v>-248.53981317836946</v>
      </c>
      <c r="AG1036" s="47">
        <f t="shared" si="350"/>
        <v>4105.9944702619759</v>
      </c>
      <c r="AH1036" s="45" t="str">
        <f t="shared" si="354"/>
        <v>-248.53981,42.09215,04106</v>
      </c>
      <c r="AI1036" s="44">
        <f t="shared" si="356"/>
        <v>1021.3745117307415</v>
      </c>
    </row>
    <row r="1037" spans="1:35" ht="18" customHeight="1" x14ac:dyDescent="0.25">
      <c r="A1037" s="36">
        <f t="shared" si="351"/>
        <v>0.75146991898148141</v>
      </c>
      <c r="B1037" s="42">
        <f t="shared" si="336"/>
        <v>42.092147252119489</v>
      </c>
      <c r="C1037" s="43">
        <f t="shared" si="337"/>
        <v>111.46018746508666</v>
      </c>
      <c r="D1037" s="18">
        <f t="shared" si="338"/>
        <v>4.0894049763846851</v>
      </c>
      <c r="E1037" s="21" t="str">
        <f t="shared" si="339"/>
        <v>Umbra</v>
      </c>
      <c r="F1037" s="23">
        <f>IF($E1037&lt;&gt;"Umbra",fracil2($S$2,$S$3,$S$4,$A1037,$Q$2,$O$3,$Q$4,$U1037,$V1037,$W1037),0)</f>
        <v>0</v>
      </c>
      <c r="G1037" s="19">
        <f t="shared" si="340"/>
        <v>69.301629886434554</v>
      </c>
      <c r="H1037" s="19">
        <f t="shared" si="341"/>
        <v>-4.6275321448627365</v>
      </c>
      <c r="I1037" s="19">
        <f t="shared" si="342"/>
        <v>-3.4195141954678414</v>
      </c>
      <c r="J1037" s="28">
        <f t="shared" si="343"/>
        <v>4.7827180752260242E-3</v>
      </c>
      <c r="K1037" s="24">
        <f t="shared" si="344"/>
        <v>1048.140199749057</v>
      </c>
      <c r="L1037" s="32">
        <f t="shared" si="345"/>
        <v>0.56299225263151798</v>
      </c>
      <c r="M1037" s="35">
        <f t="shared" si="346"/>
        <v>12.947562844088393</v>
      </c>
      <c r="O1037" s="29">
        <f t="shared" si="347"/>
        <v>1046.5862677172654</v>
      </c>
      <c r="T1037" s="48">
        <v>0.75146991898148141</v>
      </c>
      <c r="U1037" s="29">
        <v>-1452.2087886191973</v>
      </c>
      <c r="V1037" s="29">
        <v>4515.3981684231703</v>
      </c>
      <c r="W1037" s="29">
        <v>4255.9444486776265</v>
      </c>
      <c r="X1037" s="4">
        <v>-0.32550104874671637</v>
      </c>
      <c r="Y1037" s="4">
        <v>-0.11762208720301487</v>
      </c>
      <c r="Z1037" s="4">
        <v>-1.1125262289898005E-2</v>
      </c>
      <c r="AA1037" s="3">
        <f t="shared" si="352"/>
        <v>0.34627974181898785</v>
      </c>
      <c r="AB1037" s="3">
        <f t="shared" si="355"/>
        <v>1.4628836875733194E-3</v>
      </c>
      <c r="AC1037" s="3">
        <f t="shared" si="353"/>
        <v>1.6629204757755891E-2</v>
      </c>
      <c r="AD1037" s="48"/>
      <c r="AE1037" s="46">
        <f t="shared" si="348"/>
        <v>42.092147252119489</v>
      </c>
      <c r="AF1037" s="46">
        <f t="shared" si="349"/>
        <v>-248.53981253491332</v>
      </c>
      <c r="AG1037" s="47">
        <f t="shared" si="350"/>
        <v>4089.4049763846851</v>
      </c>
      <c r="AH1037" s="45" t="str">
        <f t="shared" si="354"/>
        <v>-248.53981,42.09215,04089</v>
      </c>
      <c r="AI1037" s="44">
        <f t="shared" si="356"/>
        <v>1021.3745117307415</v>
      </c>
    </row>
    <row r="1038" spans="1:35" ht="18" customHeight="1" x14ac:dyDescent="0.25">
      <c r="A1038" s="36">
        <f t="shared" si="351"/>
        <v>0.75148155092592595</v>
      </c>
      <c r="B1038" s="42">
        <f t="shared" si="336"/>
        <v>42.092147249903533</v>
      </c>
      <c r="C1038" s="43">
        <f t="shared" si="337"/>
        <v>111.46018753237152</v>
      </c>
      <c r="D1038" s="18">
        <f t="shared" si="338"/>
        <v>4.0727326080977946</v>
      </c>
      <c r="E1038" s="21" t="str">
        <f t="shared" si="339"/>
        <v>Umbra</v>
      </c>
      <c r="F1038" s="23">
        <f>IF($E1038&lt;&gt;"Umbra",fracil2($S$2,$S$3,$S$4,$A1038,$Q$2,$O$3,$Q$4,$U1038,$V1038,$W1038),0)</f>
        <v>0</v>
      </c>
      <c r="G1038" s="19">
        <f t="shared" si="340"/>
        <v>69.301632942461936</v>
      </c>
      <c r="H1038" s="19">
        <f t="shared" si="341"/>
        <v>-4.6284402836038181</v>
      </c>
      <c r="I1038" s="19">
        <f t="shared" si="342"/>
        <v>-3.4204223342089231</v>
      </c>
      <c r="J1038" s="28">
        <f t="shared" si="343"/>
        <v>4.7820841162940029E-3</v>
      </c>
      <c r="K1038" s="24">
        <f t="shared" si="344"/>
        <v>1048.1387953743654</v>
      </c>
      <c r="L1038" s="32">
        <f t="shared" si="345"/>
        <v>0.56300583990905984</v>
      </c>
      <c r="M1038" s="35">
        <f t="shared" si="346"/>
        <v>12.946949880604826</v>
      </c>
      <c r="O1038" s="29">
        <f t="shared" si="347"/>
        <v>1046.5862730717615</v>
      </c>
      <c r="T1038" s="48">
        <v>0.75148155092592595</v>
      </c>
      <c r="U1038" s="29">
        <v>-1452.5359156975637</v>
      </c>
      <c r="V1038" s="29">
        <v>4515.2799509051338</v>
      </c>
      <c r="W1038" s="29">
        <v>4255.9332725903414</v>
      </c>
      <c r="X1038" s="4">
        <v>-0.32549483858813649</v>
      </c>
      <c r="Y1038" s="4">
        <v>-0.11763548202668206</v>
      </c>
      <c r="Z1038" s="4">
        <v>-1.1115600251567987E-2</v>
      </c>
      <c r="AA1038" s="3">
        <f t="shared" si="352"/>
        <v>0.34627814419642416</v>
      </c>
      <c r="AB1038" s="3">
        <f t="shared" si="355"/>
        <v>1.4597223625600882E-3</v>
      </c>
      <c r="AC1038" s="3">
        <f t="shared" si="353"/>
        <v>1.6614819150081079E-2</v>
      </c>
      <c r="AD1038" s="48"/>
      <c r="AE1038" s="46">
        <f t="shared" si="348"/>
        <v>42.092147249903533</v>
      </c>
      <c r="AF1038" s="46">
        <f t="shared" si="349"/>
        <v>-248.53981246762848</v>
      </c>
      <c r="AG1038" s="47">
        <f t="shared" si="350"/>
        <v>4072.7326080977946</v>
      </c>
      <c r="AH1038" s="45" t="str">
        <f t="shared" si="354"/>
        <v>-248.53981,42.09215,04073</v>
      </c>
      <c r="AI1038" s="44">
        <f t="shared" si="356"/>
        <v>1021.3745117307415</v>
      </c>
    </row>
    <row r="1039" spans="1:35" ht="18" customHeight="1" x14ac:dyDescent="0.25">
      <c r="A1039" s="36">
        <f t="shared" si="351"/>
        <v>0.75149312499999998</v>
      </c>
      <c r="B1039" s="42">
        <f t="shared" si="336"/>
        <v>42.092147247703778</v>
      </c>
      <c r="C1039" s="43">
        <f t="shared" si="337"/>
        <v>111.46018381892111</v>
      </c>
      <c r="D1039" s="18">
        <f t="shared" si="338"/>
        <v>4.0561725388206469</v>
      </c>
      <c r="E1039" s="21" t="str">
        <f t="shared" si="339"/>
        <v>Umbra</v>
      </c>
      <c r="F1039" s="23">
        <f>IF($E1039&lt;&gt;"Umbra",fracil2($S$2,$S$3,$S$4,$A1039,$Q$2,$O$3,$Q$4,$U1039,$V1039,$W1039),0)</f>
        <v>0</v>
      </c>
      <c r="G1039" s="19">
        <f t="shared" si="340"/>
        <v>69.301632130734703</v>
      </c>
      <c r="H1039" s="19">
        <f t="shared" si="341"/>
        <v>-4.6293409110082226</v>
      </c>
      <c r="I1039" s="19">
        <f t="shared" si="342"/>
        <v>-3.4213229616133276</v>
      </c>
      <c r="J1039" s="28">
        <f t="shared" si="343"/>
        <v>4.78145553642461E-3</v>
      </c>
      <c r="K1039" s="24">
        <f t="shared" si="344"/>
        <v>1048.1370968100409</v>
      </c>
      <c r="L1039" s="32">
        <f t="shared" si="345"/>
        <v>0.56301936055598978</v>
      </c>
      <c r="M1039" s="35">
        <f t="shared" si="346"/>
        <v>12.946344820798366</v>
      </c>
      <c r="O1039" s="29">
        <f t="shared" si="347"/>
        <v>1046.5859744430259</v>
      </c>
      <c r="T1039" s="48">
        <v>0.75149312499999998</v>
      </c>
      <c r="U1039" s="29">
        <v>-1452.861114580468</v>
      </c>
      <c r="V1039" s="29">
        <v>4515.162414608546</v>
      </c>
      <c r="W1039" s="29">
        <v>4255.9221717812225</v>
      </c>
      <c r="X1039" s="4">
        <v>-0.32548865796311482</v>
      </c>
      <c r="Y1039" s="4">
        <v>-0.11764882141356485</v>
      </c>
      <c r="Z1039" s="4">
        <v>-1.1106017089834245E-2</v>
      </c>
      <c r="AA1039" s="3">
        <f t="shared" si="352"/>
        <v>0.34627655892108855</v>
      </c>
      <c r="AB1039" s="3">
        <f t="shared" si="355"/>
        <v>1.4550399682675111E-3</v>
      </c>
      <c r="AC1039" s="3">
        <f t="shared" si="353"/>
        <v>1.6600551028152291E-2</v>
      </c>
      <c r="AD1039" s="48"/>
      <c r="AE1039" s="46">
        <f t="shared" si="348"/>
        <v>42.092147247703778</v>
      </c>
      <c r="AF1039" s="46">
        <f t="shared" si="349"/>
        <v>-248.53981618107889</v>
      </c>
      <c r="AG1039" s="47">
        <f t="shared" si="350"/>
        <v>4056.1725388206469</v>
      </c>
      <c r="AH1039" s="45" t="str">
        <f t="shared" si="354"/>
        <v>-248.53982,42.09215,04056</v>
      </c>
      <c r="AI1039" s="44">
        <f t="shared" si="356"/>
        <v>1021.3748119425128</v>
      </c>
    </row>
    <row r="1040" spans="1:35" ht="18" customHeight="1" x14ac:dyDescent="0.25">
      <c r="A1040" s="36">
        <f t="shared" si="351"/>
        <v>0.75150469907407402</v>
      </c>
      <c r="B1040" s="42">
        <f t="shared" si="336"/>
        <v>42.092147245503831</v>
      </c>
      <c r="C1040" s="43">
        <f t="shared" si="337"/>
        <v>111.46018660982828</v>
      </c>
      <c r="D1040" s="18">
        <f t="shared" si="338"/>
        <v>4.0396009679334384</v>
      </c>
      <c r="E1040" s="21" t="str">
        <f t="shared" si="339"/>
        <v>Umbra</v>
      </c>
      <c r="F1040" s="23">
        <f>IF($E1040&lt;&gt;"Umbra",fracil2($S$2,$S$3,$S$4,$A1040,$Q$2,$O$3,$Q$4,$U1040,$V1040,$W1040),0)</f>
        <v>0</v>
      </c>
      <c r="G1040" s="19">
        <f t="shared" si="340"/>
        <v>69.301637940535514</v>
      </c>
      <c r="H1040" s="19">
        <f t="shared" si="341"/>
        <v>-4.6302445707898903</v>
      </c>
      <c r="I1040" s="19">
        <f t="shared" si="342"/>
        <v>-3.4222266213949952</v>
      </c>
      <c r="J1040" s="28">
        <f t="shared" si="343"/>
        <v>4.7808270457873813E-3</v>
      </c>
      <c r="K1040" s="24">
        <f t="shared" si="344"/>
        <v>1048.1359204408166</v>
      </c>
      <c r="L1040" s="32">
        <f t="shared" si="345"/>
        <v>0.56303287503684629</v>
      </c>
      <c r="M1040" s="35">
        <f t="shared" si="346"/>
        <v>12.945732823796799</v>
      </c>
      <c r="O1040" s="29">
        <f t="shared" si="347"/>
        <v>1046.5861987861842</v>
      </c>
      <c r="T1040" s="48">
        <v>0.75150469907407402</v>
      </c>
      <c r="U1040" s="29">
        <v>-1453.1868139910498</v>
      </c>
      <c r="V1040" s="29">
        <v>4515.0446817999091</v>
      </c>
      <c r="W1040" s="29">
        <v>4255.9110632622742</v>
      </c>
      <c r="X1040" s="4">
        <v>-0.32548246165380001</v>
      </c>
      <c r="Y1040" s="4">
        <v>-0.11766220202609425</v>
      </c>
      <c r="Z1040" s="4">
        <v>-1.1096438427116806E-2</v>
      </c>
      <c r="AA1040" s="3">
        <f t="shared" si="352"/>
        <v>0.34627497393778489</v>
      </c>
      <c r="AB1040" s="3">
        <f t="shared" si="355"/>
        <v>1.4543519814111997E-3</v>
      </c>
      <c r="AC1040" s="3">
        <f t="shared" si="353"/>
        <v>1.6586289652622616E-2</v>
      </c>
      <c r="AD1040" s="48"/>
      <c r="AE1040" s="46">
        <f t="shared" si="348"/>
        <v>42.092147245503831</v>
      </c>
      <c r="AF1040" s="46">
        <f t="shared" si="349"/>
        <v>-248.53981339017173</v>
      </c>
      <c r="AG1040" s="47">
        <f t="shared" si="350"/>
        <v>4039.6009679334384</v>
      </c>
      <c r="AH1040" s="45" t="str">
        <f t="shared" si="354"/>
        <v>-248.53981,42.09215,04040</v>
      </c>
      <c r="AI1040" s="44">
        <f t="shared" si="356"/>
        <v>1021.3750444855514</v>
      </c>
    </row>
    <row r="1041" spans="1:35" ht="18" customHeight="1" x14ac:dyDescent="0.25">
      <c r="A1041" s="36">
        <f t="shared" si="351"/>
        <v>0.75151626157407403</v>
      </c>
      <c r="B1041" s="42">
        <f t="shared" si="336"/>
        <v>42.092147243311217</v>
      </c>
      <c r="C1041" s="43">
        <f t="shared" si="337"/>
        <v>111.46018589294255</v>
      </c>
      <c r="D1041" s="18">
        <f t="shared" si="338"/>
        <v>4.0230741056248007</v>
      </c>
      <c r="E1041" s="21" t="str">
        <f t="shared" si="339"/>
        <v>Umbra</v>
      </c>
      <c r="F1041" s="23">
        <f>IF($E1041&lt;&gt;"Umbra",fracil2($S$2,$S$3,$S$4,$A1041,$Q$2,$O$3,$Q$4,$U1041,$V1041,$W1041),0)</f>
        <v>0</v>
      </c>
      <c r="G1041" s="19">
        <f t="shared" si="340"/>
        <v>69.301640172465099</v>
      </c>
      <c r="H1041" s="19">
        <f t="shared" si="341"/>
        <v>-4.6311445016995565</v>
      </c>
      <c r="I1041" s="19">
        <f t="shared" si="342"/>
        <v>-3.4231265523046615</v>
      </c>
      <c r="J1041" s="28">
        <f t="shared" si="343"/>
        <v>4.7802011839049325E-3</v>
      </c>
      <c r="K1041" s="24">
        <f t="shared" si="344"/>
        <v>1048.134466106585</v>
      </c>
      <c r="L1041" s="32">
        <f t="shared" si="345"/>
        <v>0.56304637679416547</v>
      </c>
      <c r="M1041" s="35">
        <f t="shared" si="346"/>
        <v>12.94512597269971</v>
      </c>
      <c r="O1041" s="29">
        <f t="shared" si="347"/>
        <v>1046.5861410913526</v>
      </c>
      <c r="T1041" s="48">
        <v>0.75151626157407403</v>
      </c>
      <c r="U1041" s="29">
        <v>-1453.5119084732419</v>
      </c>
      <c r="V1041" s="29">
        <v>4514.9271520599086</v>
      </c>
      <c r="W1041" s="29">
        <v>4255.8999847132054</v>
      </c>
      <c r="X1041" s="4">
        <v>-0.32547627062784557</v>
      </c>
      <c r="Y1041" s="4">
        <v>-0.11767557862422577</v>
      </c>
      <c r="Z1041" s="4">
        <v>-1.1086896941884628E-2</v>
      </c>
      <c r="AA1041" s="3">
        <f t="shared" si="352"/>
        <v>0.34627339463227158</v>
      </c>
      <c r="AB1041" s="3">
        <f t="shared" si="355"/>
        <v>1.450152513805217E-3</v>
      </c>
      <c r="AC1041" s="3">
        <f t="shared" si="353"/>
        <v>1.6572083677267785E-2</v>
      </c>
      <c r="AD1041" s="48"/>
      <c r="AE1041" s="46">
        <f t="shared" si="348"/>
        <v>42.092147243311217</v>
      </c>
      <c r="AF1041" s="46">
        <f t="shared" si="349"/>
        <v>-248.53981410705745</v>
      </c>
      <c r="AG1041" s="47">
        <f t="shared" si="350"/>
        <v>4023.0741056248007</v>
      </c>
      <c r="AH1041" s="45" t="str">
        <f t="shared" si="354"/>
        <v>-248.53981,42.09215,04023</v>
      </c>
      <c r="AI1041" s="44">
        <f t="shared" si="356"/>
        <v>1021.3750444855514</v>
      </c>
    </row>
    <row r="1042" spans="1:35" ht="18" customHeight="1" x14ac:dyDescent="0.25">
      <c r="A1042" s="36">
        <f t="shared" si="351"/>
        <v>0.75152777777777768</v>
      </c>
      <c r="B1042" s="42">
        <f t="shared" si="336"/>
        <v>42.092147241130156</v>
      </c>
      <c r="C1042" s="43">
        <f t="shared" si="337"/>
        <v>111.46018567257632</v>
      </c>
      <c r="D1042" s="18">
        <f t="shared" si="338"/>
        <v>4.006625581064327</v>
      </c>
      <c r="E1042" s="21" t="str">
        <f t="shared" si="339"/>
        <v>Umbra</v>
      </c>
      <c r="F1042" s="23">
        <f>IF($E1042&lt;&gt;"Umbra",fracil2($S$2,$S$3,$S$4,$A1042,$Q$2,$O$3,$Q$4,$U1042,$V1042,$W1042),0)</f>
        <v>0</v>
      </c>
      <c r="G1042" s="19">
        <f t="shared" si="340"/>
        <v>69.301642895671321</v>
      </c>
      <c r="H1042" s="19">
        <f t="shared" si="341"/>
        <v>-4.6320403515054505</v>
      </c>
      <c r="I1042" s="19">
        <f t="shared" si="342"/>
        <v>-3.4240224021105554</v>
      </c>
      <c r="J1042" s="28">
        <f t="shared" si="343"/>
        <v>4.7795790380187166E-3</v>
      </c>
      <c r="K1042" s="24">
        <f t="shared" si="344"/>
        <v>1048.1330585665553</v>
      </c>
      <c r="L1042" s="32">
        <f t="shared" si="345"/>
        <v>0.56305982251776854</v>
      </c>
      <c r="M1042" s="35">
        <f t="shared" si="346"/>
        <v>12.944521497812095</v>
      </c>
      <c r="O1042" s="29">
        <f t="shared" si="347"/>
        <v>1046.5861233186176</v>
      </c>
      <c r="T1042" s="48">
        <v>0.75152777777777768</v>
      </c>
      <c r="U1042" s="29">
        <v>-1453.8357335864171</v>
      </c>
      <c r="V1042" s="29">
        <v>4514.8100657113146</v>
      </c>
      <c r="W1042" s="29">
        <v>4255.8889586768382</v>
      </c>
      <c r="X1042" s="4">
        <v>-0.32547009769870289</v>
      </c>
      <c r="Y1042" s="4">
        <v>-0.11768892333750267</v>
      </c>
      <c r="Z1042" s="4">
        <v>-1.1077411636187993E-2</v>
      </c>
      <c r="AA1042" s="3">
        <f t="shared" si="352"/>
        <v>0.34627182417993718</v>
      </c>
      <c r="AB1042" s="3">
        <f t="shared" si="355"/>
        <v>1.4474047044246608E-3</v>
      </c>
      <c r="AC1042" s="3">
        <f t="shared" si="353"/>
        <v>1.6557961392988915E-2</v>
      </c>
      <c r="AD1042" s="48"/>
      <c r="AE1042" s="46">
        <f t="shared" si="348"/>
        <v>42.092147241130156</v>
      </c>
      <c r="AF1042" s="46">
        <f t="shared" si="349"/>
        <v>-248.5398143274237</v>
      </c>
      <c r="AG1042" s="47">
        <f t="shared" si="350"/>
        <v>4006.625581064327</v>
      </c>
      <c r="AH1042" s="45" t="str">
        <f t="shared" si="354"/>
        <v>-248.53981,42.09215,04007</v>
      </c>
      <c r="AI1042" s="44">
        <f t="shared" si="356"/>
        <v>1021.3750444855514</v>
      </c>
    </row>
    <row r="1043" spans="1:35" ht="18" customHeight="1" x14ac:dyDescent="0.25">
      <c r="A1043" s="36">
        <f t="shared" si="351"/>
        <v>0.75153937500000001</v>
      </c>
      <c r="B1043" s="42">
        <f t="shared" si="336"/>
        <v>42.092147238936938</v>
      </c>
      <c r="C1043" s="43">
        <f t="shared" si="337"/>
        <v>111.46018522893469</v>
      </c>
      <c r="D1043" s="18">
        <f t="shared" si="338"/>
        <v>3.9900764264648387</v>
      </c>
      <c r="E1043" s="21" t="str">
        <f t="shared" si="339"/>
        <v>Umbra</v>
      </c>
      <c r="F1043" s="23">
        <f>IF($E1043&lt;&gt;"Umbra",fracil2($S$2,$S$3,$S$4,$A1043,$Q$2,$O$3,$Q$4,$U1043,$V1043,$W1043),0)</f>
        <v>0</v>
      </c>
      <c r="G1043" s="19">
        <f t="shared" si="340"/>
        <v>69.301645409691773</v>
      </c>
      <c r="H1043" s="19">
        <f t="shared" si="341"/>
        <v>-4.6329416024954835</v>
      </c>
      <c r="I1043" s="19">
        <f t="shared" si="342"/>
        <v>-3.4249236531005884</v>
      </c>
      <c r="J1043" s="28">
        <f t="shared" si="343"/>
        <v>4.7789539069469636E-3</v>
      </c>
      <c r="K1043" s="24">
        <f t="shared" si="344"/>
        <v>1048.1316248326987</v>
      </c>
      <c r="L1043" s="32">
        <f t="shared" si="345"/>
        <v>0.56307336134867425</v>
      </c>
      <c r="M1043" s="35">
        <f t="shared" si="346"/>
        <v>12.943913539797915</v>
      </c>
      <c r="O1043" s="29">
        <f t="shared" si="347"/>
        <v>1046.5860875935107</v>
      </c>
      <c r="T1043" s="48">
        <v>0.75153937500000001</v>
      </c>
      <c r="U1043" s="29">
        <v>-1454.1618133900743</v>
      </c>
      <c r="V1043" s="29">
        <v>4514.6921484558998</v>
      </c>
      <c r="W1043" s="29">
        <v>4255.8778651846451</v>
      </c>
      <c r="X1043" s="4">
        <v>-0.32546387547487043</v>
      </c>
      <c r="Y1043" s="4">
        <v>-0.11770238204223044</v>
      </c>
      <c r="Z1043" s="4">
        <v>-1.1067879902558342E-2</v>
      </c>
      <c r="AA1043" s="3">
        <f t="shared" si="352"/>
        <v>0.34627024553529656</v>
      </c>
      <c r="AB1043" s="3">
        <f t="shared" si="355"/>
        <v>1.4443233887336524E-3</v>
      </c>
      <c r="AC1043" s="3">
        <f t="shared" si="353"/>
        <v>1.6543770031768566E-2</v>
      </c>
      <c r="AD1043" s="48"/>
      <c r="AE1043" s="46">
        <f t="shared" si="348"/>
        <v>42.092147238936938</v>
      </c>
      <c r="AF1043" s="46">
        <f t="shared" si="349"/>
        <v>-248.53981477106532</v>
      </c>
      <c r="AG1043" s="47">
        <f t="shared" si="350"/>
        <v>3990.0764264648387</v>
      </c>
      <c r="AH1043" s="45" t="str">
        <f t="shared" si="354"/>
        <v>-248.53981,42.09215,03990</v>
      </c>
      <c r="AI1043" s="44">
        <f t="shared" si="356"/>
        <v>1021.3750444855514</v>
      </c>
    </row>
    <row r="1044" spans="1:35" ht="18" customHeight="1" x14ac:dyDescent="0.25">
      <c r="A1044" s="36">
        <f t="shared" si="351"/>
        <v>0.75155098379629637</v>
      </c>
      <c r="B1044" s="42">
        <f t="shared" si="336"/>
        <v>42.09214723674495</v>
      </c>
      <c r="C1044" s="43">
        <f t="shared" si="337"/>
        <v>111.4601846224825</v>
      </c>
      <c r="D1044" s="18">
        <f t="shared" si="338"/>
        <v>3.9735256500043761</v>
      </c>
      <c r="E1044" s="21" t="str">
        <f t="shared" si="339"/>
        <v>Umbra</v>
      </c>
      <c r="F1044" s="23">
        <f>IF($E1044&lt;&gt;"Umbra",fracil2($S$2,$S$3,$S$4,$A1044,$Q$2,$O$3,$Q$4,$U1044,$V1044,$W1044),0)</f>
        <v>0</v>
      </c>
      <c r="G1044" s="19">
        <f t="shared" si="340"/>
        <v>69.301647758318424</v>
      </c>
      <c r="H1044" s="19">
        <f t="shared" si="341"/>
        <v>-4.6338428841898507</v>
      </c>
      <c r="I1044" s="19">
        <f t="shared" si="342"/>
        <v>-3.4258249347949556</v>
      </c>
      <c r="J1044" s="28">
        <f t="shared" si="343"/>
        <v>4.778329470601206E-3</v>
      </c>
      <c r="K1044" s="24">
        <f t="shared" si="344"/>
        <v>1048.1301781326131</v>
      </c>
      <c r="L1044" s="32">
        <f t="shared" si="345"/>
        <v>0.56308691215973017</v>
      </c>
      <c r="M1044" s="35">
        <f t="shared" si="346"/>
        <v>12.943305677948615</v>
      </c>
      <c r="O1044" s="29">
        <f t="shared" si="347"/>
        <v>1046.5860387779126</v>
      </c>
      <c r="T1044" s="48">
        <v>0.75155098379629637</v>
      </c>
      <c r="U1044" s="29">
        <v>-1454.4881997344405</v>
      </c>
      <c r="V1044" s="29">
        <v>4514.5741045771574</v>
      </c>
      <c r="W1044" s="29">
        <v>4255.8667706053775</v>
      </c>
      <c r="X1044" s="4">
        <v>-0.32545764139674221</v>
      </c>
      <c r="Y1044" s="4">
        <v>-0.11771587349960413</v>
      </c>
      <c r="Z1044" s="4">
        <v>-1.1058357896652209E-2</v>
      </c>
      <c r="AA1044" s="3">
        <f t="shared" si="352"/>
        <v>0.34626866808401202</v>
      </c>
      <c r="AB1044" s="3">
        <f t="shared" si="355"/>
        <v>1.4414059666368992E-3</v>
      </c>
      <c r="AC1044" s="3">
        <f t="shared" si="353"/>
        <v>1.6529593201578922E-2</v>
      </c>
      <c r="AD1044" s="48"/>
      <c r="AE1044" s="46">
        <f t="shared" si="348"/>
        <v>42.09214723674495</v>
      </c>
      <c r="AF1044" s="46">
        <f t="shared" si="349"/>
        <v>-248.5398153775175</v>
      </c>
      <c r="AG1044" s="47">
        <f t="shared" si="350"/>
        <v>3973.5256500043761</v>
      </c>
      <c r="AH1044" s="45" t="str">
        <f t="shared" si="354"/>
        <v>-248.53982,42.09215,03974</v>
      </c>
      <c r="AI1044" s="44">
        <f t="shared" si="356"/>
        <v>1021.3751394208493</v>
      </c>
    </row>
    <row r="1045" spans="1:35" ht="18" customHeight="1" x14ac:dyDescent="0.25">
      <c r="A1045" s="36">
        <f t="shared" si="351"/>
        <v>0.75156256944444444</v>
      </c>
      <c r="B1045" s="42">
        <f t="shared" si="336"/>
        <v>42.092147234559022</v>
      </c>
      <c r="C1045" s="43">
        <f t="shared" si="337"/>
        <v>111.46018664282845</v>
      </c>
      <c r="D1045" s="18">
        <f t="shared" si="338"/>
        <v>3.9570117072989888</v>
      </c>
      <c r="E1045" s="21" t="str">
        <f t="shared" si="339"/>
        <v>Umbra</v>
      </c>
      <c r="F1045" s="23">
        <f>IF($E1045&lt;&gt;"Umbra",fracil2($S$2,$S$3,$S$4,$A1045,$Q$2,$O$3,$Q$4,$U1045,$V1045,$W1045),0)</f>
        <v>0</v>
      </c>
      <c r="G1045" s="19">
        <f t="shared" si="340"/>
        <v>69.301652773632028</v>
      </c>
      <c r="H1045" s="19">
        <f t="shared" si="341"/>
        <v>-4.6347431315976824</v>
      </c>
      <c r="I1045" s="19">
        <f t="shared" si="342"/>
        <v>-3.4267251822027873</v>
      </c>
      <c r="J1045" s="28">
        <f t="shared" si="343"/>
        <v>4.7777070532431243E-3</v>
      </c>
      <c r="K1045" s="24">
        <f t="shared" si="344"/>
        <v>1048.1289459780251</v>
      </c>
      <c r="L1045" s="32">
        <f t="shared" si="345"/>
        <v>0.56310043248094888</v>
      </c>
      <c r="M1045" s="35">
        <f t="shared" si="346"/>
        <v>12.942696535971942</v>
      </c>
      <c r="O1045" s="29">
        <f t="shared" si="347"/>
        <v>1046.5862011657448</v>
      </c>
      <c r="T1045" s="48">
        <v>0.75156256944444444</v>
      </c>
      <c r="U1045" s="29">
        <v>-1454.8141335462667</v>
      </c>
      <c r="V1045" s="29">
        <v>4514.45620859671</v>
      </c>
      <c r="W1045" s="29">
        <v>4255.8557007172003</v>
      </c>
      <c r="X1045" s="4">
        <v>-0.32545141004994255</v>
      </c>
      <c r="Y1045" s="4">
        <v>-0.11772936604094279</v>
      </c>
      <c r="Z1045" s="4">
        <v>-1.1048867488288072E-2</v>
      </c>
      <c r="AA1045" s="3">
        <f t="shared" si="352"/>
        <v>0.34626709546919399</v>
      </c>
      <c r="AB1045" s="3">
        <f t="shared" si="355"/>
        <v>1.4394883612409107E-3</v>
      </c>
      <c r="AC1045" s="3">
        <f t="shared" si="353"/>
        <v>1.6515463463085817E-2</v>
      </c>
      <c r="AD1045" s="48"/>
      <c r="AE1045" s="46">
        <f t="shared" si="348"/>
        <v>42.092147234559022</v>
      </c>
      <c r="AF1045" s="46">
        <f t="shared" si="349"/>
        <v>-248.53981335717157</v>
      </c>
      <c r="AG1045" s="47">
        <f t="shared" si="350"/>
        <v>3957.0117072989888</v>
      </c>
      <c r="AH1045" s="45" t="str">
        <f t="shared" si="354"/>
        <v>-248.53981,42.09215,03957</v>
      </c>
      <c r="AI1045" s="44">
        <f t="shared" si="356"/>
        <v>1021.3753038536087</v>
      </c>
    </row>
    <row r="1046" spans="1:35" ht="18" customHeight="1" x14ac:dyDescent="0.25">
      <c r="A1046" s="36">
        <f t="shared" si="351"/>
        <v>0.75157406250000003</v>
      </c>
      <c r="B1046" s="42">
        <f t="shared" si="336"/>
        <v>42.092147232394183</v>
      </c>
      <c r="C1046" s="43">
        <f t="shared" si="337"/>
        <v>111.46018790510144</v>
      </c>
      <c r="D1046" s="18">
        <f t="shared" si="338"/>
        <v>3.9406466624259338</v>
      </c>
      <c r="E1046" s="21" t="str">
        <f t="shared" si="339"/>
        <v>Umbra</v>
      </c>
      <c r="F1046" s="23">
        <f>IF($E1046&lt;&gt;"Umbra",fracil2($S$2,$S$3,$S$4,$A1046,$Q$2,$O$3,$Q$4,$U1046,$V1046,$W1046),0)</f>
        <v>0</v>
      </c>
      <c r="G1046" s="19">
        <f t="shared" si="340"/>
        <v>69.301656990782845</v>
      </c>
      <c r="H1046" s="19">
        <f t="shared" si="341"/>
        <v>-4.6356349909913703</v>
      </c>
      <c r="I1046" s="19">
        <f t="shared" si="342"/>
        <v>-3.4276170415964753</v>
      </c>
      <c r="J1046" s="28">
        <f t="shared" si="343"/>
        <v>4.7770910717117709E-3</v>
      </c>
      <c r="K1046" s="24">
        <f t="shared" si="344"/>
        <v>1048.1276657085816</v>
      </c>
      <c r="L1046" s="32">
        <f t="shared" si="345"/>
        <v>0.56311384365003259</v>
      </c>
      <c r="M1046" s="35">
        <f t="shared" si="346"/>
        <v>12.942093619561776</v>
      </c>
      <c r="O1046" s="29">
        <f t="shared" si="347"/>
        <v>1046.5863026025252</v>
      </c>
      <c r="T1046" s="48">
        <v>0.75157406250000003</v>
      </c>
      <c r="U1046" s="29">
        <v>-1455.1373985383259</v>
      </c>
      <c r="V1046" s="29">
        <v>4514.3392623867267</v>
      </c>
      <c r="W1046" s="29">
        <v>4255.8447306406933</v>
      </c>
      <c r="X1046" s="4">
        <v>-0.32544522352777533</v>
      </c>
      <c r="Y1046" s="4">
        <v>-0.11774276874515775</v>
      </c>
      <c r="Z1046" s="4">
        <v>-1.1039474000537862E-2</v>
      </c>
      <c r="AA1046" s="3">
        <f t="shared" si="352"/>
        <v>0.34626553841672997</v>
      </c>
      <c r="AB1046" s="3">
        <f t="shared" si="355"/>
        <v>1.4362614331057957E-3</v>
      </c>
      <c r="AC1046" s="3">
        <f t="shared" si="353"/>
        <v>1.6501478071330032E-2</v>
      </c>
      <c r="AD1046" s="48"/>
      <c r="AE1046" s="46">
        <f t="shared" si="348"/>
        <v>42.092147232394183</v>
      </c>
      <c r="AF1046" s="46">
        <f t="shared" si="349"/>
        <v>-248.53981209489856</v>
      </c>
      <c r="AG1046" s="47">
        <f t="shared" si="350"/>
        <v>3940.6466624259338</v>
      </c>
      <c r="AH1046" s="45" t="str">
        <f t="shared" si="354"/>
        <v>-248.53981,42.09215,03941</v>
      </c>
      <c r="AI1046" s="44">
        <f t="shared" si="356"/>
        <v>1021.3753038536087</v>
      </c>
    </row>
    <row r="1047" spans="1:35" ht="18" customHeight="1" x14ac:dyDescent="0.25">
      <c r="A1047" s="36">
        <f t="shared" si="351"/>
        <v>0.75158571759259252</v>
      </c>
      <c r="B1047" s="42">
        <f t="shared" si="336"/>
        <v>42.092147230202691</v>
      </c>
      <c r="C1047" s="43">
        <f t="shared" si="337"/>
        <v>111.46018753365738</v>
      </c>
      <c r="D1047" s="18">
        <f t="shared" si="338"/>
        <v>3.9240715965570416</v>
      </c>
      <c r="E1047" s="21" t="str">
        <f t="shared" si="339"/>
        <v>Umbra</v>
      </c>
      <c r="F1047" s="23">
        <f>IF($E1047&lt;&gt;"Umbra",fracil2($S$2,$S$3,$S$4,$A1047,$Q$2,$O$3,$Q$4,$U1047,$V1047,$W1047),0)</f>
        <v>0</v>
      </c>
      <c r="G1047" s="19">
        <f t="shared" si="340"/>
        <v>69.301659582952496</v>
      </c>
      <c r="H1047" s="19">
        <f t="shared" si="341"/>
        <v>-4.6365376895472812</v>
      </c>
      <c r="I1047" s="19">
        <f t="shared" si="342"/>
        <v>-3.4285197401523861</v>
      </c>
      <c r="J1047" s="28">
        <f t="shared" si="343"/>
        <v>4.7764679830342915E-3</v>
      </c>
      <c r="K1047" s="24">
        <f t="shared" si="344"/>
        <v>1048.1262366261267</v>
      </c>
      <c r="L1047" s="32">
        <f t="shared" si="345"/>
        <v>0.56312744341375598</v>
      </c>
      <c r="M1047" s="35">
        <f t="shared" si="346"/>
        <v>12.941484608764842</v>
      </c>
      <c r="O1047" s="29">
        <f t="shared" si="347"/>
        <v>1046.5862726823807</v>
      </c>
      <c r="T1047" s="48">
        <v>0.75158571759259252</v>
      </c>
      <c r="U1047" s="29">
        <v>-1455.4650862321562</v>
      </c>
      <c r="V1047" s="29">
        <v>4514.2207003273397</v>
      </c>
      <c r="W1047" s="29">
        <v>4255.8336197796734</v>
      </c>
      <c r="X1047" s="4">
        <v>-0.32543894644446625</v>
      </c>
      <c r="Y1047" s="4">
        <v>-0.11775637459861961</v>
      </c>
      <c r="Z1047" s="4">
        <v>-1.1029970386356593E-2</v>
      </c>
      <c r="AA1047" s="3">
        <f t="shared" si="352"/>
        <v>0.34626396270507054</v>
      </c>
      <c r="AB1047" s="3">
        <f t="shared" si="355"/>
        <v>1.4328929135140032E-3</v>
      </c>
      <c r="AC1047" s="3">
        <f t="shared" si="353"/>
        <v>1.6487328766784871E-2</v>
      </c>
      <c r="AD1047" s="48"/>
      <c r="AE1047" s="46">
        <f t="shared" si="348"/>
        <v>42.092147230202691</v>
      </c>
      <c r="AF1047" s="46">
        <f t="shared" si="349"/>
        <v>-248.53981246634262</v>
      </c>
      <c r="AG1047" s="47">
        <f t="shared" si="350"/>
        <v>3924.0715965570416</v>
      </c>
      <c r="AH1047" s="45" t="str">
        <f t="shared" si="354"/>
        <v>-248.53981,42.09215,03924</v>
      </c>
      <c r="AI1047" s="44">
        <f t="shared" si="356"/>
        <v>1021.3753038536087</v>
      </c>
    </row>
    <row r="1048" spans="1:35" ht="18" customHeight="1" x14ac:dyDescent="0.25">
      <c r="A1048" s="36">
        <f t="shared" si="351"/>
        <v>0.75159721064814811</v>
      </c>
      <c r="B1048" s="42">
        <f t="shared" si="336"/>
        <v>42.092147228046258</v>
      </c>
      <c r="C1048" s="43">
        <f t="shared" si="337"/>
        <v>111.46018436716049</v>
      </c>
      <c r="D1048" s="18">
        <f t="shared" si="338"/>
        <v>3.9077519515794847</v>
      </c>
      <c r="E1048" s="21" t="str">
        <f t="shared" si="339"/>
        <v>Umbra</v>
      </c>
      <c r="F1048" s="23">
        <f>IF($E1048&lt;&gt;"Umbra",fracil2($S$2,$S$3,$S$4,$A1048,$Q$2,$O$3,$Q$4,$U1048,$V1048,$W1048),0)</f>
        <v>0</v>
      </c>
      <c r="G1048" s="19">
        <f t="shared" si="340"/>
        <v>69.301659284850217</v>
      </c>
      <c r="H1048" s="19">
        <f t="shared" si="341"/>
        <v>-4.637425446804011</v>
      </c>
      <c r="I1048" s="19">
        <f t="shared" si="342"/>
        <v>-3.429407497409116</v>
      </c>
      <c r="J1048" s="28">
        <f t="shared" si="343"/>
        <v>4.7758553720487987E-3</v>
      </c>
      <c r="K1048" s="24">
        <f t="shared" si="344"/>
        <v>1048.1246046587441</v>
      </c>
      <c r="L1048" s="32">
        <f t="shared" si="345"/>
        <v>0.56314085445093431</v>
      </c>
      <c r="M1048" s="35">
        <f t="shared" si="346"/>
        <v>12.940887776694622</v>
      </c>
      <c r="O1048" s="29">
        <f t="shared" si="347"/>
        <v>1046.5860180315944</v>
      </c>
      <c r="T1048" s="48">
        <v>0.75159721064814811</v>
      </c>
      <c r="U1048" s="29">
        <v>-1455.7879938933629</v>
      </c>
      <c r="V1048" s="29">
        <v>4514.1038521018127</v>
      </c>
      <c r="W1048" s="29">
        <v>4255.8226801365454</v>
      </c>
      <c r="X1048" s="4">
        <v>-0.32543275487057249</v>
      </c>
      <c r="Y1048" s="4">
        <v>-0.11776980213953023</v>
      </c>
      <c r="Z1048" s="4">
        <v>-1.1020624155931661E-2</v>
      </c>
      <c r="AA1048" s="3">
        <f t="shared" si="352"/>
        <v>0.34626241262288421</v>
      </c>
      <c r="AB1048" s="3">
        <f t="shared" si="355"/>
        <v>1.4290261571728298E-3</v>
      </c>
      <c r="AC1048" s="3">
        <f t="shared" si="353"/>
        <v>1.6473413827501074E-2</v>
      </c>
      <c r="AD1048" s="48"/>
      <c r="AE1048" s="46">
        <f t="shared" si="348"/>
        <v>42.092147228046258</v>
      </c>
      <c r="AF1048" s="46">
        <f t="shared" si="349"/>
        <v>-248.53981563283952</v>
      </c>
      <c r="AG1048" s="47">
        <f t="shared" si="350"/>
        <v>3907.7519515794847</v>
      </c>
      <c r="AH1048" s="45" t="str">
        <f t="shared" si="354"/>
        <v>-248.53982,42.09215,03908</v>
      </c>
      <c r="AI1048" s="44">
        <f t="shared" si="356"/>
        <v>1021.3755723711802</v>
      </c>
    </row>
    <row r="1049" spans="1:35" ht="18" customHeight="1" x14ac:dyDescent="0.25">
      <c r="A1049" s="36">
        <f t="shared" si="351"/>
        <v>0.75160884259259264</v>
      </c>
      <c r="B1049" s="42">
        <f t="shared" si="336"/>
        <v>42.092147225863798</v>
      </c>
      <c r="C1049" s="43">
        <f t="shared" si="337"/>
        <v>111.46018706797415</v>
      </c>
      <c r="D1049" s="18">
        <f t="shared" si="338"/>
        <v>3.8912259431162965</v>
      </c>
      <c r="E1049" s="21" t="str">
        <f t="shared" si="339"/>
        <v>Umbra</v>
      </c>
      <c r="F1049" s="23">
        <f>IF($E1049&lt;&gt;"Umbra",fracil2($S$2,$S$3,$S$4,$A1049,$Q$2,$O$3,$Q$4,$U1049,$V1049,$W1049),0)</f>
        <v>0</v>
      </c>
      <c r="G1049" s="19">
        <f t="shared" si="340"/>
        <v>69.301664994863387</v>
      </c>
      <c r="H1049" s="19">
        <f t="shared" si="341"/>
        <v>-4.6383266113896573</v>
      </c>
      <c r="I1049" s="19">
        <f t="shared" si="342"/>
        <v>-3.4303086619947623</v>
      </c>
      <c r="J1049" s="28">
        <f t="shared" si="343"/>
        <v>4.7752355771561528E-3</v>
      </c>
      <c r="K1049" s="24">
        <f t="shared" si="344"/>
        <v>1048.1234272187555</v>
      </c>
      <c r="L1049" s="32">
        <f t="shared" si="345"/>
        <v>0.56315442179909381</v>
      </c>
      <c r="M1049" s="35">
        <f t="shared" si="346"/>
        <v>12.940277483196347</v>
      </c>
      <c r="O1049" s="29">
        <f t="shared" si="347"/>
        <v>1046.5862351313747</v>
      </c>
      <c r="T1049" s="48">
        <v>0.75160884259259264</v>
      </c>
      <c r="U1049" s="29">
        <v>-1456.1152574840951</v>
      </c>
      <c r="V1049" s="29">
        <v>4513.985411753536</v>
      </c>
      <c r="W1049" s="29">
        <v>4255.8116021606775</v>
      </c>
      <c r="X1049" s="4">
        <v>-0.32542647355535337</v>
      </c>
      <c r="Y1049" s="4">
        <v>-0.11778343147673967</v>
      </c>
      <c r="Z1049" s="4">
        <v>-1.1011171075742003E-2</v>
      </c>
      <c r="AA1049" s="3">
        <f t="shared" si="352"/>
        <v>0.34626084432053272</v>
      </c>
      <c r="AB1049" s="3">
        <f t="shared" si="355"/>
        <v>1.4281004529018853E-3</v>
      </c>
      <c r="AC1049" s="3">
        <f t="shared" si="353"/>
        <v>1.6459339854694603E-2</v>
      </c>
      <c r="AD1049" s="48"/>
      <c r="AE1049" s="46">
        <f t="shared" si="348"/>
        <v>42.092147225863798</v>
      </c>
      <c r="AF1049" s="46">
        <f t="shared" si="349"/>
        <v>-248.53981293202585</v>
      </c>
      <c r="AG1049" s="47">
        <f t="shared" si="350"/>
        <v>3891.2259431162965</v>
      </c>
      <c r="AH1049" s="45" t="str">
        <f t="shared" si="354"/>
        <v>-248.53981,42.09215,03891</v>
      </c>
      <c r="AI1049" s="44">
        <f t="shared" si="356"/>
        <v>1021.3758049142187</v>
      </c>
    </row>
    <row r="1050" spans="1:35" ht="18" customHeight="1" x14ac:dyDescent="0.25">
      <c r="A1050" s="36">
        <f t="shared" si="351"/>
        <v>0.75162041666666657</v>
      </c>
      <c r="B1050" s="42">
        <f t="shared" si="336"/>
        <v>42.092147223696209</v>
      </c>
      <c r="C1050" s="43">
        <f t="shared" si="337"/>
        <v>111.46018820284141</v>
      </c>
      <c r="D1050" s="18">
        <f t="shared" si="338"/>
        <v>3.874802313293003</v>
      </c>
      <c r="E1050" s="21" t="str">
        <f t="shared" si="339"/>
        <v>Umbra</v>
      </c>
      <c r="F1050" s="23">
        <f>IF($E1050&lt;&gt;"Umbra",fracil2($S$2,$S$3,$S$4,$A1050,$Q$2,$O$3,$Q$4,$U1050,$V1050,$W1050),0)</f>
        <v>0</v>
      </c>
      <c r="G1050" s="19">
        <f t="shared" si="340"/>
        <v>69.301669092882221</v>
      </c>
      <c r="H1050" s="19">
        <f t="shared" si="341"/>
        <v>-4.6392216239917072</v>
      </c>
      <c r="I1050" s="19">
        <f t="shared" si="342"/>
        <v>-3.4312036745968122</v>
      </c>
      <c r="J1050" s="28">
        <f t="shared" si="343"/>
        <v>4.7746204498741078E-3</v>
      </c>
      <c r="K1050" s="24">
        <f t="shared" si="344"/>
        <v>1048.1221327839007</v>
      </c>
      <c r="L1050" s="32">
        <f t="shared" si="345"/>
        <v>0.56316792111172531</v>
      </c>
      <c r="M1050" s="35">
        <f t="shared" si="346"/>
        <v>12.939672512873702</v>
      </c>
      <c r="O1050" s="29">
        <f t="shared" si="347"/>
        <v>1046.5863263242518</v>
      </c>
      <c r="T1050" s="48">
        <v>0.75162041666666657</v>
      </c>
      <c r="U1050" s="29">
        <v>-1456.4407657106424</v>
      </c>
      <c r="V1050" s="29">
        <v>4513.8675908158193</v>
      </c>
      <c r="W1050" s="29">
        <v>4255.8005928129951</v>
      </c>
      <c r="X1050" s="4">
        <v>-0.32542021985068431</v>
      </c>
      <c r="Y1050" s="4">
        <v>-0.11779700792197127</v>
      </c>
      <c r="Z1050" s="4">
        <v>-1.1001787502269857E-2</v>
      </c>
      <c r="AA1050" s="3">
        <f t="shared" si="352"/>
        <v>0.34625928708307852</v>
      </c>
      <c r="AB1050" s="3">
        <f t="shared" si="355"/>
        <v>1.4246830687534452E-3</v>
      </c>
      <c r="AC1050" s="3">
        <f t="shared" si="353"/>
        <v>1.6445369412522583E-2</v>
      </c>
      <c r="AD1050" s="48"/>
      <c r="AE1050" s="46">
        <f t="shared" si="348"/>
        <v>42.092147223696209</v>
      </c>
      <c r="AF1050" s="46">
        <f t="shared" si="349"/>
        <v>-248.53981179715859</v>
      </c>
      <c r="AG1050" s="47">
        <f t="shared" si="350"/>
        <v>3874.802313293003</v>
      </c>
      <c r="AH1050" s="45" t="str">
        <f t="shared" si="354"/>
        <v>-248.53981,42.09215,03875</v>
      </c>
      <c r="AI1050" s="44">
        <f t="shared" si="356"/>
        <v>1021.3759391730038</v>
      </c>
    </row>
    <row r="1051" spans="1:35" ht="18" customHeight="1" x14ac:dyDescent="0.25">
      <c r="A1051" s="36">
        <f t="shared" si="351"/>
        <v>0.7516320486111111</v>
      </c>
      <c r="B1051" s="42">
        <f t="shared" si="336"/>
        <v>42.092147221523575</v>
      </c>
      <c r="C1051" s="43">
        <f t="shared" si="337"/>
        <v>111.4601843964935</v>
      </c>
      <c r="D1051" s="18">
        <f t="shared" si="338"/>
        <v>3.8583300734962904</v>
      </c>
      <c r="E1051" s="21" t="str">
        <f t="shared" si="339"/>
        <v>Umbra</v>
      </c>
      <c r="F1051" s="23">
        <f>IF($E1051&lt;&gt;"Umbra",fracil2($S$2,$S$3,$S$4,$A1051,$Q$2,$O$3,$Q$4,$U1051,$V1051,$W1051),0)</f>
        <v>0</v>
      </c>
      <c r="G1051" s="19">
        <f t="shared" si="340"/>
        <v>69.301668170976441</v>
      </c>
      <c r="H1051" s="19">
        <f t="shared" si="341"/>
        <v>-4.6401174648767123</v>
      </c>
      <c r="I1051" s="19">
        <f t="shared" si="342"/>
        <v>-3.4320995154818172</v>
      </c>
      <c r="J1051" s="28">
        <f t="shared" si="343"/>
        <v>4.7740044510622831E-3</v>
      </c>
      <c r="K1051" s="24">
        <f t="shared" si="344"/>
        <v>1048.1204372692339</v>
      </c>
      <c r="L1051" s="32">
        <f t="shared" si="345"/>
        <v>0.56318148976147009</v>
      </c>
      <c r="M1051" s="35">
        <f t="shared" si="346"/>
        <v>12.939070689068021</v>
      </c>
      <c r="O1051" s="29">
        <f t="shared" si="347"/>
        <v>1046.5860202269257</v>
      </c>
      <c r="T1051" s="48">
        <v>0.7516320486111111</v>
      </c>
      <c r="U1051" s="29">
        <v>-1456.7675098886393</v>
      </c>
      <c r="V1051" s="29">
        <v>4513.7493065671906</v>
      </c>
      <c r="W1051" s="29">
        <v>4255.7895508804177</v>
      </c>
      <c r="X1051" s="4">
        <v>-0.3254139363700625</v>
      </c>
      <c r="Y1051" s="4">
        <v>-0.11781065595742406</v>
      </c>
      <c r="Z1051" s="4">
        <v>-1.0992386938944235E-2</v>
      </c>
      <c r="AA1051" s="3">
        <f t="shared" si="352"/>
        <v>0.34625772657313092</v>
      </c>
      <c r="AB1051" s="3">
        <f t="shared" si="355"/>
        <v>1.4201569709089983E-3</v>
      </c>
      <c r="AC1051" s="3">
        <f t="shared" si="353"/>
        <v>1.6431373722969458E-2</v>
      </c>
      <c r="AD1051" s="48"/>
      <c r="AE1051" s="46">
        <f t="shared" si="348"/>
        <v>42.092147221523575</v>
      </c>
      <c r="AF1051" s="46">
        <f t="shared" si="349"/>
        <v>-248.5398156035065</v>
      </c>
      <c r="AG1051" s="47">
        <f t="shared" si="350"/>
        <v>3858.3300734962904</v>
      </c>
      <c r="AH1051" s="45" t="str">
        <f t="shared" si="354"/>
        <v>-248.53982,42.09215,03858</v>
      </c>
      <c r="AI1051" s="44">
        <f t="shared" si="356"/>
        <v>1021.3762540377664</v>
      </c>
    </row>
    <row r="1052" spans="1:35" ht="18" customHeight="1" x14ac:dyDescent="0.25">
      <c r="A1052" s="36">
        <f t="shared" si="351"/>
        <v>0.75164350694444437</v>
      </c>
      <c r="B1052" s="42">
        <f t="shared" si="336"/>
        <v>42.092147219383541</v>
      </c>
      <c r="C1052" s="43">
        <f t="shared" si="337"/>
        <v>111.46018576461654</v>
      </c>
      <c r="D1052" s="18">
        <f t="shared" si="338"/>
        <v>3.8420973736119777</v>
      </c>
      <c r="E1052" s="21" t="str">
        <f t="shared" si="339"/>
        <v>Umbra</v>
      </c>
      <c r="F1052" s="23">
        <f>IF($E1052&lt;&gt;"Umbra",fracil2($S$2,$S$3,$S$4,$A1052,$Q$2,$O$3,$Q$4,$U1052,$V1052,$W1052),0)</f>
        <v>0</v>
      </c>
      <c r="G1052" s="19">
        <f t="shared" si="340"/>
        <v>69.301672472180584</v>
      </c>
      <c r="H1052" s="19">
        <f t="shared" si="341"/>
        <v>-4.6410021682119087</v>
      </c>
      <c r="I1052" s="19">
        <f t="shared" si="342"/>
        <v>-3.4329842188170137</v>
      </c>
      <c r="J1052" s="28">
        <f t="shared" si="343"/>
        <v>4.7733978450429969E-3</v>
      </c>
      <c r="K1052" s="24">
        <f t="shared" si="344"/>
        <v>1048.1191781996181</v>
      </c>
      <c r="L1052" s="32">
        <f t="shared" si="345"/>
        <v>0.56319485071799014</v>
      </c>
      <c r="M1052" s="35">
        <f t="shared" si="346"/>
        <v>12.938472491619665</v>
      </c>
      <c r="O1052" s="29">
        <f t="shared" si="347"/>
        <v>1046.5861301750231</v>
      </c>
      <c r="T1052" s="48">
        <v>0.75164350694444437</v>
      </c>
      <c r="U1052" s="29">
        <v>-1457.0897697047376</v>
      </c>
      <c r="V1052" s="29">
        <v>4513.6326300267619</v>
      </c>
      <c r="W1052" s="29">
        <v>4255.7786695201112</v>
      </c>
      <c r="X1052" s="4">
        <v>-0.32540773376008209</v>
      </c>
      <c r="Y1052" s="4">
        <v>-0.11782413461748877</v>
      </c>
      <c r="Z1052" s="4">
        <v>-1.0983132042235767E-2</v>
      </c>
      <c r="AA1052" s="3">
        <f t="shared" si="352"/>
        <v>0.34625618994999896</v>
      </c>
      <c r="AB1052" s="3">
        <f t="shared" si="355"/>
        <v>1.4193302165805052E-3</v>
      </c>
      <c r="AC1052" s="3">
        <f t="shared" si="353"/>
        <v>1.6417594950386784E-2</v>
      </c>
      <c r="AD1052" s="48"/>
      <c r="AE1052" s="46">
        <f t="shared" si="348"/>
        <v>42.092147219383541</v>
      </c>
      <c r="AF1052" s="46">
        <f t="shared" si="349"/>
        <v>-248.53981423538346</v>
      </c>
      <c r="AG1052" s="47">
        <f t="shared" si="350"/>
        <v>3842.0973736119777</v>
      </c>
      <c r="AH1052" s="45" t="str">
        <f t="shared" si="354"/>
        <v>-248.53981,42.09215,03842</v>
      </c>
      <c r="AI1052" s="44">
        <f t="shared" si="356"/>
        <v>1021.3763882965515</v>
      </c>
    </row>
    <row r="1053" spans="1:35" ht="18" customHeight="1" x14ac:dyDescent="0.25">
      <c r="A1053" s="36">
        <f t="shared" si="351"/>
        <v>0.75165508101851852</v>
      </c>
      <c r="B1053" s="42">
        <f t="shared" si="336"/>
        <v>42.092147217225872</v>
      </c>
      <c r="C1053" s="43">
        <f t="shared" si="337"/>
        <v>111.46018552862147</v>
      </c>
      <c r="D1053" s="18">
        <f t="shared" si="338"/>
        <v>3.8257209123767097</v>
      </c>
      <c r="E1053" s="21" t="str">
        <f t="shared" si="339"/>
        <v>Umbra</v>
      </c>
      <c r="F1053" s="23">
        <f>IF($E1053&lt;&gt;"Umbra",fracil2($S$2,$S$3,$S$4,$A1053,$Q$2,$O$3,$Q$4,$U1053,$V1053,$W1053),0)</f>
        <v>0</v>
      </c>
      <c r="G1053" s="19">
        <f t="shared" si="340"/>
        <v>69.301675166653027</v>
      </c>
      <c r="H1053" s="19">
        <f t="shared" si="341"/>
        <v>-4.6418941132310287</v>
      </c>
      <c r="I1053" s="19">
        <f t="shared" si="342"/>
        <v>-3.4338761638361337</v>
      </c>
      <c r="J1053" s="28">
        <f t="shared" si="343"/>
        <v>4.772786672890713E-3</v>
      </c>
      <c r="K1053" s="24">
        <f t="shared" si="344"/>
        <v>1048.1177782997488</v>
      </c>
      <c r="L1053" s="32">
        <f t="shared" si="345"/>
        <v>0.56320834616871929</v>
      </c>
      <c r="M1053" s="35">
        <f t="shared" si="346"/>
        <v>12.937870605506378</v>
      </c>
      <c r="O1053" s="29">
        <f t="shared" si="347"/>
        <v>1046.5861111462627</v>
      </c>
      <c r="T1053" s="48">
        <v>0.75165508101851852</v>
      </c>
      <c r="U1053" s="29">
        <v>-1457.4151524282977</v>
      </c>
      <c r="V1053" s="29">
        <v>4513.5148070039995</v>
      </c>
      <c r="W1053" s="29">
        <v>4255.7676917915314</v>
      </c>
      <c r="X1053" s="4">
        <v>-0.32540146510627715</v>
      </c>
      <c r="Y1053" s="4">
        <v>-0.11783776358956799</v>
      </c>
      <c r="Z1053" s="4">
        <v>-1.0973805777570145E-2</v>
      </c>
      <c r="AA1053" s="3">
        <f t="shared" si="352"/>
        <v>0.34625464102932463</v>
      </c>
      <c r="AB1053" s="3">
        <f t="shared" si="355"/>
        <v>1.4159676779910673E-3</v>
      </c>
      <c r="AC1053" s="3">
        <f t="shared" si="353"/>
        <v>1.6403709971336312E-2</v>
      </c>
      <c r="AD1053" s="48"/>
      <c r="AE1053" s="46">
        <f t="shared" si="348"/>
        <v>42.092147217225872</v>
      </c>
      <c r="AF1053" s="46">
        <f t="shared" si="349"/>
        <v>-248.53981447137852</v>
      </c>
      <c r="AG1053" s="47">
        <f t="shared" si="350"/>
        <v>3825.7209123767097</v>
      </c>
      <c r="AH1053" s="45" t="str">
        <f t="shared" si="354"/>
        <v>-248.53981,42.09215,03826</v>
      </c>
      <c r="AI1053" s="44">
        <f t="shared" si="356"/>
        <v>1021.3763882965515</v>
      </c>
    </row>
    <row r="1054" spans="1:35" ht="18" customHeight="1" x14ac:dyDescent="0.25">
      <c r="A1054" s="36">
        <f t="shared" si="351"/>
        <v>0.75166673611111101</v>
      </c>
      <c r="B1054" s="42">
        <f t="shared" si="336"/>
        <v>42.092147215056357</v>
      </c>
      <c r="C1054" s="43">
        <f t="shared" si="337"/>
        <v>111.46018525089181</v>
      </c>
      <c r="D1054" s="18">
        <f t="shared" si="338"/>
        <v>3.8092440180698759</v>
      </c>
      <c r="E1054" s="21" t="str">
        <f t="shared" si="339"/>
        <v>Umbra</v>
      </c>
      <c r="F1054" s="23">
        <f>IF($E1054&lt;&gt;"Umbra",fracil2($S$2,$S$3,$S$4,$A1054,$Q$2,$O$3,$Q$4,$U1054,$V1054,$W1054),0)</f>
        <v>0</v>
      </c>
      <c r="G1054" s="19">
        <f t="shared" si="340"/>
        <v>69.301677836656907</v>
      </c>
      <c r="H1054" s="19">
        <f t="shared" si="341"/>
        <v>-4.6427915159041335</v>
      </c>
      <c r="I1054" s="19">
        <f t="shared" si="342"/>
        <v>-3.4347735665092385</v>
      </c>
      <c r="J1054" s="28">
        <f t="shared" si="343"/>
        <v>4.7721724175644872E-3</v>
      </c>
      <c r="K1054" s="24">
        <f t="shared" si="344"/>
        <v>1048.116366832315</v>
      </c>
      <c r="L1054" s="32">
        <f t="shared" si="345"/>
        <v>0.56322193449485169</v>
      </c>
      <c r="M1054" s="35">
        <f t="shared" si="346"/>
        <v>12.937265061459245</v>
      </c>
      <c r="O1054" s="29">
        <f t="shared" si="347"/>
        <v>1046.5860887616132</v>
      </c>
      <c r="T1054" s="48">
        <v>0.75166673611111101</v>
      </c>
      <c r="U1054" s="29">
        <v>-1457.7428033778097</v>
      </c>
      <c r="V1054" s="29">
        <v>4513.3961465683415</v>
      </c>
      <c r="W1054" s="29">
        <v>4255.7566467391807</v>
      </c>
      <c r="X1054" s="4">
        <v>-0.32539514719268392</v>
      </c>
      <c r="Y1054" s="4">
        <v>-0.1178515061007607</v>
      </c>
      <c r="Z1054" s="4">
        <v>-1.0964431709750351E-2</v>
      </c>
      <c r="AA1054" s="3">
        <f t="shared" si="352"/>
        <v>0.34625308384111736</v>
      </c>
      <c r="AB1054" s="3">
        <f t="shared" si="355"/>
        <v>1.4133273028110649E-3</v>
      </c>
      <c r="AC1054" s="3">
        <f t="shared" si="353"/>
        <v>1.6389753870192352E-2</v>
      </c>
      <c r="AD1054" s="48"/>
      <c r="AE1054" s="46">
        <f t="shared" si="348"/>
        <v>42.092147215056357</v>
      </c>
      <c r="AF1054" s="46">
        <f t="shared" si="349"/>
        <v>-248.53981474910819</v>
      </c>
      <c r="AG1054" s="47">
        <f t="shared" si="350"/>
        <v>3809.2440180698759</v>
      </c>
      <c r="AH1054" s="45" t="str">
        <f t="shared" si="354"/>
        <v>-248.53981,42.09215,03809</v>
      </c>
      <c r="AI1054" s="44">
        <f t="shared" si="356"/>
        <v>1021.3763882965515</v>
      </c>
    </row>
    <row r="1055" spans="1:35" ht="18" customHeight="1" x14ac:dyDescent="0.25">
      <c r="A1055" s="36">
        <f t="shared" si="351"/>
        <v>0.75167831018518516</v>
      </c>
      <c r="B1055" s="42">
        <f t="shared" si="336"/>
        <v>42.092147212904663</v>
      </c>
      <c r="C1055" s="43">
        <f t="shared" si="337"/>
        <v>111.46018535681716</v>
      </c>
      <c r="D1055" s="18">
        <f t="shared" si="338"/>
        <v>3.7928940865967888</v>
      </c>
      <c r="E1055" s="21" t="str">
        <f t="shared" si="339"/>
        <v>Umbra</v>
      </c>
      <c r="F1055" s="23">
        <f>IF($E1055&lt;&gt;"Umbra",fracil2($S$2,$S$3,$S$4,$A1055,$Q$2,$O$3,$Q$4,$U1055,$V1055,$W1055),0)</f>
        <v>0</v>
      </c>
      <c r="G1055" s="19">
        <f t="shared" si="340"/>
        <v>69.301680874360855</v>
      </c>
      <c r="H1055" s="19">
        <f t="shared" si="341"/>
        <v>-4.6436821465749292</v>
      </c>
      <c r="I1055" s="19">
        <f t="shared" si="342"/>
        <v>-3.4356641971800341</v>
      </c>
      <c r="J1055" s="28">
        <f t="shared" si="343"/>
        <v>4.7715636970390406E-3</v>
      </c>
      <c r="K1055" s="24">
        <f t="shared" si="344"/>
        <v>1048.1149971659293</v>
      </c>
      <c r="L1055" s="32">
        <f t="shared" si="345"/>
        <v>0.56323542648914893</v>
      </c>
      <c r="M1055" s="35">
        <f t="shared" si="346"/>
        <v>12.936663795115518</v>
      </c>
      <c r="O1055" s="29">
        <f t="shared" si="347"/>
        <v>1046.5860972245459</v>
      </c>
      <c r="T1055" s="48">
        <v>0.75167831018518516</v>
      </c>
      <c r="U1055" s="29">
        <v>-1458.0682001491873</v>
      </c>
      <c r="V1055" s="29">
        <v>4513.2782865074087</v>
      </c>
      <c r="W1055" s="29">
        <v>4255.7456867946576</v>
      </c>
      <c r="X1055" s="4">
        <v>-0.32538886641953085</v>
      </c>
      <c r="Y1055" s="4">
        <v>-0.11786517493938352</v>
      </c>
      <c r="Z1055" s="4">
        <v>-1.0955141569399956E-2</v>
      </c>
      <c r="AA1055" s="3">
        <f t="shared" si="352"/>
        <v>0.34625154004001824</v>
      </c>
      <c r="AB1055" s="3">
        <f t="shared" si="355"/>
        <v>1.4104734823708973E-3</v>
      </c>
      <c r="AC1055" s="3">
        <f t="shared" si="353"/>
        <v>1.6375922767224133E-2</v>
      </c>
      <c r="AD1055" s="48"/>
      <c r="AE1055" s="46">
        <f t="shared" si="348"/>
        <v>42.092147212904663</v>
      </c>
      <c r="AF1055" s="46">
        <f t="shared" si="349"/>
        <v>-248.53981464318284</v>
      </c>
      <c r="AG1055" s="47">
        <f t="shared" si="350"/>
        <v>3792.8940865967888</v>
      </c>
      <c r="AH1055" s="45" t="str">
        <f t="shared" si="354"/>
        <v>-248.53981,42.09215,03793</v>
      </c>
      <c r="AI1055" s="44">
        <f t="shared" si="356"/>
        <v>1021.3763882965515</v>
      </c>
    </row>
    <row r="1056" spans="1:35" ht="18" customHeight="1" x14ac:dyDescent="0.25">
      <c r="A1056" s="36">
        <f t="shared" si="351"/>
        <v>0.75168981481481489</v>
      </c>
      <c r="B1056" s="42">
        <f t="shared" si="336"/>
        <v>42.092147210767862</v>
      </c>
      <c r="C1056" s="43">
        <f t="shared" si="337"/>
        <v>111.46018755717506</v>
      </c>
      <c r="D1056" s="18">
        <f t="shared" si="338"/>
        <v>3.776647787035472</v>
      </c>
      <c r="E1056" s="21" t="str">
        <f t="shared" si="339"/>
        <v>Umbra</v>
      </c>
      <c r="F1056" s="23">
        <f>IF($E1056&lt;&gt;"Umbra",fracil2($S$2,$S$3,$S$4,$A1056,$Q$2,$O$3,$Q$4,$U1056,$V1056,$W1056),0)</f>
        <v>0</v>
      </c>
      <c r="G1056" s="19">
        <f t="shared" si="340"/>
        <v>69.301686024989507</v>
      </c>
      <c r="H1056" s="19">
        <f t="shared" si="341"/>
        <v>-4.6445679061038465</v>
      </c>
      <c r="I1056" s="19">
        <f t="shared" si="342"/>
        <v>-3.4365499567089515</v>
      </c>
      <c r="J1056" s="28">
        <f t="shared" si="343"/>
        <v>4.7709594809051143E-3</v>
      </c>
      <c r="K1056" s="24">
        <f t="shared" si="344"/>
        <v>1048.1138048607556</v>
      </c>
      <c r="L1056" s="32">
        <f t="shared" si="345"/>
        <v>0.56324883447394558</v>
      </c>
      <c r="M1056" s="35">
        <f t="shared" si="346"/>
        <v>12.936064238694016</v>
      </c>
      <c r="O1056" s="29">
        <f t="shared" si="347"/>
        <v>1046.5862740871617</v>
      </c>
      <c r="T1056" s="48">
        <v>0.75168981481481489</v>
      </c>
      <c r="U1056" s="29">
        <v>-1458.3918014769479</v>
      </c>
      <c r="V1056" s="29">
        <v>4513.1610609399868</v>
      </c>
      <c r="W1056" s="29">
        <v>4255.7347963184193</v>
      </c>
      <c r="X1056" s="4">
        <v>-0.32538261445906586</v>
      </c>
      <c r="Y1056" s="4">
        <v>-0.11787878769999288</v>
      </c>
      <c r="Z1056" s="4">
        <v>-1.0945920677453128E-2</v>
      </c>
      <c r="AA1056" s="3">
        <f t="shared" si="352"/>
        <v>0.34625000730875688</v>
      </c>
      <c r="AB1056" s="3">
        <f t="shared" si="355"/>
        <v>1.4084055559620968E-3</v>
      </c>
      <c r="AC1056" s="3">
        <f t="shared" si="353"/>
        <v>1.6362194807291536E-2</v>
      </c>
      <c r="AD1056" s="48"/>
      <c r="AE1056" s="46">
        <f t="shared" si="348"/>
        <v>42.092147210767862</v>
      </c>
      <c r="AF1056" s="46">
        <f t="shared" si="349"/>
        <v>-248.53981244282494</v>
      </c>
      <c r="AG1056" s="47">
        <f t="shared" si="350"/>
        <v>3776.647787035472</v>
      </c>
      <c r="AH1056" s="45" t="str">
        <f t="shared" si="354"/>
        <v>-248.53981,42.09215,03777</v>
      </c>
      <c r="AI1056" s="44">
        <f t="shared" si="356"/>
        <v>1021.3765781671474</v>
      </c>
    </row>
    <row r="1057" spans="1:35" ht="18" customHeight="1" x14ac:dyDescent="0.25">
      <c r="A1057" s="36">
        <f t="shared" si="351"/>
        <v>0.75170145833333335</v>
      </c>
      <c r="B1057" s="42">
        <f t="shared" si="336"/>
        <v>42.09214720861069</v>
      </c>
      <c r="C1057" s="43">
        <f t="shared" si="337"/>
        <v>111.46018522261856</v>
      </c>
      <c r="D1057" s="18">
        <f t="shared" si="338"/>
        <v>3.760237083373795</v>
      </c>
      <c r="E1057" s="21" t="str">
        <f t="shared" si="339"/>
        <v>Umbra</v>
      </c>
      <c r="F1057" s="23">
        <f>IF($E1057&lt;&gt;"Umbra",fracil2($S$2,$S$3,$S$4,$A1057,$Q$2,$O$3,$Q$4,$U1057,$V1057,$W1057),0)</f>
        <v>0</v>
      </c>
      <c r="G1057" s="19">
        <f t="shared" si="340"/>
        <v>69.301686589938953</v>
      </c>
      <c r="H1057" s="19">
        <f t="shared" si="341"/>
        <v>-4.6454609528476531</v>
      </c>
      <c r="I1057" s="19">
        <f t="shared" si="342"/>
        <v>-3.4374430034527581</v>
      </c>
      <c r="J1057" s="28">
        <f t="shared" si="343"/>
        <v>4.7703499550591682E-3</v>
      </c>
      <c r="K1057" s="24">
        <f t="shared" si="344"/>
        <v>1048.1122343845536</v>
      </c>
      <c r="L1057" s="32">
        <f t="shared" si="345"/>
        <v>0.5632624059307535</v>
      </c>
      <c r="M1057" s="35">
        <f t="shared" si="346"/>
        <v>12.935463163652848</v>
      </c>
      <c r="O1057" s="29">
        <f t="shared" si="347"/>
        <v>1046.5860863271296</v>
      </c>
      <c r="T1057" s="48">
        <v>0.75170145833333335</v>
      </c>
      <c r="U1057" s="29">
        <v>-1458.7189479018593</v>
      </c>
      <c r="V1057" s="29">
        <v>4513.0425350893765</v>
      </c>
      <c r="W1057" s="29">
        <v>4255.7237956363306</v>
      </c>
      <c r="X1057" s="4">
        <v>-0.3253762886410051</v>
      </c>
      <c r="Y1057" s="4">
        <v>-0.11789256745515336</v>
      </c>
      <c r="Z1057" s="4">
        <v>-1.0936615350861803E-2</v>
      </c>
      <c r="AA1057" s="3">
        <f t="shared" si="352"/>
        <v>0.34624846025115441</v>
      </c>
      <c r="AB1057" s="3">
        <f t="shared" si="355"/>
        <v>1.4043434969405384E-3</v>
      </c>
      <c r="AC1057" s="3">
        <f t="shared" si="353"/>
        <v>1.6348341189006625E-2</v>
      </c>
      <c r="AD1057" s="48"/>
      <c r="AE1057" s="46">
        <f t="shared" si="348"/>
        <v>42.09214720861069</v>
      </c>
      <c r="AF1057" s="46">
        <f t="shared" si="349"/>
        <v>-248.53981477738142</v>
      </c>
      <c r="AG1057" s="47">
        <f t="shared" si="350"/>
        <v>3760.237083373795</v>
      </c>
      <c r="AH1057" s="45" t="str">
        <f t="shared" si="354"/>
        <v>-248.53981,42.09215,03760</v>
      </c>
      <c r="AI1057" s="44">
        <f t="shared" si="356"/>
        <v>1021.3767680377433</v>
      </c>
    </row>
    <row r="1058" spans="1:35" ht="18" customHeight="1" x14ac:dyDescent="0.25">
      <c r="A1058" s="36">
        <f t="shared" si="351"/>
        <v>0.75171305555555545</v>
      </c>
      <c r="B1058" s="42">
        <f t="shared" si="336"/>
        <v>42.092147206463594</v>
      </c>
      <c r="C1058" s="43">
        <f t="shared" si="337"/>
        <v>111.46018606591582</v>
      </c>
      <c r="D1058" s="18">
        <f t="shared" si="338"/>
        <v>3.7438931286405932</v>
      </c>
      <c r="E1058" s="21" t="str">
        <f t="shared" si="339"/>
        <v>Umbra</v>
      </c>
      <c r="F1058" s="23">
        <f>IF($E1058&lt;&gt;"Umbra",fracil2($S$2,$S$3,$S$4,$A1058,$Q$2,$O$3,$Q$4,$U1058,$V1058,$W1058),0)</f>
        <v>0</v>
      </c>
      <c r="G1058" s="19">
        <f t="shared" si="340"/>
        <v>69.301690377011738</v>
      </c>
      <c r="H1058" s="19">
        <f t="shared" si="341"/>
        <v>-4.6463515364553079</v>
      </c>
      <c r="I1058" s="19">
        <f t="shared" si="342"/>
        <v>-3.4383335870604128</v>
      </c>
      <c r="J1058" s="28">
        <f t="shared" si="343"/>
        <v>4.7697434746732936E-3</v>
      </c>
      <c r="K1058" s="24">
        <f t="shared" si="344"/>
        <v>1048.1109252591671</v>
      </c>
      <c r="L1058" s="32">
        <f t="shared" si="345"/>
        <v>0.56327591959392398</v>
      </c>
      <c r="M1058" s="35">
        <f t="shared" si="346"/>
        <v>12.934861359435697</v>
      </c>
      <c r="O1058" s="29">
        <f t="shared" si="347"/>
        <v>1046.5861540773205</v>
      </c>
      <c r="T1058" s="48">
        <v>0.75171305555555545</v>
      </c>
      <c r="U1058" s="29">
        <v>-1459.0450339777326</v>
      </c>
      <c r="V1058" s="29">
        <v>4512.9243773142034</v>
      </c>
      <c r="W1058" s="29">
        <v>4255.7128396985472</v>
      </c>
      <c r="X1058" s="4">
        <v>-0.32536997765104742</v>
      </c>
      <c r="Y1058" s="4">
        <v>-0.11790632135054023</v>
      </c>
      <c r="Z1058" s="4">
        <v>-1.0927357657848535E-2</v>
      </c>
      <c r="AA1058" s="3">
        <f t="shared" si="352"/>
        <v>0.34624692073207308</v>
      </c>
      <c r="AB1058" s="3">
        <f t="shared" si="355"/>
        <v>1.4027274042430614E-3</v>
      </c>
      <c r="AC1058" s="3">
        <f t="shared" si="353"/>
        <v>1.6334558533790906E-2</v>
      </c>
      <c r="AD1058" s="48"/>
      <c r="AE1058" s="46">
        <f t="shared" si="348"/>
        <v>42.092147206463594</v>
      </c>
      <c r="AF1058" s="46">
        <f t="shared" si="349"/>
        <v>-248.53981393408418</v>
      </c>
      <c r="AG1058" s="47">
        <f t="shared" si="350"/>
        <v>3743.8931286405932</v>
      </c>
      <c r="AH1058" s="45" t="str">
        <f t="shared" si="354"/>
        <v>-248.53981,42.09215,03744</v>
      </c>
      <c r="AI1058" s="44">
        <f t="shared" si="356"/>
        <v>1021.3769022965283</v>
      </c>
    </row>
    <row r="1059" spans="1:35" ht="18" customHeight="1" x14ac:dyDescent="0.25">
      <c r="A1059" s="36">
        <f t="shared" si="351"/>
        <v>0.75172458333333336</v>
      </c>
      <c r="B1059" s="42">
        <f t="shared" si="336"/>
        <v>42.092147204331468</v>
      </c>
      <c r="C1059" s="43">
        <f t="shared" si="337"/>
        <v>111.46018854889741</v>
      </c>
      <c r="D1059" s="18">
        <f t="shared" si="338"/>
        <v>3.7276543325997409</v>
      </c>
      <c r="E1059" s="21" t="str">
        <f t="shared" si="339"/>
        <v>Umbra</v>
      </c>
      <c r="F1059" s="23">
        <f>IF($E1059&lt;&gt;"Umbra",fracil2($S$2,$S$3,$S$4,$A1059,$Q$2,$O$3,$Q$4,$U1059,$V1059,$W1059),0)</f>
        <v>0</v>
      </c>
      <c r="G1059" s="19">
        <f t="shared" si="340"/>
        <v>69.301695813940384</v>
      </c>
      <c r="H1059" s="19">
        <f t="shared" si="341"/>
        <v>-4.6472369977698698</v>
      </c>
      <c r="I1059" s="19">
        <f t="shared" si="342"/>
        <v>-3.4392190483749747</v>
      </c>
      <c r="J1059" s="28">
        <f t="shared" si="343"/>
        <v>4.7691415869820456E-3</v>
      </c>
      <c r="K1059" s="24">
        <f t="shared" si="344"/>
        <v>1048.1097570599852</v>
      </c>
      <c r="L1059" s="32">
        <f t="shared" si="345"/>
        <v>0.56328934959550825</v>
      </c>
      <c r="M1059" s="35">
        <f t="shared" si="346"/>
        <v>12.934261776294802</v>
      </c>
      <c r="O1059" s="29">
        <f t="shared" si="347"/>
        <v>1046.5863536639324</v>
      </c>
      <c r="T1059" s="48">
        <v>0.75172458333333336</v>
      </c>
      <c r="U1059" s="29">
        <v>-1459.3692892572305</v>
      </c>
      <c r="V1059" s="29">
        <v>4512.8068669787826</v>
      </c>
      <c r="W1059" s="29">
        <v>4255.7019542524949</v>
      </c>
      <c r="X1059" s="4">
        <v>-0.32536369610910804</v>
      </c>
      <c r="Y1059" s="4">
        <v>-0.11792001775611825</v>
      </c>
      <c r="Z1059" s="4">
        <v>-1.09181703002568E-2</v>
      </c>
      <c r="AA1059" s="3">
        <f t="shared" si="352"/>
        <v>0.34624539242578906</v>
      </c>
      <c r="AB1059" s="3">
        <f t="shared" si="355"/>
        <v>1.4004513763358982E-3</v>
      </c>
      <c r="AC1059" s="3">
        <f t="shared" si="353"/>
        <v>1.6320880638899186E-2</v>
      </c>
      <c r="AD1059" s="48"/>
      <c r="AE1059" s="46">
        <f t="shared" si="348"/>
        <v>42.092147204331468</v>
      </c>
      <c r="AF1059" s="46">
        <f t="shared" si="349"/>
        <v>-248.53981145110259</v>
      </c>
      <c r="AG1059" s="47">
        <f t="shared" si="350"/>
        <v>3727.6543325997409</v>
      </c>
      <c r="AH1059" s="45" t="str">
        <f t="shared" si="354"/>
        <v>-248.53981,42.09215,03728</v>
      </c>
      <c r="AI1059" s="44">
        <f t="shared" si="356"/>
        <v>1021.3770921671243</v>
      </c>
    </row>
    <row r="1060" spans="1:35" ht="18" customHeight="1" x14ac:dyDescent="0.25">
      <c r="A1060" s="36">
        <f t="shared" si="351"/>
        <v>0.75173613425925934</v>
      </c>
      <c r="B1060" s="42">
        <f t="shared" si="336"/>
        <v>42.092147202201097</v>
      </c>
      <c r="C1060" s="43">
        <f t="shared" si="337"/>
        <v>111.46018535648949</v>
      </c>
      <c r="D1060" s="18">
        <f t="shared" si="338"/>
        <v>3.7114187382449018</v>
      </c>
      <c r="E1060" s="21" t="str">
        <f t="shared" si="339"/>
        <v>Umbra</v>
      </c>
      <c r="F1060" s="23">
        <f>IF($E1060&lt;&gt;"Umbra",fracil2($S$2,$S$3,$S$4,$A1060,$Q$2,$O$3,$Q$4,$U1060,$V1060,$W1060),0)</f>
        <v>0</v>
      </c>
      <c r="G1060" s="19">
        <f t="shared" si="340"/>
        <v>69.301695474505607</v>
      </c>
      <c r="H1060" s="19">
        <f t="shared" si="341"/>
        <v>-4.6481201977681508</v>
      </c>
      <c r="I1060" s="19">
        <f t="shared" si="342"/>
        <v>-3.4401022483732557</v>
      </c>
      <c r="J1060" s="28">
        <f t="shared" si="343"/>
        <v>4.768540852364193E-3</v>
      </c>
      <c r="K1060" s="24">
        <f t="shared" si="344"/>
        <v>1048.1081331279397</v>
      </c>
      <c r="L1060" s="32">
        <f t="shared" si="345"/>
        <v>0.56330280899342056</v>
      </c>
      <c r="M1060" s="35">
        <f t="shared" si="346"/>
        <v>12.93366797650449</v>
      </c>
      <c r="O1060" s="29">
        <f t="shared" si="347"/>
        <v>1046.586096930474</v>
      </c>
      <c r="T1060" s="48">
        <v>0.75173613425925934</v>
      </c>
      <c r="U1060" s="29">
        <v>-1459.6937470341263</v>
      </c>
      <c r="V1060" s="29">
        <v>4512.6892673127631</v>
      </c>
      <c r="W1060" s="29">
        <v>4255.6910709527592</v>
      </c>
      <c r="X1060" s="4">
        <v>-0.32535740434916061</v>
      </c>
      <c r="Y1060" s="4">
        <v>-0.11793374338529775</v>
      </c>
      <c r="Z1060" s="4">
        <v>-1.0908996457201848E-2</v>
      </c>
      <c r="AA1060" s="3">
        <f t="shared" si="352"/>
        <v>0.34624386579027749</v>
      </c>
      <c r="AB1060" s="3">
        <f t="shared" si="355"/>
        <v>1.395584203422752E-3</v>
      </c>
      <c r="AC1060" s="3">
        <f t="shared" si="353"/>
        <v>1.6307222910397764E-2</v>
      </c>
      <c r="AD1060" s="48"/>
      <c r="AE1060" s="46">
        <f t="shared" si="348"/>
        <v>42.092147202201097</v>
      </c>
      <c r="AF1060" s="46">
        <f t="shared" si="349"/>
        <v>-248.53981464351051</v>
      </c>
      <c r="AG1060" s="47">
        <f t="shared" si="350"/>
        <v>3711.4187382449018</v>
      </c>
      <c r="AH1060" s="45" t="str">
        <f t="shared" si="354"/>
        <v>-248.53981,42.09215,03711</v>
      </c>
      <c r="AI1060" s="44">
        <f t="shared" si="356"/>
        <v>1021.3773606846958</v>
      </c>
    </row>
    <row r="1061" spans="1:35" ht="18" customHeight="1" x14ac:dyDescent="0.25">
      <c r="A1061" s="36">
        <f t="shared" si="351"/>
        <v>0.75174773148148155</v>
      </c>
      <c r="B1061" s="42">
        <f t="shared" si="336"/>
        <v>42.092147200062406</v>
      </c>
      <c r="C1061" s="43">
        <f t="shared" si="337"/>
        <v>111.46018749812728</v>
      </c>
      <c r="D1061" s="18">
        <f t="shared" si="338"/>
        <v>3.6951109808214824</v>
      </c>
      <c r="E1061" s="21" t="str">
        <f t="shared" si="339"/>
        <v>Umbra</v>
      </c>
      <c r="F1061" s="23">
        <f>IF($E1061&lt;&gt;"Umbra",fracil2($S$2,$S$3,$S$4,$A1061,$Q$2,$O$3,$Q$4,$U1061,$V1061,$W1061),0)</f>
        <v>0</v>
      </c>
      <c r="G1061" s="19">
        <f t="shared" si="340"/>
        <v>69.301700576424224</v>
      </c>
      <c r="H1061" s="19">
        <f t="shared" si="341"/>
        <v>-4.6490092942324157</v>
      </c>
      <c r="I1061" s="19">
        <f t="shared" si="342"/>
        <v>-3.4409913448375207</v>
      </c>
      <c r="J1061" s="28">
        <f t="shared" si="343"/>
        <v>4.767937798775948E-3</v>
      </c>
      <c r="K1061" s="24">
        <f t="shared" si="344"/>
        <v>1048.1069321809082</v>
      </c>
      <c r="L1061" s="32">
        <f t="shared" si="345"/>
        <v>0.56331631697857942</v>
      </c>
      <c r="M1061" s="35">
        <f t="shared" si="346"/>
        <v>12.933066185321412</v>
      </c>
      <c r="O1061" s="29">
        <f t="shared" si="347"/>
        <v>1046.5862690717533</v>
      </c>
      <c r="T1061" s="48">
        <v>0.75174773148148155</v>
      </c>
      <c r="U1061" s="29">
        <v>-1460.0199152935106</v>
      </c>
      <c r="V1061" s="29">
        <v>4512.5710315853521</v>
      </c>
      <c r="W1061" s="29">
        <v>4255.6801392796315</v>
      </c>
      <c r="X1061" s="4">
        <v>-0.32535107443077682</v>
      </c>
      <c r="Y1061" s="4">
        <v>-0.11794755799284806</v>
      </c>
      <c r="Z1061" s="4">
        <v>-1.0899789655904372E-2</v>
      </c>
      <c r="AA1061" s="3">
        <f t="shared" si="352"/>
        <v>0.34624233346643229</v>
      </c>
      <c r="AB1061" s="3">
        <f t="shared" si="355"/>
        <v>1.3950020713567365E-3</v>
      </c>
      <c r="AC1061" s="3">
        <f t="shared" si="353"/>
        <v>1.6293516161305425E-2</v>
      </c>
      <c r="AD1061" s="48"/>
      <c r="AE1061" s="46">
        <f t="shared" si="348"/>
        <v>42.092147200062406</v>
      </c>
      <c r="AF1061" s="46">
        <f t="shared" si="349"/>
        <v>-248.53981250187272</v>
      </c>
      <c r="AG1061" s="47">
        <f t="shared" si="350"/>
        <v>3695.1109808214824</v>
      </c>
      <c r="AH1061" s="45" t="str">
        <f t="shared" si="354"/>
        <v>-248.53981,42.09215,03695</v>
      </c>
      <c r="AI1061" s="44">
        <f t="shared" si="356"/>
        <v>1021.3775505552917</v>
      </c>
    </row>
    <row r="1062" spans="1:35" ht="18" customHeight="1" x14ac:dyDescent="0.25">
      <c r="A1062" s="36">
        <f t="shared" si="351"/>
        <v>0.75175928240740741</v>
      </c>
      <c r="B1062" s="42">
        <f t="shared" si="336"/>
        <v>42.092147197936775</v>
      </c>
      <c r="C1062" s="43">
        <f t="shared" si="337"/>
        <v>111.46018641327977</v>
      </c>
      <c r="D1062" s="18">
        <f t="shared" si="338"/>
        <v>3.678894510486316</v>
      </c>
      <c r="E1062" s="21" t="str">
        <f t="shared" si="339"/>
        <v>Umbra</v>
      </c>
      <c r="F1062" s="23">
        <f>IF($E1062&lt;&gt;"Umbra",fracil2($S$2,$S$3,$S$4,$A1062,$Q$2,$O$3,$Q$4,$U1062,$V1062,$W1062),0)</f>
        <v>0</v>
      </c>
      <c r="G1062" s="19">
        <f t="shared" si="340"/>
        <v>69.301702378425915</v>
      </c>
      <c r="H1062" s="19">
        <f t="shared" si="341"/>
        <v>-4.6498922330662049</v>
      </c>
      <c r="I1062" s="19">
        <f t="shared" si="342"/>
        <v>-3.4418742836713099</v>
      </c>
      <c r="J1062" s="28">
        <f t="shared" si="343"/>
        <v>4.767338904484812E-3</v>
      </c>
      <c r="K1062" s="24">
        <f t="shared" si="344"/>
        <v>1048.1054797890577</v>
      </c>
      <c r="L1062" s="32">
        <f t="shared" si="345"/>
        <v>0.56332977173517274</v>
      </c>
      <c r="M1062" s="35">
        <f t="shared" si="346"/>
        <v>12.932470968598201</v>
      </c>
      <c r="O1062" s="29">
        <f t="shared" si="347"/>
        <v>1046.586181793245</v>
      </c>
      <c r="T1062" s="48">
        <v>0.75175928240740741</v>
      </c>
      <c r="U1062" s="29">
        <v>-1460.3445246022272</v>
      </c>
      <c r="V1062" s="29">
        <v>4512.4533449319233</v>
      </c>
      <c r="W1062" s="29">
        <v>4255.6692687995956</v>
      </c>
      <c r="X1062" s="4">
        <v>-0.32534476926210687</v>
      </c>
      <c r="Y1062" s="4">
        <v>-0.11796132476309899</v>
      </c>
      <c r="Z1062" s="4">
        <v>-1.0890643758567818E-2</v>
      </c>
      <c r="AA1062" s="3">
        <f t="shared" si="352"/>
        <v>0.34624081092146675</v>
      </c>
      <c r="AB1062" s="3">
        <f t="shared" si="355"/>
        <v>1.3913234549959819E-3</v>
      </c>
      <c r="AC1062" s="3">
        <f t="shared" si="353"/>
        <v>1.6279900130141408E-2</v>
      </c>
      <c r="AD1062" s="48"/>
      <c r="AE1062" s="46">
        <f t="shared" si="348"/>
        <v>42.092147197936775</v>
      </c>
      <c r="AF1062" s="46">
        <f t="shared" si="349"/>
        <v>-248.53981358672024</v>
      </c>
      <c r="AG1062" s="47">
        <f t="shared" si="350"/>
        <v>3678.894510486316</v>
      </c>
      <c r="AH1062" s="45" t="str">
        <f t="shared" si="354"/>
        <v>-248.53981,42.09215,03679</v>
      </c>
      <c r="AI1062" s="44">
        <f t="shared" si="356"/>
        <v>1021.3776454905897</v>
      </c>
    </row>
    <row r="1063" spans="1:35" ht="18" customHeight="1" x14ac:dyDescent="0.25">
      <c r="A1063" s="36">
        <f t="shared" si="351"/>
        <v>0.75177091435185195</v>
      </c>
      <c r="B1063" s="42">
        <f t="shared" si="336"/>
        <v>42.092147195799043</v>
      </c>
      <c r="C1063" s="43">
        <f t="shared" si="337"/>
        <v>111.46018611085125</v>
      </c>
      <c r="D1063" s="18">
        <f t="shared" si="338"/>
        <v>3.6625749695676859</v>
      </c>
      <c r="E1063" s="21" t="str">
        <f t="shared" si="339"/>
        <v>Umbra</v>
      </c>
      <c r="F1063" s="23">
        <f>IF($E1063&lt;&gt;"Umbra",fracil2($S$2,$S$3,$S$4,$A1063,$Q$2,$O$3,$Q$4,$U1063,$V1063,$W1063),0)</f>
        <v>0</v>
      </c>
      <c r="G1063" s="19">
        <f t="shared" si="340"/>
        <v>69.301704995165693</v>
      </c>
      <c r="H1063" s="19">
        <f t="shared" si="341"/>
        <v>-4.650781076613927</v>
      </c>
      <c r="I1063" s="19">
        <f t="shared" si="342"/>
        <v>-3.442763127219032</v>
      </c>
      <c r="J1063" s="28">
        <f t="shared" si="343"/>
        <v>4.7667369823633865E-3</v>
      </c>
      <c r="K1063" s="24">
        <f t="shared" si="344"/>
        <v>1048.1040818714234</v>
      </c>
      <c r="L1063" s="32">
        <f t="shared" si="345"/>
        <v>0.56334331871944887</v>
      </c>
      <c r="M1063" s="35">
        <f t="shared" si="346"/>
        <v>12.931871173015207</v>
      </c>
      <c r="O1063" s="29">
        <f t="shared" si="347"/>
        <v>1046.58615742353</v>
      </c>
      <c r="T1063" s="48">
        <v>0.75177091435185195</v>
      </c>
      <c r="U1063" s="29">
        <v>-1460.6714658920148</v>
      </c>
      <c r="V1063" s="29">
        <v>4512.3347966210758</v>
      </c>
      <c r="W1063" s="29">
        <v>4255.6583292277792</v>
      </c>
      <c r="X1063" s="4">
        <v>-0.32533841251328111</v>
      </c>
      <c r="Y1063" s="4">
        <v>-0.11797521102601018</v>
      </c>
      <c r="Z1063" s="4">
        <v>-1.0881451334868387E-2</v>
      </c>
      <c r="AA1063" s="3">
        <f t="shared" si="352"/>
        <v>0.3462392800599704</v>
      </c>
      <c r="AB1063" s="3">
        <f t="shared" si="355"/>
        <v>1.3886564516197826E-3</v>
      </c>
      <c r="AC1063" s="3">
        <f t="shared" si="353"/>
        <v>1.6266214879150896E-2</v>
      </c>
      <c r="AD1063" s="48"/>
      <c r="AE1063" s="46">
        <f t="shared" si="348"/>
        <v>42.092147195799043</v>
      </c>
      <c r="AF1063" s="46">
        <f t="shared" si="349"/>
        <v>-248.53981388914875</v>
      </c>
      <c r="AG1063" s="47">
        <f t="shared" si="350"/>
        <v>3662.5749695676859</v>
      </c>
      <c r="AH1063" s="45" t="str">
        <f t="shared" si="354"/>
        <v>-248.53981,42.09215,03663</v>
      </c>
      <c r="AI1063" s="44">
        <f t="shared" si="356"/>
        <v>1021.3776454905897</v>
      </c>
    </row>
    <row r="1064" spans="1:35" ht="18" customHeight="1" x14ac:dyDescent="0.25">
      <c r="A1064" s="36">
        <f t="shared" si="351"/>
        <v>0.75178245370370378</v>
      </c>
      <c r="B1064" s="42">
        <f t="shared" si="336"/>
        <v>42.092147193681718</v>
      </c>
      <c r="C1064" s="43">
        <f t="shared" si="337"/>
        <v>111.46018506344977</v>
      </c>
      <c r="D1064" s="18">
        <f t="shared" si="338"/>
        <v>3.6464018425385802</v>
      </c>
      <c r="E1064" s="21" t="str">
        <f t="shared" si="339"/>
        <v>Umbra</v>
      </c>
      <c r="F1064" s="23">
        <f>IF($E1064&lt;&gt;"Umbra",fracil2($S$2,$S$3,$S$4,$A1064,$Q$2,$O$3,$Q$4,$U1064,$V1064,$W1064),0)</f>
        <v>0</v>
      </c>
      <c r="G1064" s="19">
        <f t="shared" si="340"/>
        <v>69.301706827522864</v>
      </c>
      <c r="H1064" s="19">
        <f t="shared" si="341"/>
        <v>-4.6516616730819997</v>
      </c>
      <c r="I1064" s="19">
        <f t="shared" si="342"/>
        <v>-3.4436437236871047</v>
      </c>
      <c r="J1064" s="28">
        <f t="shared" si="343"/>
        <v>4.7661408929603648E-3</v>
      </c>
      <c r="K1064" s="24">
        <f t="shared" si="344"/>
        <v>1048.102636637321</v>
      </c>
      <c r="L1064" s="32">
        <f t="shared" si="345"/>
        <v>0.56335675682585207</v>
      </c>
      <c r="M1064" s="35">
        <f t="shared" si="346"/>
        <v>12.931277498919451</v>
      </c>
      <c r="O1064" s="29">
        <f t="shared" si="347"/>
        <v>1046.5860731560142</v>
      </c>
      <c r="T1064" s="48">
        <v>0.75178245370370378</v>
      </c>
      <c r="U1064" s="29">
        <v>-1460.9957401600425</v>
      </c>
      <c r="V1064" s="29">
        <v>4512.2171992867015</v>
      </c>
      <c r="W1064" s="29">
        <v>4255.6474878025292</v>
      </c>
      <c r="X1064" s="4">
        <v>-0.32533210342839791</v>
      </c>
      <c r="Y1064" s="4">
        <v>-0.11798899810398562</v>
      </c>
      <c r="Z1064" s="4">
        <v>-1.0872346908517006E-2</v>
      </c>
      <c r="AA1064" s="3">
        <f t="shared" si="352"/>
        <v>0.34623776385892291</v>
      </c>
      <c r="AB1064" s="3">
        <f t="shared" si="355"/>
        <v>1.3863943921743709E-3</v>
      </c>
      <c r="AC1064" s="3">
        <f t="shared" si="353"/>
        <v>1.6252660680691488E-2</v>
      </c>
      <c r="AD1064" s="48"/>
      <c r="AE1064" s="46">
        <f t="shared" si="348"/>
        <v>42.092147193681718</v>
      </c>
      <c r="AF1064" s="46">
        <f t="shared" si="349"/>
        <v>-248.53981493655021</v>
      </c>
      <c r="AG1064" s="47">
        <f t="shared" si="350"/>
        <v>3646.4018425385802</v>
      </c>
      <c r="AH1064" s="45" t="str">
        <f t="shared" si="354"/>
        <v>-248.53981,42.09215,03646</v>
      </c>
      <c r="AI1064" s="44">
        <f t="shared" si="356"/>
        <v>1021.3777404258876</v>
      </c>
    </row>
    <row r="1065" spans="1:35" ht="18" customHeight="1" x14ac:dyDescent="0.25">
      <c r="A1065" s="36">
        <f t="shared" si="351"/>
        <v>0.75179396990740743</v>
      </c>
      <c r="B1065" s="42">
        <f t="shared" si="336"/>
        <v>42.092147191569346</v>
      </c>
      <c r="C1065" s="43">
        <f t="shared" si="337"/>
        <v>111.46018842752434</v>
      </c>
      <c r="D1065" s="18">
        <f t="shared" si="338"/>
        <v>3.6302575397776309</v>
      </c>
      <c r="E1065" s="21" t="str">
        <f t="shared" si="339"/>
        <v>Umbra</v>
      </c>
      <c r="F1065" s="23">
        <f>IF($E1065&lt;&gt;"Umbra",fracil2($S$2,$S$3,$S$4,$A1065,$Q$2,$O$3,$Q$4,$U1065,$V1065,$W1065),0)</f>
        <v>0</v>
      </c>
      <c r="G1065" s="19">
        <f t="shared" si="340"/>
        <v>69.301713144240424</v>
      </c>
      <c r="H1065" s="19">
        <f t="shared" si="341"/>
        <v>-4.6525423240430417</v>
      </c>
      <c r="I1065" s="19">
        <f t="shared" si="342"/>
        <v>-3.4445243746481466</v>
      </c>
      <c r="J1065" s="28">
        <f t="shared" si="343"/>
        <v>4.7655464890105645E-3</v>
      </c>
      <c r="K1065" s="24">
        <f t="shared" si="344"/>
        <v>1048.1015487182781</v>
      </c>
      <c r="L1065" s="32">
        <f t="shared" si="345"/>
        <v>0.56337016329620193</v>
      </c>
      <c r="M1065" s="35">
        <f t="shared" si="346"/>
        <v>12.930680469992289</v>
      </c>
      <c r="O1065" s="29">
        <f t="shared" si="347"/>
        <v>1046.5863435859239</v>
      </c>
      <c r="T1065" s="48">
        <v>0.75179396990740743</v>
      </c>
      <c r="U1065" s="29">
        <v>-1461.3197009930122</v>
      </c>
      <c r="V1065" s="29">
        <v>4512.0996996087242</v>
      </c>
      <c r="W1065" s="29">
        <v>4255.6366656993168</v>
      </c>
      <c r="X1065" s="4">
        <v>-0.32532579427705816</v>
      </c>
      <c r="Y1065" s="4">
        <v>-0.11800279202645753</v>
      </c>
      <c r="Z1065" s="4">
        <v>-1.086327006653917E-2</v>
      </c>
      <c r="AA1065" s="3">
        <f t="shared" si="352"/>
        <v>0.34623625169034034</v>
      </c>
      <c r="AB1065" s="3">
        <f t="shared" si="355"/>
        <v>1.3849675009775843E-3</v>
      </c>
      <c r="AC1065" s="3">
        <f t="shared" si="353"/>
        <v>1.6239147594333533E-2</v>
      </c>
      <c r="AD1065" s="48"/>
      <c r="AE1065" s="46">
        <f t="shared" si="348"/>
        <v>42.092147191569346</v>
      </c>
      <c r="AF1065" s="46">
        <f t="shared" si="349"/>
        <v>-248.53981157247566</v>
      </c>
      <c r="AG1065" s="47">
        <f t="shared" si="350"/>
        <v>3630.2575397776309</v>
      </c>
      <c r="AH1065" s="45" t="str">
        <f t="shared" si="354"/>
        <v>-248.53981,42.09215,03630</v>
      </c>
      <c r="AI1065" s="44">
        <f t="shared" si="356"/>
        <v>1021.3780089434591</v>
      </c>
    </row>
    <row r="1066" spans="1:35" ht="18" customHeight="1" x14ac:dyDescent="0.25">
      <c r="A1066" s="36">
        <f t="shared" si="351"/>
        <v>0.75180563657407407</v>
      </c>
      <c r="B1066" s="42">
        <f t="shared" si="336"/>
        <v>42.092147189434407</v>
      </c>
      <c r="C1066" s="43">
        <f t="shared" si="337"/>
        <v>111.46018782419367</v>
      </c>
      <c r="D1066" s="18">
        <f t="shared" si="338"/>
        <v>3.613931587744446</v>
      </c>
      <c r="E1066" s="21" t="str">
        <f t="shared" si="339"/>
        <v>Umbra</v>
      </c>
      <c r="F1066" s="23">
        <f>IF($E1066&lt;&gt;"Umbra",fracil2($S$2,$S$3,$S$4,$A1066,$Q$2,$O$3,$Q$4,$U1066,$V1066,$W1066),0)</f>
        <v>0</v>
      </c>
      <c r="G1066" s="19">
        <f t="shared" si="340"/>
        <v>69.301715455926939</v>
      </c>
      <c r="H1066" s="19">
        <f t="shared" si="341"/>
        <v>-4.653431413058625</v>
      </c>
      <c r="I1066" s="19">
        <f t="shared" si="342"/>
        <v>-3.4454134636637299</v>
      </c>
      <c r="J1066" s="28">
        <f t="shared" si="343"/>
        <v>4.7649462176546234E-3</v>
      </c>
      <c r="K1066" s="24">
        <f t="shared" si="344"/>
        <v>1048.10012682356</v>
      </c>
      <c r="L1066" s="32">
        <f t="shared" si="345"/>
        <v>0.56338374618358278</v>
      </c>
      <c r="M1066" s="35">
        <f t="shared" si="346"/>
        <v>12.930080718845204</v>
      </c>
      <c r="O1066" s="29">
        <f t="shared" si="347"/>
        <v>1046.5862950227329</v>
      </c>
      <c r="T1066" s="48">
        <v>0.75180563657407407</v>
      </c>
      <c r="U1066" s="29">
        <v>-1461.647575741345</v>
      </c>
      <c r="V1066" s="29">
        <v>4511.9807640479494</v>
      </c>
      <c r="W1066" s="29">
        <v>4255.6257218302026</v>
      </c>
      <c r="X1066" s="4">
        <v>-0.32531940333971743</v>
      </c>
      <c r="Y1066" s="4">
        <v>-0.11801677090948254</v>
      </c>
      <c r="Z1066" s="4">
        <v>-1.0854100575416059E-2</v>
      </c>
      <c r="AA1066" s="3">
        <f t="shared" si="352"/>
        <v>0.34623472371284814</v>
      </c>
      <c r="AB1066" s="3">
        <f t="shared" si="355"/>
        <v>1.3810554190411568E-3</v>
      </c>
      <c r="AC1066" s="3">
        <f t="shared" si="353"/>
        <v>1.6225496623858943E-2</v>
      </c>
      <c r="AD1066" s="48"/>
      <c r="AE1066" s="46">
        <f t="shared" si="348"/>
        <v>42.092147189434407</v>
      </c>
      <c r="AF1066" s="46">
        <f t="shared" si="349"/>
        <v>-248.53981217580633</v>
      </c>
      <c r="AG1066" s="47">
        <f t="shared" si="350"/>
        <v>3613.931587744446</v>
      </c>
      <c r="AH1066" s="45" t="str">
        <f t="shared" si="354"/>
        <v>-248.53981,42.09215,03614</v>
      </c>
      <c r="AI1066" s="44">
        <f t="shared" si="356"/>
        <v>1021.3780089434591</v>
      </c>
    </row>
    <row r="1067" spans="1:35" ht="18" customHeight="1" x14ac:dyDescent="0.25">
      <c r="A1067" s="36">
        <f t="shared" si="351"/>
        <v>0.75181721064814822</v>
      </c>
      <c r="B1067" s="42">
        <f t="shared" si="336"/>
        <v>42.092147187319377</v>
      </c>
      <c r="C1067" s="43">
        <f t="shared" si="337"/>
        <v>111.46018717029067</v>
      </c>
      <c r="D1067" s="18">
        <f t="shared" si="338"/>
        <v>3.5977490299646888</v>
      </c>
      <c r="E1067" s="21" t="str">
        <f t="shared" si="339"/>
        <v>Umbra</v>
      </c>
      <c r="F1067" s="23">
        <f>IF($E1067&lt;&gt;"Umbra",fracil2($S$2,$S$3,$S$4,$A1067,$Q$2,$O$3,$Q$4,$U1067,$V1067,$W1067),0)</f>
        <v>0</v>
      </c>
      <c r="G1067" s="19">
        <f t="shared" si="340"/>
        <v>69.301717690457636</v>
      </c>
      <c r="H1067" s="19">
        <f t="shared" si="341"/>
        <v>-4.6543126748635304</v>
      </c>
      <c r="I1067" s="19">
        <f t="shared" si="342"/>
        <v>-3.4462947254686354</v>
      </c>
      <c r="J1067" s="28">
        <f t="shared" si="343"/>
        <v>4.7643519155420077E-3</v>
      </c>
      <c r="K1067" s="24">
        <f t="shared" si="344"/>
        <v>1048.0987131754309</v>
      </c>
      <c r="L1067" s="32">
        <f t="shared" si="345"/>
        <v>0.56339721973911039</v>
      </c>
      <c r="M1067" s="35">
        <f t="shared" si="346"/>
        <v>12.929486284400186</v>
      </c>
      <c r="O1067" s="29">
        <f t="shared" si="347"/>
        <v>1046.5862423938643</v>
      </c>
      <c r="T1067" s="48">
        <v>0.75181721064814822</v>
      </c>
      <c r="U1067" s="29">
        <v>-1461.9728376363025</v>
      </c>
      <c r="V1067" s="29">
        <v>4511.8627600516502</v>
      </c>
      <c r="W1067" s="29">
        <v>4255.6148740834788</v>
      </c>
      <c r="X1067" s="4">
        <v>-0.32531305764243446</v>
      </c>
      <c r="Y1067" s="4">
        <v>-0.11803065707260443</v>
      </c>
      <c r="Z1067" s="4">
        <v>-1.0845021522038135E-2</v>
      </c>
      <c r="AA1067" s="3">
        <f t="shared" si="352"/>
        <v>0.3462332103849573</v>
      </c>
      <c r="AB1067" s="3">
        <f t="shared" si="355"/>
        <v>1.3783689609345748E-3</v>
      </c>
      <c r="AC1067" s="3">
        <f t="shared" si="353"/>
        <v>1.621198033782793E-2</v>
      </c>
      <c r="AD1067" s="48"/>
      <c r="AE1067" s="46">
        <f t="shared" si="348"/>
        <v>42.092147187319377</v>
      </c>
      <c r="AF1067" s="46">
        <f t="shared" si="349"/>
        <v>-248.53981282970932</v>
      </c>
      <c r="AG1067" s="47">
        <f t="shared" si="350"/>
        <v>3597.7490299646888</v>
      </c>
      <c r="AH1067" s="45" t="str">
        <f t="shared" si="354"/>
        <v>-248.53981,42.09215,03598</v>
      </c>
      <c r="AI1067" s="44">
        <f t="shared" si="356"/>
        <v>1021.3780089434591</v>
      </c>
    </row>
    <row r="1068" spans="1:35" ht="18" customHeight="1" x14ac:dyDescent="0.25">
      <c r="A1068" s="36">
        <f t="shared" si="351"/>
        <v>0.75182878472222214</v>
      </c>
      <c r="B1068" s="42">
        <f t="shared" si="336"/>
        <v>42.092147185206279</v>
      </c>
      <c r="C1068" s="43">
        <f t="shared" si="337"/>
        <v>111.46018872437513</v>
      </c>
      <c r="D1068" s="18">
        <f t="shared" si="338"/>
        <v>3.5815714583150111</v>
      </c>
      <c r="E1068" s="21" t="str">
        <f t="shared" si="339"/>
        <v>Umbra</v>
      </c>
      <c r="F1068" s="23">
        <f>IF($E1068&lt;&gt;"Umbra",fracil2($S$2,$S$3,$S$4,$A1068,$Q$2,$O$3,$Q$4,$U1068,$V1068,$W1068),0)</f>
        <v>0</v>
      </c>
      <c r="G1068" s="19">
        <f t="shared" si="340"/>
        <v>69.301722171148342</v>
      </c>
      <c r="H1068" s="19">
        <f t="shared" si="341"/>
        <v>-4.6551944789060142</v>
      </c>
      <c r="I1068" s="19">
        <f t="shared" si="342"/>
        <v>-3.4471765295111192</v>
      </c>
      <c r="J1068" s="28">
        <f t="shared" si="343"/>
        <v>4.7637583435992817E-3</v>
      </c>
      <c r="K1068" s="24">
        <f t="shared" si="344"/>
        <v>1048.097477695997</v>
      </c>
      <c r="L1068" s="32">
        <f t="shared" si="345"/>
        <v>0.56341069016611323</v>
      </c>
      <c r="M1068" s="35">
        <f t="shared" si="346"/>
        <v>12.928889820588665</v>
      </c>
      <c r="O1068" s="29">
        <f t="shared" si="347"/>
        <v>1046.5863672945513</v>
      </c>
      <c r="T1068" s="48">
        <v>0.75182878472222214</v>
      </c>
      <c r="U1068" s="29">
        <v>-1462.2982651022942</v>
      </c>
      <c r="V1068" s="29">
        <v>4511.7446797783459</v>
      </c>
      <c r="W1068" s="29">
        <v>4255.6040296792426</v>
      </c>
      <c r="X1068" s="4">
        <v>-0.32530670335912859</v>
      </c>
      <c r="Y1068" s="4">
        <v>-0.11804456792973482</v>
      </c>
      <c r="Z1068" s="4">
        <v>-1.08359542148196E-2</v>
      </c>
      <c r="AA1068" s="3">
        <f t="shared" si="352"/>
        <v>0.34623169868145742</v>
      </c>
      <c r="AB1068" s="3">
        <f t="shared" si="355"/>
        <v>1.3765809722766987E-3</v>
      </c>
      <c r="AC1068" s="3">
        <f t="shared" si="353"/>
        <v>1.6198481584813955E-2</v>
      </c>
      <c r="AD1068" s="48"/>
      <c r="AE1068" s="46">
        <f t="shared" si="348"/>
        <v>42.092147185206279</v>
      </c>
      <c r="AF1068" s="46">
        <f t="shared" si="349"/>
        <v>-248.53981127562486</v>
      </c>
      <c r="AG1068" s="47">
        <f t="shared" si="350"/>
        <v>3581.5714583150111</v>
      </c>
      <c r="AH1068" s="45" t="str">
        <f t="shared" si="354"/>
        <v>-248.53981,42.09215,03582</v>
      </c>
      <c r="AI1068" s="44">
        <f t="shared" si="356"/>
        <v>1021.3781432022441</v>
      </c>
    </row>
    <row r="1069" spans="1:35" ht="18" customHeight="1" x14ac:dyDescent="0.25">
      <c r="A1069" s="36">
        <f t="shared" si="351"/>
        <v>0.75184032407407397</v>
      </c>
      <c r="B1069" s="42">
        <f t="shared" si="336"/>
        <v>42.092147183103435</v>
      </c>
      <c r="C1069" s="43">
        <f t="shared" si="337"/>
        <v>111.4601885364534</v>
      </c>
      <c r="D1069" s="18">
        <f t="shared" si="338"/>
        <v>3.5654625918996317</v>
      </c>
      <c r="E1069" s="21" t="str">
        <f t="shared" si="339"/>
        <v>Umbra</v>
      </c>
      <c r="F1069" s="23">
        <f>IF($E1069&lt;&gt;"Umbra",fracil2($S$2,$S$3,$S$4,$A1069,$Q$2,$O$3,$Q$4,$U1069,$V1069,$W1069),0)</f>
        <v>0</v>
      </c>
      <c r="G1069" s="19">
        <f t="shared" si="340"/>
        <v>69.301724866711751</v>
      </c>
      <c r="H1069" s="19">
        <f t="shared" si="341"/>
        <v>-4.6560719023708863</v>
      </c>
      <c r="I1069" s="19">
        <f t="shared" si="342"/>
        <v>-3.4480539529759913</v>
      </c>
      <c r="J1069" s="28">
        <f t="shared" si="343"/>
        <v>4.7631680811383043E-3</v>
      </c>
      <c r="K1069" s="24">
        <f t="shared" si="344"/>
        <v>1048.0961081997</v>
      </c>
      <c r="L1069" s="32">
        <f t="shared" si="345"/>
        <v>0.5634241198625507</v>
      </c>
      <c r="M1069" s="35">
        <f t="shared" si="346"/>
        <v>12.928297617018142</v>
      </c>
      <c r="O1069" s="29">
        <f t="shared" si="347"/>
        <v>1046.5863521324247</v>
      </c>
      <c r="T1069" s="48">
        <v>0.75184032407407397</v>
      </c>
      <c r="U1069" s="29">
        <v>-1462.6225746936993</v>
      </c>
      <c r="V1069" s="29">
        <v>4511.6269889720397</v>
      </c>
      <c r="W1069" s="29">
        <v>4255.5932313306848</v>
      </c>
      <c r="X1069" s="4">
        <v>-0.32530036509202576</v>
      </c>
      <c r="Y1069" s="4">
        <v>-0.11805845001106779</v>
      </c>
      <c r="Z1069" s="4">
        <v>-1.0826935739305014E-2</v>
      </c>
      <c r="AA1069" s="3">
        <f t="shared" si="352"/>
        <v>0.3462301946473243</v>
      </c>
      <c r="AB1069" s="3">
        <f t="shared" si="355"/>
        <v>1.3732826105288978E-3</v>
      </c>
      <c r="AC1069" s="3">
        <f t="shared" si="353"/>
        <v>1.618505557476297E-2</v>
      </c>
      <c r="AD1069" s="48"/>
      <c r="AE1069" s="46">
        <f t="shared" si="348"/>
        <v>42.092147183103435</v>
      </c>
      <c r="AF1069" s="46">
        <f t="shared" si="349"/>
        <v>-248.53981146354658</v>
      </c>
      <c r="AG1069" s="47">
        <f t="shared" si="350"/>
        <v>3565.4625918996317</v>
      </c>
      <c r="AH1069" s="45" t="str">
        <f t="shared" si="354"/>
        <v>-248.53981,42.09215,03565</v>
      </c>
      <c r="AI1069" s="44">
        <f t="shared" si="356"/>
        <v>1021.3781432022441</v>
      </c>
    </row>
    <row r="1070" spans="1:35" ht="18" customHeight="1" x14ac:dyDescent="0.25">
      <c r="A1070" s="36">
        <f t="shared" si="351"/>
        <v>0.7518519212962963</v>
      </c>
      <c r="B1070" s="42">
        <f t="shared" si="336"/>
        <v>42.092147180993621</v>
      </c>
      <c r="C1070" s="43">
        <f t="shared" si="337"/>
        <v>111.46018684515234</v>
      </c>
      <c r="D1070" s="18">
        <f t="shared" si="338"/>
        <v>3.5492922443099815</v>
      </c>
      <c r="E1070" s="21" t="str">
        <f t="shared" si="339"/>
        <v>Umbra</v>
      </c>
      <c r="F1070" s="23">
        <f>IF($E1070&lt;&gt;"Umbra",fracil2($S$2,$S$3,$S$4,$A1070,$Q$2,$O$3,$Q$4,$U1070,$V1070,$W1070),0)</f>
        <v>0</v>
      </c>
      <c r="G1070" s="19">
        <f t="shared" si="340"/>
        <v>69.301726043328117</v>
      </c>
      <c r="H1070" s="19">
        <f t="shared" si="341"/>
        <v>-4.6569521248752759</v>
      </c>
      <c r="I1070" s="19">
        <f t="shared" si="342"/>
        <v>-3.4489341754803808</v>
      </c>
      <c r="J1070" s="28">
        <f t="shared" si="343"/>
        <v>4.7625761754198715E-3</v>
      </c>
      <c r="K1070" s="24">
        <f t="shared" si="344"/>
        <v>1048.0946129244476</v>
      </c>
      <c r="L1070" s="32">
        <f t="shared" si="345"/>
        <v>0.56343761641935575</v>
      </c>
      <c r="M1070" s="35">
        <f t="shared" si="346"/>
        <v>12.927704647555739</v>
      </c>
      <c r="O1070" s="29">
        <f t="shared" si="347"/>
        <v>1046.5862160934371</v>
      </c>
      <c r="T1070" s="48">
        <v>0.7518519212962963</v>
      </c>
      <c r="U1070" s="29">
        <v>-1462.9483873741765</v>
      </c>
      <c r="V1070" s="29">
        <v>4511.508736445986</v>
      </c>
      <c r="W1070" s="29">
        <v>4255.5823917691887</v>
      </c>
      <c r="X1070" s="4">
        <v>-0.32529399249832308</v>
      </c>
      <c r="Y1070" s="4">
        <v>-0.11807241277037871</v>
      </c>
      <c r="Z1070" s="4">
        <v>-1.0817890613059015E-2</v>
      </c>
      <c r="AA1070" s="3">
        <f t="shared" si="352"/>
        <v>0.34622868594360268</v>
      </c>
      <c r="AB1070" s="3">
        <f t="shared" si="355"/>
        <v>1.3704631930680693E-3</v>
      </c>
      <c r="AC1070" s="3">
        <f t="shared" si="353"/>
        <v>1.6171589935167482E-2</v>
      </c>
      <c r="AD1070" s="48"/>
      <c r="AE1070" s="46">
        <f t="shared" si="348"/>
        <v>42.092147180993621</v>
      </c>
      <c r="AF1070" s="46">
        <f t="shared" si="349"/>
        <v>-248.53981315484765</v>
      </c>
      <c r="AG1070" s="47">
        <f t="shared" si="350"/>
        <v>3549.2922443099815</v>
      </c>
      <c r="AH1070" s="45" t="str">
        <f t="shared" si="354"/>
        <v>-248.53981,42.09215,03549</v>
      </c>
      <c r="AI1070" s="44">
        <f t="shared" si="356"/>
        <v>1021.3783076350035</v>
      </c>
    </row>
    <row r="1071" spans="1:35" ht="18" customHeight="1" x14ac:dyDescent="0.25">
      <c r="A1071" s="36">
        <f t="shared" si="351"/>
        <v>0.75186343749999995</v>
      </c>
      <c r="B1071" s="42">
        <f t="shared" si="336"/>
        <v>42.092147178901492</v>
      </c>
      <c r="C1071" s="43">
        <f t="shared" si="337"/>
        <v>111.46018560553985</v>
      </c>
      <c r="D1071" s="18">
        <f t="shared" si="338"/>
        <v>3.5332465272294939</v>
      </c>
      <c r="E1071" s="21" t="str">
        <f t="shared" si="339"/>
        <v>Umbra</v>
      </c>
      <c r="F1071" s="23">
        <f>IF($E1071&lt;&gt;"Umbra",fracil2($S$2,$S$3,$S$4,$A1071,$Q$2,$O$3,$Q$4,$U1071,$V1071,$W1071),0)</f>
        <v>0</v>
      </c>
      <c r="G1071" s="19">
        <f t="shared" si="340"/>
        <v>69.301727657294876</v>
      </c>
      <c r="H1071" s="19">
        <f t="shared" si="341"/>
        <v>-4.6578257268055658</v>
      </c>
      <c r="I1071" s="19">
        <f t="shared" si="342"/>
        <v>-3.4498077774106708</v>
      </c>
      <c r="J1071" s="28">
        <f t="shared" si="343"/>
        <v>4.7619894208248553E-3</v>
      </c>
      <c r="K1071" s="24">
        <f t="shared" si="344"/>
        <v>1048.0931646824417</v>
      </c>
      <c r="L1071" s="32">
        <f t="shared" si="345"/>
        <v>0.56345101683433274</v>
      </c>
      <c r="M1071" s="35">
        <f t="shared" si="346"/>
        <v>12.927115803287716</v>
      </c>
      <c r="O1071" s="29">
        <f t="shared" si="347"/>
        <v>1046.5861163721631</v>
      </c>
      <c r="T1071" s="48">
        <v>0.75186343749999995</v>
      </c>
      <c r="U1071" s="29">
        <v>-1463.2719518510658</v>
      </c>
      <c r="V1071" s="29">
        <v>4511.3912837546586</v>
      </c>
      <c r="W1071" s="29">
        <v>4255.5716357520923</v>
      </c>
      <c r="X1071" s="4">
        <v>-0.32528765867070525</v>
      </c>
      <c r="Y1071" s="4">
        <v>-0.11808629628681176</v>
      </c>
      <c r="Z1071" s="4">
        <v>-1.0808923779696339E-2</v>
      </c>
      <c r="AA1071" s="3">
        <f t="shared" si="352"/>
        <v>0.34622718998871421</v>
      </c>
      <c r="AB1071" s="3">
        <f t="shared" si="355"/>
        <v>1.3681540475519048E-3</v>
      </c>
      <c r="AC1071" s="3">
        <f t="shared" si="353"/>
        <v>1.6158240897170197E-2</v>
      </c>
      <c r="AD1071" s="48"/>
      <c r="AE1071" s="46">
        <f t="shared" si="348"/>
        <v>42.092147178901492</v>
      </c>
      <c r="AF1071" s="46">
        <f t="shared" si="349"/>
        <v>-248.53981439446017</v>
      </c>
      <c r="AG1071" s="47">
        <f t="shared" si="350"/>
        <v>3533.2465272294939</v>
      </c>
      <c r="AH1071" s="45" t="str">
        <f t="shared" si="354"/>
        <v>-248.53981,42.09215,03533</v>
      </c>
      <c r="AI1071" s="44">
        <f t="shared" si="356"/>
        <v>1021.3783076350035</v>
      </c>
    </row>
    <row r="1072" spans="1:35" ht="18" customHeight="1" x14ac:dyDescent="0.25">
      <c r="A1072" s="36">
        <f t="shared" si="351"/>
        <v>0.75187500000000007</v>
      </c>
      <c r="B1072" s="42">
        <f t="shared" si="336"/>
        <v>42.092147176802008</v>
      </c>
      <c r="C1072" s="43">
        <f t="shared" si="337"/>
        <v>111.46018754595183</v>
      </c>
      <c r="D1072" s="18">
        <f t="shared" si="338"/>
        <v>3.5171373953044167</v>
      </c>
      <c r="E1072" s="21" t="str">
        <f t="shared" si="339"/>
        <v>Umbra</v>
      </c>
      <c r="F1072" s="23">
        <f>IF($E1072&lt;&gt;"Umbra",fracil2($S$2,$S$3,$S$4,$A1072,$Q$2,$O$3,$Q$4,$U1072,$V1072,$W1072),0)</f>
        <v>0</v>
      </c>
      <c r="G1072" s="19">
        <f t="shared" si="340"/>
        <v>69.301732518912203</v>
      </c>
      <c r="H1072" s="19">
        <f t="shared" si="341"/>
        <v>-4.6587039534006376</v>
      </c>
      <c r="I1072" s="19">
        <f t="shared" si="342"/>
        <v>-3.4506860040057425</v>
      </c>
      <c r="J1072" s="28">
        <f t="shared" si="343"/>
        <v>4.7614009736676151E-3</v>
      </c>
      <c r="K1072" s="24">
        <f t="shared" si="344"/>
        <v>1048.0919669987024</v>
      </c>
      <c r="L1072" s="32">
        <f t="shared" si="345"/>
        <v>0.56346446730989486</v>
      </c>
      <c r="M1072" s="35">
        <f t="shared" si="346"/>
        <v>12.926521443704566</v>
      </c>
      <c r="O1072" s="29">
        <f t="shared" si="347"/>
        <v>1046.5862723351995</v>
      </c>
      <c r="T1072" s="48">
        <v>0.75187500000000007</v>
      </c>
      <c r="U1072" s="29">
        <v>-1463.5970587178488</v>
      </c>
      <c r="V1072" s="29">
        <v>4511.2732549586462</v>
      </c>
      <c r="W1072" s="29">
        <v>4255.5608372258384</v>
      </c>
      <c r="X1072" s="4">
        <v>-0.32528128871265494</v>
      </c>
      <c r="Y1072" s="4">
        <v>-0.11810026533167781</v>
      </c>
      <c r="Z1072" s="4">
        <v>-1.0799932211208875E-2</v>
      </c>
      <c r="AA1072" s="3">
        <f t="shared" si="352"/>
        <v>0.34622568939023718</v>
      </c>
      <c r="AB1072" s="3">
        <f t="shared" si="355"/>
        <v>1.3664302441568758E-3</v>
      </c>
      <c r="AC1072" s="3">
        <f t="shared" si="353"/>
        <v>1.6144855081410833E-2</v>
      </c>
      <c r="AD1072" s="48"/>
      <c r="AE1072" s="46">
        <f t="shared" si="348"/>
        <v>42.092147176802008</v>
      </c>
      <c r="AF1072" s="46">
        <f t="shared" si="349"/>
        <v>-248.53981245404816</v>
      </c>
      <c r="AG1072" s="47">
        <f t="shared" si="350"/>
        <v>3517.1373953044167</v>
      </c>
      <c r="AH1072" s="45" t="str">
        <f t="shared" si="354"/>
        <v>-248.53981,42.09215,03517</v>
      </c>
      <c r="AI1072" s="44">
        <f t="shared" si="356"/>
        <v>1021.3784720677628</v>
      </c>
    </row>
    <row r="1073" spans="1:35" ht="18" customHeight="1" x14ac:dyDescent="0.25">
      <c r="A1073" s="36">
        <f t="shared" si="351"/>
        <v>0.75188659722222217</v>
      </c>
      <c r="B1073" s="42">
        <f t="shared" si="336"/>
        <v>42.092147174700834</v>
      </c>
      <c r="C1073" s="43">
        <f t="shared" si="337"/>
        <v>111.46018670224171</v>
      </c>
      <c r="D1073" s="18">
        <f t="shared" si="338"/>
        <v>3.50100409181141</v>
      </c>
      <c r="E1073" s="21" t="str">
        <f t="shared" si="339"/>
        <v>Umbra</v>
      </c>
      <c r="F1073" s="23">
        <f>IF($E1073&lt;&gt;"Umbra",fracil2($S$2,$S$3,$S$4,$A1073,$Q$2,$O$3,$Q$4,$U1073,$V1073,$W1073),0)</f>
        <v>0</v>
      </c>
      <c r="G1073" s="19">
        <f t="shared" si="340"/>
        <v>69.301734551496196</v>
      </c>
      <c r="H1073" s="19">
        <f t="shared" si="341"/>
        <v>-4.6595824764435179</v>
      </c>
      <c r="I1073" s="19">
        <f t="shared" si="342"/>
        <v>-3.4515645270486228</v>
      </c>
      <c r="J1073" s="28">
        <f t="shared" si="343"/>
        <v>4.7608122825227922E-3</v>
      </c>
      <c r="K1073" s="24">
        <f t="shared" si="344"/>
        <v>1048.0905437143058</v>
      </c>
      <c r="L1073" s="32">
        <f t="shared" si="345"/>
        <v>0.56347795861157912</v>
      </c>
      <c r="M1073" s="35">
        <f t="shared" si="346"/>
        <v>12.925928969456393</v>
      </c>
      <c r="O1073" s="29">
        <f t="shared" si="347"/>
        <v>1046.5862044455564</v>
      </c>
      <c r="T1073" s="48">
        <v>0.75188659722222217</v>
      </c>
      <c r="U1073" s="29">
        <v>-1463.9229182857976</v>
      </c>
      <c r="V1073" s="29">
        <v>4511.1549365587025</v>
      </c>
      <c r="W1073" s="29">
        <v>4255.5500224966399</v>
      </c>
      <c r="X1073" s="4">
        <v>-0.32527489915529367</v>
      </c>
      <c r="Y1073" s="4">
        <v>-0.11811428270111123</v>
      </c>
      <c r="Z1073" s="4">
        <v>-1.0790934637536635E-2</v>
      </c>
      <c r="AA1073" s="3">
        <f t="shared" si="352"/>
        <v>0.34622418758491741</v>
      </c>
      <c r="AB1073" s="3">
        <f t="shared" si="355"/>
        <v>1.363244325611549E-3</v>
      </c>
      <c r="AC1073" s="3">
        <f t="shared" si="353"/>
        <v>1.6131460371606308E-2</v>
      </c>
      <c r="AD1073" s="48"/>
      <c r="AE1073" s="46">
        <f t="shared" si="348"/>
        <v>42.092147174700834</v>
      </c>
      <c r="AF1073" s="46">
        <f t="shared" si="349"/>
        <v>-248.53981329775829</v>
      </c>
      <c r="AG1073" s="47">
        <f t="shared" si="350"/>
        <v>3501.00409181141</v>
      </c>
      <c r="AH1073" s="45" t="str">
        <f t="shared" si="354"/>
        <v>-248.53981,42.09215,03501</v>
      </c>
      <c r="AI1073" s="44">
        <f t="shared" si="356"/>
        <v>1021.3784720677628</v>
      </c>
    </row>
    <row r="1074" spans="1:35" ht="18" customHeight="1" x14ac:dyDescent="0.25">
      <c r="A1074" s="36">
        <f t="shared" si="351"/>
        <v>0.75189833333333322</v>
      </c>
      <c r="B1074" s="42">
        <f t="shared" si="336"/>
        <v>42.092147172577043</v>
      </c>
      <c r="C1074" s="43">
        <f t="shared" si="337"/>
        <v>111.46018643605208</v>
      </c>
      <c r="D1074" s="18">
        <f t="shared" si="338"/>
        <v>3.48468898882129</v>
      </c>
      <c r="E1074" s="21" t="str">
        <f t="shared" si="339"/>
        <v>Umbra</v>
      </c>
      <c r="F1074" s="23">
        <f>IF($E1074&lt;&gt;"Umbra",fracil2($S$2,$S$3,$S$4,$A1074,$Q$2,$O$3,$Q$4,$U1074,$V1074,$W1074),0)</f>
        <v>0</v>
      </c>
      <c r="G1074" s="19">
        <f t="shared" si="340"/>
        <v>69.301737204405001</v>
      </c>
      <c r="H1074" s="19">
        <f t="shared" si="341"/>
        <v>-4.660471117127492</v>
      </c>
      <c r="I1074" s="19">
        <f t="shared" si="342"/>
        <v>-3.4524531677325969</v>
      </c>
      <c r="J1074" s="28">
        <f t="shared" si="343"/>
        <v>4.7602175900268804E-3</v>
      </c>
      <c r="K1074" s="24">
        <f t="shared" si="344"/>
        <v>1048.0891518335789</v>
      </c>
      <c r="L1074" s="32">
        <f t="shared" si="345"/>
        <v>0.56349160948870802</v>
      </c>
      <c r="M1074" s="35">
        <f t="shared" si="346"/>
        <v>12.925329225610922</v>
      </c>
      <c r="O1074" s="29">
        <f t="shared" si="347"/>
        <v>1046.586182989905</v>
      </c>
      <c r="T1074" s="48">
        <v>0.75189833333333322</v>
      </c>
      <c r="U1074" s="29">
        <v>-1464.2527195965313</v>
      </c>
      <c r="V1074" s="29">
        <v>4511.035170251409</v>
      </c>
      <c r="W1074" s="29">
        <v>4255.5390859008385</v>
      </c>
      <c r="X1074" s="4">
        <v>-0.32526842679247181</v>
      </c>
      <c r="Y1074" s="4">
        <v>-0.11812848766216083</v>
      </c>
      <c r="Z1074" s="4">
        <v>-1.0781844976798557E-2</v>
      </c>
      <c r="AA1074" s="3">
        <f t="shared" si="352"/>
        <v>0.34622267003548829</v>
      </c>
      <c r="AB1074" s="3">
        <f t="shared" si="355"/>
        <v>1.3608937724641857E-3</v>
      </c>
      <c r="AC1074" s="3">
        <f t="shared" si="353"/>
        <v>1.6117928618332937E-2</v>
      </c>
      <c r="AD1074" s="48"/>
      <c r="AE1074" s="46">
        <f t="shared" si="348"/>
        <v>42.092147172577043</v>
      </c>
      <c r="AF1074" s="46">
        <f t="shared" si="349"/>
        <v>-248.53981356394792</v>
      </c>
      <c r="AG1074" s="47">
        <f t="shared" si="350"/>
        <v>3484.68898882129</v>
      </c>
      <c r="AH1074" s="45" t="str">
        <f t="shared" si="354"/>
        <v>-248.53981,42.09215,03485</v>
      </c>
      <c r="AI1074" s="44">
        <f t="shared" si="356"/>
        <v>1021.3784720677628</v>
      </c>
    </row>
    <row r="1075" spans="1:35" ht="18" customHeight="1" x14ac:dyDescent="0.25">
      <c r="A1075" s="36">
        <f t="shared" si="351"/>
        <v>0.75190973379629622</v>
      </c>
      <c r="B1075" s="42">
        <f t="shared" si="336"/>
        <v>42.092147170516554</v>
      </c>
      <c r="C1075" s="43">
        <f t="shared" si="337"/>
        <v>111.4601868241941</v>
      </c>
      <c r="D1075" s="18">
        <f t="shared" si="338"/>
        <v>3.4688511551639749</v>
      </c>
      <c r="E1075" s="21" t="str">
        <f t="shared" si="339"/>
        <v>Umbra</v>
      </c>
      <c r="F1075" s="23">
        <f>IF($E1075&lt;&gt;"Umbra",fracil2($S$2,$S$3,$S$4,$A1075,$Q$2,$O$3,$Q$4,$U1075,$V1075,$W1075),0)</f>
        <v>0</v>
      </c>
      <c r="G1075" s="19">
        <f t="shared" si="340"/>
        <v>69.301740437696296</v>
      </c>
      <c r="H1075" s="19">
        <f t="shared" si="341"/>
        <v>-4.6613340017739748</v>
      </c>
      <c r="I1075" s="19">
        <f t="shared" si="342"/>
        <v>-3.4533160523790798</v>
      </c>
      <c r="J1075" s="28">
        <f t="shared" si="343"/>
        <v>4.75964090140005E-3</v>
      </c>
      <c r="K1075" s="24">
        <f t="shared" si="344"/>
        <v>1048.0878528867479</v>
      </c>
      <c r="L1075" s="32">
        <f t="shared" si="345"/>
        <v>0.56350486797699639</v>
      </c>
      <c r="M1075" s="35">
        <f t="shared" si="346"/>
        <v>12.924746373857971</v>
      </c>
      <c r="O1075" s="29">
        <f t="shared" si="347"/>
        <v>1046.586214146266</v>
      </c>
      <c r="T1075" s="48">
        <v>0.75190973379629622</v>
      </c>
      <c r="U1075" s="29">
        <v>-1464.5731327848916</v>
      </c>
      <c r="V1075" s="29">
        <v>4510.9187971248248</v>
      </c>
      <c r="W1075" s="29">
        <v>4255.5284692358018</v>
      </c>
      <c r="X1075" s="4">
        <v>-0.32526213335538406</v>
      </c>
      <c r="Y1075" s="4">
        <v>-0.11814230563105192</v>
      </c>
      <c r="Z1075" s="4">
        <v>-1.0773030196871657E-2</v>
      </c>
      <c r="AA1075" s="3">
        <f t="shared" si="352"/>
        <v>0.34622119801412971</v>
      </c>
      <c r="AB1075" s="3">
        <f t="shared" si="355"/>
        <v>1.3585895240642606E-3</v>
      </c>
      <c r="AC1075" s="3">
        <f t="shared" si="353"/>
        <v>1.6104806124393019E-2</v>
      </c>
      <c r="AD1075" s="48"/>
      <c r="AE1075" s="46">
        <f t="shared" si="348"/>
        <v>42.092147170516554</v>
      </c>
      <c r="AF1075" s="46">
        <f t="shared" si="349"/>
        <v>-248.5398131758059</v>
      </c>
      <c r="AG1075" s="47">
        <f t="shared" si="350"/>
        <v>3468.8511551639749</v>
      </c>
      <c r="AH1075" s="45" t="str">
        <f t="shared" si="354"/>
        <v>-248.53981,42.09215,03469</v>
      </c>
      <c r="AI1075" s="44">
        <f t="shared" si="356"/>
        <v>1021.3784720677628</v>
      </c>
    </row>
    <row r="1076" spans="1:35" ht="18" customHeight="1" x14ac:dyDescent="0.25">
      <c r="A1076" s="36">
        <f t="shared" si="351"/>
        <v>0.75192129629629623</v>
      </c>
      <c r="B1076" s="42">
        <f t="shared" si="336"/>
        <v>42.092147168430223</v>
      </c>
      <c r="C1076" s="43">
        <f t="shared" si="337"/>
        <v>111.46018645301361</v>
      </c>
      <c r="D1076" s="18">
        <f t="shared" si="338"/>
        <v>3.4528043738628185</v>
      </c>
      <c r="E1076" s="21" t="str">
        <f t="shared" si="339"/>
        <v>Umbra</v>
      </c>
      <c r="F1076" s="23">
        <f>IF($E1076&lt;&gt;"Umbra",fracil2($S$2,$S$3,$S$4,$A1076,$Q$2,$O$3,$Q$4,$U1076,$V1076,$W1076),0)</f>
        <v>0</v>
      </c>
      <c r="G1076" s="19">
        <f t="shared" si="340"/>
        <v>69.301742935685539</v>
      </c>
      <c r="H1076" s="19">
        <f t="shared" si="341"/>
        <v>-4.6622079920598045</v>
      </c>
      <c r="I1076" s="19">
        <f t="shared" si="342"/>
        <v>-3.4541900426649095</v>
      </c>
      <c r="J1076" s="28">
        <f t="shared" si="343"/>
        <v>4.7590572541511989E-3</v>
      </c>
      <c r="K1076" s="24">
        <f t="shared" si="344"/>
        <v>1048.0864755919481</v>
      </c>
      <c r="L1076" s="32">
        <f t="shared" si="345"/>
        <v>0.56351831393116969</v>
      </c>
      <c r="M1076" s="35">
        <f t="shared" si="346"/>
        <v>12.924156589395945</v>
      </c>
      <c r="O1076" s="29">
        <f t="shared" si="347"/>
        <v>1046.5861842499396</v>
      </c>
      <c r="T1076" s="48">
        <v>0.75192129629629623</v>
      </c>
      <c r="U1076" s="29">
        <v>-1464.8980341987144</v>
      </c>
      <c r="V1076" s="29">
        <v>4510.8007776800605</v>
      </c>
      <c r="W1076" s="29">
        <v>4255.5177125058153</v>
      </c>
      <c r="X1076" s="4">
        <v>-0.32525574648942035</v>
      </c>
      <c r="Y1076" s="4">
        <v>-0.11815633437718374</v>
      </c>
      <c r="Z1076" s="4">
        <v>-1.0764107937774292E-2</v>
      </c>
      <c r="AA1076" s="3">
        <f t="shared" si="352"/>
        <v>0.34621970769662863</v>
      </c>
      <c r="AB1076" s="3">
        <f t="shared" si="355"/>
        <v>1.3558788341629623E-3</v>
      </c>
      <c r="AC1076" s="3">
        <f t="shared" si="353"/>
        <v>1.6091523672293058E-2</v>
      </c>
      <c r="AD1076" s="48"/>
      <c r="AE1076" s="46">
        <f t="shared" si="348"/>
        <v>42.092147168430223</v>
      </c>
      <c r="AF1076" s="46">
        <f t="shared" si="349"/>
        <v>-248.53981354698641</v>
      </c>
      <c r="AG1076" s="47">
        <f t="shared" si="350"/>
        <v>3452.8043738628185</v>
      </c>
      <c r="AH1076" s="45" t="str">
        <f t="shared" si="354"/>
        <v>-248.53981,42.09215,03453</v>
      </c>
      <c r="AI1076" s="44">
        <f t="shared" si="356"/>
        <v>1021.3784720677628</v>
      </c>
    </row>
    <row r="1077" spans="1:35" ht="18" customHeight="1" x14ac:dyDescent="0.25">
      <c r="A1077" s="36">
        <f t="shared" si="351"/>
        <v>0.75193291666666662</v>
      </c>
      <c r="B1077" s="42">
        <f t="shared" si="336"/>
        <v>42.092147166336055</v>
      </c>
      <c r="C1077" s="43">
        <f t="shared" si="337"/>
        <v>111.46018642681275</v>
      </c>
      <c r="D1077" s="18">
        <f t="shared" si="338"/>
        <v>3.4366893291171436</v>
      </c>
      <c r="E1077" s="21" t="str">
        <f t="shared" si="339"/>
        <v>Umbra</v>
      </c>
      <c r="F1077" s="23">
        <f>IF($E1077&lt;&gt;"Umbra",fracil2($S$2,$S$3,$S$4,$A1077,$Q$2,$O$3,$Q$4,$U1077,$V1077,$W1077),0)</f>
        <v>0</v>
      </c>
      <c r="G1077" s="19">
        <f t="shared" si="340"/>
        <v>69.301745796998418</v>
      </c>
      <c r="H1077" s="19">
        <f t="shared" si="341"/>
        <v>-4.6630858297904823</v>
      </c>
      <c r="I1077" s="19">
        <f t="shared" si="342"/>
        <v>-3.4550678803955872</v>
      </c>
      <c r="J1077" s="28">
        <f t="shared" si="343"/>
        <v>4.7584716991867027E-3</v>
      </c>
      <c r="K1077" s="24">
        <f t="shared" si="344"/>
        <v>1048.0851205434219</v>
      </c>
      <c r="L1077" s="32">
        <f t="shared" si="345"/>
        <v>0.5635318253902174</v>
      </c>
      <c r="M1077" s="35">
        <f t="shared" si="346"/>
        <v>12.923563943126037</v>
      </c>
      <c r="O1077" s="29">
        <f t="shared" si="347"/>
        <v>1046.5861820909229</v>
      </c>
      <c r="T1077" s="48">
        <v>0.75193291666666662</v>
      </c>
      <c r="U1077" s="29">
        <v>-1465.2245823201486</v>
      </c>
      <c r="V1077" s="29">
        <v>4510.6821436084792</v>
      </c>
      <c r="W1077" s="29">
        <v>4255.5069100164937</v>
      </c>
      <c r="X1077" s="4">
        <v>-0.32524932211741614</v>
      </c>
      <c r="Y1077" s="4">
        <v>-0.11817045101940149</v>
      </c>
      <c r="Z1077" s="4">
        <v>-1.0755156043159256E-2</v>
      </c>
      <c r="AA1077" s="3">
        <f t="shared" si="352"/>
        <v>0.34621821213431309</v>
      </c>
      <c r="AB1077" s="3">
        <f t="shared" si="355"/>
        <v>1.3536029506770679E-3</v>
      </c>
      <c r="AC1077" s="3">
        <f t="shared" si="353"/>
        <v>1.6078197148036558E-2</v>
      </c>
      <c r="AD1077" s="48"/>
      <c r="AE1077" s="46">
        <f t="shared" si="348"/>
        <v>42.092147166336055</v>
      </c>
      <c r="AF1077" s="46">
        <f t="shared" si="349"/>
        <v>-248.53981357318725</v>
      </c>
      <c r="AG1077" s="47">
        <f t="shared" si="350"/>
        <v>3436.6893291171436</v>
      </c>
      <c r="AH1077" s="45" t="str">
        <f t="shared" si="354"/>
        <v>-248.53981,42.09215,03437</v>
      </c>
      <c r="AI1077" s="44">
        <f t="shared" si="356"/>
        <v>1021.3784720677628</v>
      </c>
    </row>
    <row r="1078" spans="1:35" ht="18" customHeight="1" x14ac:dyDescent="0.25">
      <c r="A1078" s="36">
        <f t="shared" si="351"/>
        <v>0.75194451388888883</v>
      </c>
      <c r="B1078" s="42">
        <f t="shared" si="336"/>
        <v>42.092147164249475</v>
      </c>
      <c r="C1078" s="43">
        <f t="shared" si="337"/>
        <v>111.46018585479075</v>
      </c>
      <c r="D1078" s="18">
        <f t="shared" si="338"/>
        <v>3.4206218356948739</v>
      </c>
      <c r="E1078" s="21" t="str">
        <f t="shared" si="339"/>
        <v>Umbra</v>
      </c>
      <c r="F1078" s="23">
        <f>IF($E1078&lt;&gt;"Umbra",fracil2($S$2,$S$3,$S$4,$A1078,$Q$2,$O$3,$Q$4,$U1078,$V1078,$W1078),0)</f>
        <v>0</v>
      </c>
      <c r="G1078" s="19">
        <f t="shared" si="340"/>
        <v>69.301748094320303</v>
      </c>
      <c r="H1078" s="19">
        <f t="shared" si="341"/>
        <v>-4.6639608792533904</v>
      </c>
      <c r="I1078" s="19">
        <f t="shared" si="342"/>
        <v>-3.4559429298584954</v>
      </c>
      <c r="J1078" s="28">
        <f t="shared" si="343"/>
        <v>4.7578885004932719E-3</v>
      </c>
      <c r="K1078" s="24">
        <f t="shared" si="344"/>
        <v>1048.0837258537802</v>
      </c>
      <c r="L1078" s="32">
        <f t="shared" si="345"/>
        <v>0.56354530878302278</v>
      </c>
      <c r="M1078" s="35">
        <f t="shared" si="346"/>
        <v>12.922973584000507</v>
      </c>
      <c r="O1078" s="29">
        <f t="shared" si="347"/>
        <v>1046.586136046275</v>
      </c>
      <c r="T1078" s="48">
        <v>0.75194451388888883</v>
      </c>
      <c r="U1078" s="29">
        <v>-1465.550431026053</v>
      </c>
      <c r="V1078" s="29">
        <v>4510.5637471598066</v>
      </c>
      <c r="W1078" s="29">
        <v>4255.4961394026368</v>
      </c>
      <c r="X1078" s="4">
        <v>-0.32524290627121244</v>
      </c>
      <c r="Y1078" s="4">
        <v>-0.11818455450692759</v>
      </c>
      <c r="Z1078" s="4">
        <v>-1.0746239181565684E-2</v>
      </c>
      <c r="AA1078" s="3">
        <f t="shared" si="352"/>
        <v>0.34621672209801341</v>
      </c>
      <c r="AB1078" s="3">
        <f t="shared" si="355"/>
        <v>1.3509922289213637E-3</v>
      </c>
      <c r="AC1078" s="3">
        <f t="shared" si="353"/>
        <v>1.6064922822580169E-2</v>
      </c>
      <c r="AD1078" s="48"/>
      <c r="AE1078" s="46">
        <f t="shared" si="348"/>
        <v>42.092147164249475</v>
      </c>
      <c r="AF1078" s="46">
        <f t="shared" si="349"/>
        <v>-248.53981414520925</v>
      </c>
      <c r="AG1078" s="47">
        <f t="shared" si="350"/>
        <v>3420.6218356948739</v>
      </c>
      <c r="AH1078" s="45" t="str">
        <f t="shared" si="354"/>
        <v>-248.53981,42.09215,03421</v>
      </c>
      <c r="AI1078" s="44">
        <f t="shared" si="356"/>
        <v>1021.3784720677628</v>
      </c>
    </row>
    <row r="1079" spans="1:35" ht="18" customHeight="1" x14ac:dyDescent="0.25">
      <c r="A1079" s="36">
        <f t="shared" si="351"/>
        <v>0.75195600694444442</v>
      </c>
      <c r="B1079" s="42">
        <f t="shared" si="336"/>
        <v>42.092147162184226</v>
      </c>
      <c r="C1079" s="43">
        <f t="shared" si="337"/>
        <v>111.46018563483376</v>
      </c>
      <c r="D1079" s="18">
        <f t="shared" si="338"/>
        <v>3.4047104680776101</v>
      </c>
      <c r="E1079" s="21" t="str">
        <f t="shared" si="339"/>
        <v>Umbra</v>
      </c>
      <c r="F1079" s="23">
        <f>IF($E1079&lt;&gt;"Umbra",fracil2($S$2,$S$3,$S$4,$A1079,$Q$2,$O$3,$Q$4,$U1079,$V1079,$W1079),0)</f>
        <v>0</v>
      </c>
      <c r="G1079" s="19">
        <f t="shared" si="340"/>
        <v>69.301750721963174</v>
      </c>
      <c r="H1079" s="19">
        <f t="shared" si="341"/>
        <v>-4.6648275553555143</v>
      </c>
      <c r="I1079" s="19">
        <f t="shared" si="342"/>
        <v>-3.4568096059606193</v>
      </c>
      <c r="J1079" s="28">
        <f t="shared" si="343"/>
        <v>4.75731147123638E-3</v>
      </c>
      <c r="K1079" s="24">
        <f t="shared" si="344"/>
        <v>1048.0823728127953</v>
      </c>
      <c r="L1079" s="32">
        <f t="shared" si="345"/>
        <v>0.56355866930330156</v>
      </c>
      <c r="M1079" s="35">
        <f t="shared" si="346"/>
        <v>12.922388608654227</v>
      </c>
      <c r="O1079" s="29">
        <f t="shared" si="347"/>
        <v>1046.5861183093434</v>
      </c>
      <c r="T1079" s="48">
        <v>0.75195600694444442</v>
      </c>
      <c r="U1079" s="29">
        <v>-1465.873373614199</v>
      </c>
      <c r="V1079" s="29">
        <v>4510.4463903889819</v>
      </c>
      <c r="W1079" s="29">
        <v>4255.4854734455639</v>
      </c>
      <c r="X1079" s="4">
        <v>-0.32523654291638893</v>
      </c>
      <c r="Y1079" s="4">
        <v>-0.11819854770546341</v>
      </c>
      <c r="Z1079" s="4">
        <v>-1.0737416204935962E-2</v>
      </c>
      <c r="AA1079" s="3">
        <f t="shared" si="352"/>
        <v>0.34621524754788435</v>
      </c>
      <c r="AB1079" s="3">
        <f t="shared" si="355"/>
        <v>1.3488788258688793E-3</v>
      </c>
      <c r="AC1079" s="3">
        <f t="shared" si="353"/>
        <v>1.6051788306554026E-2</v>
      </c>
      <c r="AD1079" s="48"/>
      <c r="AE1079" s="46">
        <f t="shared" si="348"/>
        <v>42.092147162184226</v>
      </c>
      <c r="AF1079" s="46">
        <f t="shared" si="349"/>
        <v>-248.53981436516625</v>
      </c>
      <c r="AG1079" s="47">
        <f t="shared" si="350"/>
        <v>3404.7104680776101</v>
      </c>
      <c r="AH1079" s="45" t="str">
        <f t="shared" si="354"/>
        <v>-248.53981,42.09215,03405</v>
      </c>
      <c r="AI1079" s="44">
        <f t="shared" si="356"/>
        <v>1021.3784720677628</v>
      </c>
    </row>
    <row r="1080" spans="1:35" ht="18" customHeight="1" x14ac:dyDescent="0.25">
      <c r="A1080" s="36">
        <f t="shared" si="351"/>
        <v>0.75196761574074067</v>
      </c>
      <c r="B1080" s="42">
        <f t="shared" si="336"/>
        <v>42.092147160099231</v>
      </c>
      <c r="C1080" s="43">
        <f t="shared" si="337"/>
        <v>111.46018889810252</v>
      </c>
      <c r="D1080" s="18">
        <f t="shared" si="338"/>
        <v>3.3886387674538128</v>
      </c>
      <c r="E1080" s="21" t="str">
        <f t="shared" si="339"/>
        <v>Umbra</v>
      </c>
      <c r="F1080" s="23">
        <f>IF($E1080&lt;&gt;"Umbra",fracil2($S$2,$S$3,$S$4,$A1080,$Q$2,$O$3,$Q$4,$U1080,$V1080,$W1080),0)</f>
        <v>0</v>
      </c>
      <c r="G1080" s="19">
        <f t="shared" si="340"/>
        <v>69.301756923183021</v>
      </c>
      <c r="H1080" s="19">
        <f t="shared" si="341"/>
        <v>-4.6657042450267259</v>
      </c>
      <c r="I1080" s="19">
        <f t="shared" si="342"/>
        <v>-3.4576862956318308</v>
      </c>
      <c r="J1080" s="28">
        <f t="shared" si="343"/>
        <v>4.7567291635159008E-3</v>
      </c>
      <c r="K1080" s="24">
        <f t="shared" si="344"/>
        <v>1048.0812865735361</v>
      </c>
      <c r="L1080" s="32">
        <f t="shared" si="345"/>
        <v>0.56357216034539681</v>
      </c>
      <c r="M1080" s="35">
        <f t="shared" si="346"/>
        <v>12.921794251877603</v>
      </c>
      <c r="O1080" s="29">
        <f t="shared" si="347"/>
        <v>1046.5863806348125</v>
      </c>
      <c r="T1080" s="48">
        <v>0.75196761574074067</v>
      </c>
      <c r="U1080" s="29">
        <v>-1466.1998332929879</v>
      </c>
      <c r="V1080" s="29">
        <v>4510.327739046942</v>
      </c>
      <c r="W1080" s="29">
        <v>4255.4747000116458</v>
      </c>
      <c r="X1080" s="4">
        <v>-0.32523010472975739</v>
      </c>
      <c r="Y1080" s="4">
        <v>-0.11821271125718932</v>
      </c>
      <c r="Z1080" s="4">
        <v>-1.0728513833354809E-2</v>
      </c>
      <c r="AA1080" s="3">
        <f t="shared" si="352"/>
        <v>0.34621375930828785</v>
      </c>
      <c r="AB1080" s="3">
        <f t="shared" si="355"/>
        <v>1.3474428314812781E-3</v>
      </c>
      <c r="AC1080" s="3">
        <f t="shared" si="353"/>
        <v>1.603853564307536E-2</v>
      </c>
      <c r="AD1080" s="48"/>
      <c r="AE1080" s="46">
        <f t="shared" si="348"/>
        <v>42.092147160099231</v>
      </c>
      <c r="AF1080" s="46">
        <f t="shared" si="349"/>
        <v>-248.5398111018975</v>
      </c>
      <c r="AG1080" s="47">
        <f t="shared" si="350"/>
        <v>3388.6387674538128</v>
      </c>
      <c r="AH1080" s="45" t="str">
        <f t="shared" si="354"/>
        <v>-248.53981,42.09215,03389</v>
      </c>
      <c r="AI1080" s="44">
        <f t="shared" si="356"/>
        <v>1021.3787405853343</v>
      </c>
    </row>
    <row r="1081" spans="1:35" ht="18" customHeight="1" x14ac:dyDescent="0.25">
      <c r="A1081" s="36">
        <f t="shared" si="351"/>
        <v>0.75197916666666664</v>
      </c>
      <c r="B1081" s="42">
        <f t="shared" si="336"/>
        <v>42.09214715802954</v>
      </c>
      <c r="C1081" s="43">
        <f t="shared" si="337"/>
        <v>111.46018842392843</v>
      </c>
      <c r="D1081" s="18">
        <f t="shared" si="338"/>
        <v>3.3726746471875231</v>
      </c>
      <c r="E1081" s="21" t="str">
        <f t="shared" si="339"/>
        <v>Umbra</v>
      </c>
      <c r="F1081" s="23">
        <f>IF($E1081&lt;&gt;"Umbra",fracil2($S$2,$S$3,$S$4,$A1081,$Q$2,$O$3,$Q$4,$U1081,$V1081,$W1081),0)</f>
        <v>0</v>
      </c>
      <c r="G1081" s="19">
        <f t="shared" si="340"/>
        <v>69.301759301580475</v>
      </c>
      <c r="H1081" s="19">
        <f t="shared" si="341"/>
        <v>-4.6665737058575285</v>
      </c>
      <c r="I1081" s="19">
        <f t="shared" si="342"/>
        <v>-3.4585557564626335</v>
      </c>
      <c r="J1081" s="28">
        <f t="shared" si="343"/>
        <v>4.7561514691367756E-3</v>
      </c>
      <c r="K1081" s="24">
        <f t="shared" si="344"/>
        <v>1048.0799091529163</v>
      </c>
      <c r="L1081" s="32">
        <f t="shared" si="345"/>
        <v>0.56358558527382663</v>
      </c>
      <c r="M1081" s="35">
        <f t="shared" si="346"/>
        <v>12.921207577016565</v>
      </c>
      <c r="O1081" s="29">
        <f t="shared" si="347"/>
        <v>1046.5863424578715</v>
      </c>
      <c r="T1081" s="48">
        <v>0.75197916666666664</v>
      </c>
      <c r="U1081" s="29">
        <v>-1466.5243694885501</v>
      </c>
      <c r="V1081" s="29">
        <v>4510.2097703636837</v>
      </c>
      <c r="W1081" s="29">
        <v>4255.4639986927905</v>
      </c>
      <c r="X1081" s="4">
        <v>-0.32522369942260149</v>
      </c>
      <c r="Y1081" s="4">
        <v>-0.11822680782840446</v>
      </c>
      <c r="Z1081" s="4">
        <v>-1.0719679198763854E-2</v>
      </c>
      <c r="AA1081" s="3">
        <f t="shared" si="352"/>
        <v>0.34621228210094096</v>
      </c>
      <c r="AB1081" s="3">
        <f t="shared" si="355"/>
        <v>1.3438850308028531E-3</v>
      </c>
      <c r="AC1081" s="3">
        <f t="shared" si="353"/>
        <v>1.6025383862736477E-2</v>
      </c>
      <c r="AD1081" s="48"/>
      <c r="AE1081" s="46">
        <f t="shared" si="348"/>
        <v>42.09214715802954</v>
      </c>
      <c r="AF1081" s="46">
        <f t="shared" si="349"/>
        <v>-248.53981157607157</v>
      </c>
      <c r="AG1081" s="47">
        <f t="shared" si="350"/>
        <v>3372.6746471875231</v>
      </c>
      <c r="AH1081" s="45" t="str">
        <f t="shared" si="354"/>
        <v>-248.53981,42.09215,03373</v>
      </c>
      <c r="AI1081" s="44">
        <f t="shared" si="356"/>
        <v>1021.3787405853343</v>
      </c>
    </row>
    <row r="1082" spans="1:35" ht="18" customHeight="1" x14ac:dyDescent="0.25">
      <c r="A1082" s="36">
        <f t="shared" si="351"/>
        <v>0.75199083333333328</v>
      </c>
      <c r="B1082" s="42">
        <f t="shared" si="336"/>
        <v>42.092147155942172</v>
      </c>
      <c r="C1082" s="43">
        <f t="shared" si="337"/>
        <v>111.46018752184364</v>
      </c>
      <c r="D1082" s="18">
        <f t="shared" si="338"/>
        <v>3.3565655214151775</v>
      </c>
      <c r="E1082" s="21" t="str">
        <f t="shared" si="339"/>
        <v>Umbra</v>
      </c>
      <c r="F1082" s="23">
        <f>IF($E1082&lt;&gt;"Umbra",fracil2($S$2,$S$3,$S$4,$A1082,$Q$2,$O$3,$Q$4,$U1082,$V1082,$W1082),0)</f>
        <v>0</v>
      </c>
      <c r="G1082" s="19">
        <f t="shared" si="340"/>
        <v>69.301761270493373</v>
      </c>
      <c r="H1082" s="19">
        <f t="shared" si="341"/>
        <v>-4.6674509112243472</v>
      </c>
      <c r="I1082" s="19">
        <f t="shared" si="342"/>
        <v>-3.4594329618294521</v>
      </c>
      <c r="J1082" s="28">
        <f t="shared" si="343"/>
        <v>4.7555691558450576E-3</v>
      </c>
      <c r="K1082" s="24">
        <f t="shared" si="344"/>
        <v>1048.0784854126425</v>
      </c>
      <c r="L1082" s="32">
        <f t="shared" si="345"/>
        <v>0.56359914348489937</v>
      </c>
      <c r="M1082" s="35">
        <f t="shared" si="346"/>
        <v>12.92061598940923</v>
      </c>
      <c r="O1082" s="29">
        <f t="shared" si="347"/>
        <v>1046.5862698750584</v>
      </c>
      <c r="T1082" s="48">
        <v>0.75199083333333328</v>
      </c>
      <c r="U1082" s="29">
        <v>-1466.8521181260899</v>
      </c>
      <c r="V1082" s="29">
        <v>4510.0906173159501</v>
      </c>
      <c r="W1082" s="29">
        <v>4255.4532001716707</v>
      </c>
      <c r="X1082" s="4">
        <v>-0.32521722544549669</v>
      </c>
      <c r="Y1082" s="4">
        <v>-0.1182410610546641</v>
      </c>
      <c r="Z1082" s="4">
        <v>-1.0710773011637031E-2</v>
      </c>
      <c r="AA1082" s="3">
        <f t="shared" si="352"/>
        <v>0.34621079258784904</v>
      </c>
      <c r="AB1082" s="3">
        <f t="shared" si="355"/>
        <v>1.3413244726087363E-3</v>
      </c>
      <c r="AC1082" s="3">
        <f t="shared" si="353"/>
        <v>1.6012125610735888E-2</v>
      </c>
      <c r="AD1082" s="48"/>
      <c r="AE1082" s="46">
        <f t="shared" si="348"/>
        <v>42.092147155942172</v>
      </c>
      <c r="AF1082" s="46">
        <f t="shared" si="349"/>
        <v>-248.53981247815636</v>
      </c>
      <c r="AG1082" s="47">
        <f t="shared" si="350"/>
        <v>3356.5655214151775</v>
      </c>
      <c r="AH1082" s="45" t="str">
        <f t="shared" si="354"/>
        <v>-248.53981,42.09215,03357</v>
      </c>
      <c r="AI1082" s="44">
        <f t="shared" si="356"/>
        <v>1021.3787405853343</v>
      </c>
    </row>
    <row r="1083" spans="1:35" ht="18" customHeight="1" x14ac:dyDescent="0.25">
      <c r="A1083" s="36">
        <f t="shared" si="351"/>
        <v>0.75200233796296301</v>
      </c>
      <c r="B1083" s="42">
        <f t="shared" si="336"/>
        <v>42.092147153886224</v>
      </c>
      <c r="C1083" s="43">
        <f t="shared" si="337"/>
        <v>111.46018767269362</v>
      </c>
      <c r="D1083" s="18">
        <f t="shared" si="338"/>
        <v>3.3406892580742351</v>
      </c>
      <c r="E1083" s="21" t="str">
        <f t="shared" si="339"/>
        <v>Umbra</v>
      </c>
      <c r="F1083" s="23">
        <f>IF($E1083&lt;&gt;"Umbra",fracil2($S$2,$S$3,$S$4,$A1083,$Q$2,$O$3,$Q$4,$U1083,$V1083,$W1083),0)</f>
        <v>0</v>
      </c>
      <c r="G1083" s="19">
        <f t="shared" si="340"/>
        <v>69.301764269239555</v>
      </c>
      <c r="H1083" s="19">
        <f t="shared" si="341"/>
        <v>-4.668315819770152</v>
      </c>
      <c r="I1083" s="19">
        <f t="shared" si="342"/>
        <v>-3.4602978703752569</v>
      </c>
      <c r="J1083" s="28">
        <f t="shared" si="343"/>
        <v>4.7549957925230209E-3</v>
      </c>
      <c r="K1083" s="24">
        <f t="shared" si="344"/>
        <v>1048.0771660898577</v>
      </c>
      <c r="L1083" s="32">
        <f t="shared" si="345"/>
        <v>0.56361251112933231</v>
      </c>
      <c r="M1083" s="35">
        <f t="shared" si="346"/>
        <v>12.920031908520718</v>
      </c>
      <c r="O1083" s="29">
        <f t="shared" si="347"/>
        <v>1046.5862819524739</v>
      </c>
      <c r="T1083" s="48">
        <v>0.75200233796296301</v>
      </c>
      <c r="U1083" s="29">
        <v>-1467.175389294624</v>
      </c>
      <c r="V1083" s="29">
        <v>4509.973075648647</v>
      </c>
      <c r="W1083" s="29">
        <v>4255.44255774664</v>
      </c>
      <c r="X1083" s="4">
        <v>-0.32521083489024294</v>
      </c>
      <c r="Y1083" s="4">
        <v>-0.11825513589623447</v>
      </c>
      <c r="Z1083" s="4">
        <v>-1.0702003651748676E-2</v>
      </c>
      <c r="AA1083" s="3">
        <f t="shared" si="352"/>
        <v>0.34620932566585749</v>
      </c>
      <c r="AB1083" s="3">
        <f t="shared" si="355"/>
        <v>1.339314510632161E-3</v>
      </c>
      <c r="AC1083" s="3">
        <f t="shared" si="353"/>
        <v>1.5999071092553059E-2</v>
      </c>
      <c r="AD1083" s="48"/>
      <c r="AE1083" s="46">
        <f t="shared" si="348"/>
        <v>42.092147153886224</v>
      </c>
      <c r="AF1083" s="46">
        <f t="shared" si="349"/>
        <v>-248.53981232730638</v>
      </c>
      <c r="AG1083" s="47">
        <f t="shared" si="350"/>
        <v>3340.6892580742351</v>
      </c>
      <c r="AH1083" s="45" t="str">
        <f t="shared" si="354"/>
        <v>-248.53981,42.09215,03341</v>
      </c>
      <c r="AI1083" s="44">
        <f t="shared" si="356"/>
        <v>1021.3787405853343</v>
      </c>
    </row>
    <row r="1084" spans="1:35" ht="18" customHeight="1" x14ac:dyDescent="0.25">
      <c r="A1084" s="36">
        <f t="shared" si="351"/>
        <v>0.75201393518518511</v>
      </c>
      <c r="B1084" s="42">
        <f t="shared" si="336"/>
        <v>42.092147151815873</v>
      </c>
      <c r="C1084" s="43">
        <f t="shared" si="337"/>
        <v>111.46018898457753</v>
      </c>
      <c r="D1084" s="18">
        <f t="shared" si="338"/>
        <v>3.3246939395648951</v>
      </c>
      <c r="E1084" s="21" t="str">
        <f t="shared" si="339"/>
        <v>Umbra</v>
      </c>
      <c r="F1084" s="23">
        <f>IF($E1084&lt;&gt;"Umbra",fracil2($S$2,$S$3,$S$4,$A1084,$Q$2,$O$3,$Q$4,$U1084,$V1084,$W1084),0)</f>
        <v>0</v>
      </c>
      <c r="G1084" s="19">
        <f t="shared" si="340"/>
        <v>69.301768470898494</v>
      </c>
      <c r="H1084" s="19">
        <f t="shared" si="341"/>
        <v>-4.6691876414432061</v>
      </c>
      <c r="I1084" s="19">
        <f t="shared" si="342"/>
        <v>-3.461169692048311</v>
      </c>
      <c r="J1084" s="28">
        <f t="shared" si="343"/>
        <v>4.7544185500674021E-3</v>
      </c>
      <c r="K1084" s="24">
        <f t="shared" si="344"/>
        <v>1048.0759303583432</v>
      </c>
      <c r="L1084" s="32">
        <f t="shared" si="345"/>
        <v>0.56362598400996822</v>
      </c>
      <c r="M1084" s="35">
        <f t="shared" si="346"/>
        <v>12.91944228309497</v>
      </c>
      <c r="O1084" s="29">
        <f t="shared" si="347"/>
        <v>1046.586387380501</v>
      </c>
      <c r="T1084" s="48">
        <v>0.75201393518518511</v>
      </c>
      <c r="U1084" s="29">
        <v>-1467.5013460911025</v>
      </c>
      <c r="V1084" s="29">
        <v>4509.8545409714316</v>
      </c>
      <c r="W1084" s="29">
        <v>4255.4318355147743</v>
      </c>
      <c r="X1084" s="4">
        <v>-0.32520438676649754</v>
      </c>
      <c r="Y1084" s="4">
        <v>-0.11826934231735563</v>
      </c>
      <c r="Z1084" s="4">
        <v>-1.0693174997289879E-2</v>
      </c>
      <c r="AA1084" s="3">
        <f t="shared" si="352"/>
        <v>0.34620784869190391</v>
      </c>
      <c r="AB1084" s="3">
        <f t="shared" si="355"/>
        <v>1.3376003282958206E-3</v>
      </c>
      <c r="AC1084" s="3">
        <f t="shared" si="353"/>
        <v>1.5985928350716286E-2</v>
      </c>
      <c r="AD1084" s="48"/>
      <c r="AE1084" s="46">
        <f t="shared" si="348"/>
        <v>42.092147151815873</v>
      </c>
      <c r="AF1084" s="46">
        <f t="shared" si="349"/>
        <v>-248.53981101542246</v>
      </c>
      <c r="AG1084" s="47">
        <f t="shared" si="350"/>
        <v>3324.6939395648951</v>
      </c>
      <c r="AH1084" s="45" t="str">
        <f t="shared" si="354"/>
        <v>-248.53981,42.09215,03325</v>
      </c>
      <c r="AI1084" s="44">
        <f t="shared" si="356"/>
        <v>1021.3788355206323</v>
      </c>
    </row>
    <row r="1085" spans="1:35" ht="18" customHeight="1" x14ac:dyDescent="0.25">
      <c r="A1085" s="36">
        <f t="shared" si="351"/>
        <v>0.75202554398148147</v>
      </c>
      <c r="B1085" s="42">
        <f t="shared" si="336"/>
        <v>42.092147149748449</v>
      </c>
      <c r="C1085" s="43">
        <f t="shared" si="337"/>
        <v>111.46018627081011</v>
      </c>
      <c r="D1085" s="18">
        <f t="shared" si="338"/>
        <v>3.3087112275507025</v>
      </c>
      <c r="E1085" s="21" t="str">
        <f t="shared" si="339"/>
        <v>Umbra</v>
      </c>
      <c r="F1085" s="23">
        <f>IF($E1085&lt;&gt;"Umbra",fracil2($S$2,$S$3,$S$4,$A1085,$Q$2,$O$3,$Q$4,$U1085,$V1085,$W1085),0)</f>
        <v>0</v>
      </c>
      <c r="G1085" s="19">
        <f t="shared" si="340"/>
        <v>69.301768573454183</v>
      </c>
      <c r="H1085" s="19">
        <f t="shared" si="341"/>
        <v>-4.6700573035688748</v>
      </c>
      <c r="I1085" s="19">
        <f t="shared" si="342"/>
        <v>-3.4620393541739798</v>
      </c>
      <c r="J1085" s="28">
        <f t="shared" si="343"/>
        <v>4.7538425919900224E-3</v>
      </c>
      <c r="K1085" s="24">
        <f t="shared" si="344"/>
        <v>1048.0743723084468</v>
      </c>
      <c r="L1085" s="32">
        <f t="shared" si="345"/>
        <v>0.56363947170562756</v>
      </c>
      <c r="M1085" s="35">
        <f t="shared" si="346"/>
        <v>12.918857133377625</v>
      </c>
      <c r="O1085" s="29">
        <f t="shared" si="347"/>
        <v>1046.5861691328996</v>
      </c>
      <c r="T1085" s="48">
        <v>0.75202554398148147</v>
      </c>
      <c r="U1085" s="29">
        <v>-1467.8273082906769</v>
      </c>
      <c r="V1085" s="29">
        <v>4509.7359877293011</v>
      </c>
      <c r="W1085" s="29">
        <v>4255.4211217335969</v>
      </c>
      <c r="X1085" s="4">
        <v>-0.3251979329413055</v>
      </c>
      <c r="Y1085" s="4">
        <v>-0.11828356704751244</v>
      </c>
      <c r="Z1085" s="4">
        <v>-1.0684363005666872E-2</v>
      </c>
      <c r="AA1085" s="3">
        <f t="shared" si="352"/>
        <v>0.34620637405399984</v>
      </c>
      <c r="AB1085" s="3">
        <f t="shared" si="355"/>
        <v>1.3337400948566442E-3</v>
      </c>
      <c r="AC1085" s="3">
        <f t="shared" si="353"/>
        <v>1.5972810459379941E-2</v>
      </c>
      <c r="AD1085" s="48"/>
      <c r="AE1085" s="46">
        <f t="shared" si="348"/>
        <v>42.092147149748449</v>
      </c>
      <c r="AF1085" s="46">
        <f t="shared" si="349"/>
        <v>-248.53981372918989</v>
      </c>
      <c r="AG1085" s="47">
        <f t="shared" si="350"/>
        <v>3308.7112275507025</v>
      </c>
      <c r="AH1085" s="45" t="str">
        <f t="shared" si="354"/>
        <v>-248.53981,42.09215,03309</v>
      </c>
      <c r="AI1085" s="44">
        <f t="shared" si="356"/>
        <v>1021.3790680636708</v>
      </c>
    </row>
    <row r="1086" spans="1:35" ht="18" customHeight="1" x14ac:dyDescent="0.25">
      <c r="A1086" s="36">
        <f t="shared" si="351"/>
        <v>0.75203706018518524</v>
      </c>
      <c r="B1086" s="42">
        <f t="shared" si="336"/>
        <v>42.092147147698661</v>
      </c>
      <c r="C1086" s="43">
        <f t="shared" si="337"/>
        <v>111.46018687609266</v>
      </c>
      <c r="D1086" s="18">
        <f t="shared" si="338"/>
        <v>3.2928564329567962</v>
      </c>
      <c r="E1086" s="21" t="str">
        <f t="shared" si="339"/>
        <v>Umbra</v>
      </c>
      <c r="F1086" s="23">
        <f>IF($E1086&lt;&gt;"Umbra",fracil2($S$2,$S$3,$S$4,$A1086,$Q$2,$O$3,$Q$4,$U1086,$V1086,$W1086),0)</f>
        <v>0</v>
      </c>
      <c r="G1086" s="19">
        <f t="shared" si="340"/>
        <v>69.301772030845484</v>
      </c>
      <c r="H1086" s="19">
        <f t="shared" si="341"/>
        <v>-4.6709212157360396</v>
      </c>
      <c r="I1086" s="19">
        <f t="shared" si="342"/>
        <v>-3.4629032663411445</v>
      </c>
      <c r="J1086" s="28">
        <f t="shared" si="343"/>
        <v>4.7532717342825791E-3</v>
      </c>
      <c r="K1086" s="24">
        <f t="shared" si="344"/>
        <v>1048.073092036195</v>
      </c>
      <c r="L1086" s="32">
        <f t="shared" si="345"/>
        <v>0.56365284795102399</v>
      </c>
      <c r="M1086" s="35">
        <f t="shared" si="346"/>
        <v>12.918273368679252</v>
      </c>
      <c r="O1086" s="29">
        <f t="shared" si="347"/>
        <v>1046.5862177483459</v>
      </c>
      <c r="T1086" s="48">
        <v>0.75203706018518524</v>
      </c>
      <c r="U1086" s="29">
        <v>-1468.1509208466516</v>
      </c>
      <c r="V1086" s="29">
        <v>4509.6182726168809</v>
      </c>
      <c r="W1086" s="29">
        <v>4255.4104937001148</v>
      </c>
      <c r="X1086" s="4">
        <v>-0.32519152040319405</v>
      </c>
      <c r="Y1086" s="4">
        <v>-0.11829770618034866</v>
      </c>
      <c r="Z1086" s="4">
        <v>-1.0675630270354314E-2</v>
      </c>
      <c r="AA1086" s="3">
        <f t="shared" si="352"/>
        <v>0.34620491231544126</v>
      </c>
      <c r="AB1086" s="3">
        <f t="shared" si="355"/>
        <v>1.3323667335264516E-3</v>
      </c>
      <c r="AC1086" s="3">
        <f t="shared" si="353"/>
        <v>1.5959810597131856E-2</v>
      </c>
      <c r="AD1086" s="48"/>
      <c r="AE1086" s="46">
        <f t="shared" si="348"/>
        <v>42.092147147698661</v>
      </c>
      <c r="AF1086" s="46">
        <f t="shared" si="349"/>
        <v>-248.53981312390732</v>
      </c>
      <c r="AG1086" s="47">
        <f t="shared" si="350"/>
        <v>3292.8564329567962</v>
      </c>
      <c r="AH1086" s="45" t="str">
        <f t="shared" si="354"/>
        <v>-248.53981,42.09215,03293</v>
      </c>
      <c r="AI1086" s="44">
        <f t="shared" si="356"/>
        <v>1021.3790680636708</v>
      </c>
    </row>
    <row r="1087" spans="1:35" ht="18" customHeight="1" x14ac:dyDescent="0.25">
      <c r="A1087" s="36">
        <f t="shared" si="351"/>
        <v>0.75204861111111121</v>
      </c>
      <c r="B1087" s="42">
        <f t="shared" si="336"/>
        <v>42.092147145646415</v>
      </c>
      <c r="C1087" s="43">
        <f t="shared" si="337"/>
        <v>111.46018618937417</v>
      </c>
      <c r="D1087" s="18">
        <f t="shared" si="338"/>
        <v>3.2769717751343705</v>
      </c>
      <c r="E1087" s="21" t="str">
        <f t="shared" si="339"/>
        <v>Umbra</v>
      </c>
      <c r="F1087" s="23">
        <f>IF($E1087&lt;&gt;"Umbra",fracil2($S$2,$S$3,$S$4,$A1087,$Q$2,$O$3,$Q$4,$U1087,$V1087,$W1087),0)</f>
        <v>0</v>
      </c>
      <c r="G1087" s="19">
        <f t="shared" si="340"/>
        <v>69.301774178742562</v>
      </c>
      <c r="H1087" s="19">
        <f t="shared" si="341"/>
        <v>-4.6717862836461261</v>
      </c>
      <c r="I1087" s="19">
        <f t="shared" si="342"/>
        <v>-3.4637683342512311</v>
      </c>
      <c r="J1087" s="28">
        <f t="shared" si="343"/>
        <v>4.7527003235588007E-3</v>
      </c>
      <c r="K1087" s="24">
        <f t="shared" si="344"/>
        <v>1048.0717056374137</v>
      </c>
      <c r="L1087" s="32">
        <f t="shared" si="345"/>
        <v>0.56366626395591135</v>
      </c>
      <c r="M1087" s="35">
        <f t="shared" si="346"/>
        <v>12.917689788657876</v>
      </c>
      <c r="O1087" s="29">
        <f t="shared" si="347"/>
        <v>1046.5861624825709</v>
      </c>
      <c r="T1087" s="48">
        <v>0.75204861111111121</v>
      </c>
      <c r="U1087" s="29">
        <v>-1468.4754020123185</v>
      </c>
      <c r="V1087" s="29">
        <v>4509.5002250791122</v>
      </c>
      <c r="W1087" s="29">
        <v>4255.3998456483623</v>
      </c>
      <c r="X1087" s="4">
        <v>-0.32518508613136554</v>
      </c>
      <c r="Y1087" s="4">
        <v>-0.11831189797837946</v>
      </c>
      <c r="Z1087" s="4">
        <v>-1.0666887666236621E-2</v>
      </c>
      <c r="AA1087" s="3">
        <f t="shared" si="352"/>
        <v>0.34620344876675363</v>
      </c>
      <c r="AB1087" s="3">
        <f t="shared" si="355"/>
        <v>1.3298536604638182E-3</v>
      </c>
      <c r="AC1087" s="3">
        <f t="shared" si="353"/>
        <v>1.5946796133227283E-2</v>
      </c>
      <c r="AD1087" s="48"/>
      <c r="AE1087" s="46">
        <f t="shared" si="348"/>
        <v>42.092147145646415</v>
      </c>
      <c r="AF1087" s="46">
        <f t="shared" si="349"/>
        <v>-248.53981381062584</v>
      </c>
      <c r="AG1087" s="47">
        <f t="shared" si="350"/>
        <v>3276.9717751343705</v>
      </c>
      <c r="AH1087" s="45" t="str">
        <f t="shared" si="354"/>
        <v>-248.53981,42.09215,03277</v>
      </c>
      <c r="AI1087" s="44">
        <f t="shared" si="356"/>
        <v>1021.3790680636708</v>
      </c>
    </row>
    <row r="1088" spans="1:35" ht="18" customHeight="1" x14ac:dyDescent="0.25">
      <c r="A1088" s="36">
        <f t="shared" si="351"/>
        <v>0.75206018518518514</v>
      </c>
      <c r="B1088" s="42">
        <f t="shared" si="336"/>
        <v>42.092147143593095</v>
      </c>
      <c r="C1088" s="43">
        <f t="shared" si="337"/>
        <v>111.46018579090186</v>
      </c>
      <c r="D1088" s="18">
        <f t="shared" si="338"/>
        <v>3.2610672236523897</v>
      </c>
      <c r="E1088" s="21" t="str">
        <f t="shared" si="339"/>
        <v>Umbra</v>
      </c>
      <c r="F1088" s="23">
        <f>IF($E1088&lt;&gt;"Umbra",fracil2($S$2,$S$3,$S$4,$A1088,$Q$2,$O$3,$Q$4,$U1088,$V1088,$W1088),0)</f>
        <v>0</v>
      </c>
      <c r="G1088" s="19">
        <f t="shared" si="340"/>
        <v>69.301776623554559</v>
      </c>
      <c r="H1088" s="19">
        <f t="shared" si="341"/>
        <v>-4.6726525431066888</v>
      </c>
      <c r="I1088" s="19">
        <f t="shared" si="342"/>
        <v>-3.4646345937117937</v>
      </c>
      <c r="J1088" s="28">
        <f t="shared" si="343"/>
        <v>4.7521286979673345E-3</v>
      </c>
      <c r="K1088" s="24">
        <f t="shared" si="344"/>
        <v>1048.0703409828375</v>
      </c>
      <c r="L1088" s="32">
        <f t="shared" si="345"/>
        <v>0.56367970513314325</v>
      </c>
      <c r="M1088" s="35">
        <f t="shared" si="346"/>
        <v>12.917105182548367</v>
      </c>
      <c r="O1088" s="29">
        <f t="shared" si="347"/>
        <v>1046.5861303927259</v>
      </c>
      <c r="T1088" s="48">
        <v>0.75206018518518514</v>
      </c>
      <c r="U1088" s="29">
        <v>-1468.8005495448447</v>
      </c>
      <c r="V1088" s="29">
        <v>4509.3819185578477</v>
      </c>
      <c r="W1088" s="29">
        <v>4255.3891842613075</v>
      </c>
      <c r="X1088" s="4">
        <v>-0.32517863393084778</v>
      </c>
      <c r="Y1088" s="4">
        <v>-0.11832613424038274</v>
      </c>
      <c r="Z1088" s="4">
        <v>-1.0658141316313718E-2</v>
      </c>
      <c r="AA1088" s="3">
        <f t="shared" si="352"/>
        <v>0.34620198437577432</v>
      </c>
      <c r="AB1088" s="3">
        <f t="shared" si="355"/>
        <v>1.327758902335003E-3</v>
      </c>
      <c r="AC1088" s="3">
        <f t="shared" si="353"/>
        <v>1.593377612943115E-2</v>
      </c>
      <c r="AD1088" s="48"/>
      <c r="AE1088" s="46">
        <f t="shared" si="348"/>
        <v>42.092147143593095</v>
      </c>
      <c r="AF1088" s="46">
        <f t="shared" si="349"/>
        <v>-248.53981420909815</v>
      </c>
      <c r="AG1088" s="47">
        <f t="shared" si="350"/>
        <v>3261.0672236523897</v>
      </c>
      <c r="AH1088" s="45" t="str">
        <f t="shared" si="354"/>
        <v>-248.53981,42.09215,03261</v>
      </c>
      <c r="AI1088" s="44">
        <f t="shared" si="356"/>
        <v>1021.3790680636708</v>
      </c>
    </row>
    <row r="1089" spans="1:35" ht="18" customHeight="1" x14ac:dyDescent="0.25">
      <c r="A1089" s="36">
        <f t="shared" si="351"/>
        <v>0.75207177083333343</v>
      </c>
      <c r="B1089" s="42">
        <f t="shared" si="336"/>
        <v>42.092147141539321</v>
      </c>
      <c r="C1089" s="43">
        <f t="shared" si="337"/>
        <v>111.46018810145193</v>
      </c>
      <c r="D1089" s="18">
        <f t="shared" si="338"/>
        <v>3.2451495202858496</v>
      </c>
      <c r="E1089" s="21" t="str">
        <f t="shared" si="339"/>
        <v>Umbra</v>
      </c>
      <c r="F1089" s="23">
        <f>IF($E1089&lt;&gt;"Umbra",fracil2($S$2,$S$3,$S$4,$A1089,$Q$2,$O$3,$Q$4,$U1089,$V1089,$W1089),0)</f>
        <v>0</v>
      </c>
      <c r="G1089" s="19">
        <f t="shared" si="340"/>
        <v>69.301781827664058</v>
      </c>
      <c r="H1089" s="19">
        <f t="shared" si="341"/>
        <v>-4.6735205130495503</v>
      </c>
      <c r="I1089" s="19">
        <f t="shared" si="342"/>
        <v>-3.4655025636546553</v>
      </c>
      <c r="J1089" s="28">
        <f t="shared" si="343"/>
        <v>4.7515569830358061E-3</v>
      </c>
      <c r="K1089" s="24">
        <f t="shared" si="344"/>
        <v>1048.069193240367</v>
      </c>
      <c r="L1089" s="32">
        <f t="shared" si="345"/>
        <v>0.56369315629264805</v>
      </c>
      <c r="M1089" s="35">
        <f t="shared" si="346"/>
        <v>12.916517382277313</v>
      </c>
      <c r="O1089" s="29">
        <f t="shared" si="347"/>
        <v>1046.5863161172326</v>
      </c>
      <c r="T1089" s="48">
        <v>0.75207177083333343</v>
      </c>
      <c r="U1089" s="29">
        <v>-1469.1262266335009</v>
      </c>
      <c r="V1089" s="29">
        <v>4509.2634027234872</v>
      </c>
      <c r="W1089" s="29">
        <v>4255.3785140581804</v>
      </c>
      <c r="X1089" s="4">
        <v>-0.32517216664358345</v>
      </c>
      <c r="Y1089" s="4">
        <v>-0.11834040857817633</v>
      </c>
      <c r="Z1089" s="4">
        <v>-1.0649394530606307E-2</v>
      </c>
      <c r="AA1089" s="3">
        <f t="shared" si="352"/>
        <v>0.34620051973675692</v>
      </c>
      <c r="AB1089" s="3">
        <f t="shared" si="355"/>
        <v>1.326495633257837E-3</v>
      </c>
      <c r="AC1089" s="3">
        <f t="shared" si="353"/>
        <v>1.5920755505635081E-2</v>
      </c>
      <c r="AD1089" s="48"/>
      <c r="AE1089" s="46">
        <f t="shared" si="348"/>
        <v>42.092147141539321</v>
      </c>
      <c r="AF1089" s="46">
        <f t="shared" si="349"/>
        <v>-248.53981189854807</v>
      </c>
      <c r="AG1089" s="47">
        <f t="shared" si="350"/>
        <v>3245.1495202858496</v>
      </c>
      <c r="AH1089" s="45" t="str">
        <f t="shared" si="354"/>
        <v>-248.53981,42.09215,03245</v>
      </c>
      <c r="AI1089" s="44">
        <f t="shared" si="356"/>
        <v>1021.3792579342668</v>
      </c>
    </row>
    <row r="1090" spans="1:35" ht="18" customHeight="1" x14ac:dyDescent="0.25">
      <c r="A1090" s="36">
        <f t="shared" si="351"/>
        <v>0.75208332175925918</v>
      </c>
      <c r="B1090" s="42">
        <f t="shared" si="336"/>
        <v>42.092147139496191</v>
      </c>
      <c r="C1090" s="43">
        <f t="shared" si="337"/>
        <v>111.4601879082567</v>
      </c>
      <c r="D1090" s="18">
        <f t="shared" si="338"/>
        <v>3.229302005423051</v>
      </c>
      <c r="E1090" s="21" t="str">
        <f t="shared" si="339"/>
        <v>Umbra</v>
      </c>
      <c r="F1090" s="23">
        <f>IF($E1090&lt;&gt;"Umbra",fracil2($S$2,$S$3,$S$4,$A1090,$Q$2,$O$3,$Q$4,$U1090,$V1090,$W1090),0)</f>
        <v>0</v>
      </c>
      <c r="G1090" s="19">
        <f t="shared" si="340"/>
        <v>69.301784471173249</v>
      </c>
      <c r="H1090" s="19">
        <f t="shared" si="341"/>
        <v>-4.6743837448746408</v>
      </c>
      <c r="I1090" s="19">
        <f t="shared" si="342"/>
        <v>-3.4663657954797458</v>
      </c>
      <c r="J1090" s="28">
        <f t="shared" si="343"/>
        <v>4.7509885283972958E-3</v>
      </c>
      <c r="K1090" s="24">
        <f t="shared" si="344"/>
        <v>1048.0678503440204</v>
      </c>
      <c r="L1090" s="32">
        <f t="shared" si="345"/>
        <v>0.56370656743882186</v>
      </c>
      <c r="M1090" s="35">
        <f t="shared" si="346"/>
        <v>12.915934656114562</v>
      </c>
      <c r="O1090" s="29">
        <f t="shared" si="347"/>
        <v>1046.5863005325941</v>
      </c>
      <c r="T1090" s="48">
        <v>0.75208332175925918</v>
      </c>
      <c r="U1090" s="29">
        <v>-1469.4507269037381</v>
      </c>
      <c r="V1090" s="29">
        <v>4509.1452985669212</v>
      </c>
      <c r="W1090" s="29">
        <v>4255.367890905035</v>
      </c>
      <c r="X1090" s="4">
        <v>-0.3251657173178622</v>
      </c>
      <c r="Y1090" s="4">
        <v>-0.1183546487522688</v>
      </c>
      <c r="Z1090" s="4">
        <v>-1.0640695553361727E-2</v>
      </c>
      <c r="AA1090" s="3">
        <f t="shared" si="352"/>
        <v>0.34619906268211087</v>
      </c>
      <c r="AB1090" s="3">
        <f t="shared" si="355"/>
        <v>1.3232072116230499E-3</v>
      </c>
      <c r="AC1090" s="3">
        <f t="shared" si="353"/>
        <v>1.5907806086457935E-2</v>
      </c>
      <c r="AD1090" s="48"/>
      <c r="AE1090" s="46">
        <f t="shared" si="348"/>
        <v>42.092147139496191</v>
      </c>
      <c r="AF1090" s="46">
        <f t="shared" si="349"/>
        <v>-248.5398120917433</v>
      </c>
      <c r="AG1090" s="47">
        <f t="shared" si="350"/>
        <v>3229.302005423051</v>
      </c>
      <c r="AH1090" s="45" t="str">
        <f t="shared" si="354"/>
        <v>-248.53981,42.09215,03229</v>
      </c>
      <c r="AI1090" s="44">
        <f t="shared" si="356"/>
        <v>1021.3792579342668</v>
      </c>
    </row>
    <row r="1091" spans="1:35" ht="18" customHeight="1" x14ac:dyDescent="0.25">
      <c r="A1091" s="36">
        <f t="shared" si="351"/>
        <v>0.75209494212962957</v>
      </c>
      <c r="B1091" s="42">
        <f t="shared" si="336"/>
        <v>42.092147137443376</v>
      </c>
      <c r="C1091" s="43">
        <f t="shared" si="337"/>
        <v>111.46018781190259</v>
      </c>
      <c r="D1091" s="18">
        <f t="shared" si="338"/>
        <v>3.2133719003877559</v>
      </c>
      <c r="E1091" s="21" t="str">
        <f t="shared" si="339"/>
        <v>Umbra</v>
      </c>
      <c r="F1091" s="23">
        <f>IF($E1091&lt;&gt;"Umbra",fracil2($S$2,$S$3,$S$4,$A1091,$Q$2,$O$3,$Q$4,$U1091,$V1091,$W1091),0)</f>
        <v>0</v>
      </c>
      <c r="G1091" s="19">
        <f t="shared" si="340"/>
        <v>69.301787228046237</v>
      </c>
      <c r="H1091" s="19">
        <f t="shared" si="341"/>
        <v>-4.6752515135172166</v>
      </c>
      <c r="I1091" s="19">
        <f t="shared" si="342"/>
        <v>-3.4672335641223215</v>
      </c>
      <c r="J1091" s="28">
        <f t="shared" si="343"/>
        <v>4.7504176301318675E-3</v>
      </c>
      <c r="K1091" s="24">
        <f t="shared" si="344"/>
        <v>1048.0665085547978</v>
      </c>
      <c r="L1091" s="32">
        <f t="shared" si="345"/>
        <v>0.56372005763553379</v>
      </c>
      <c r="M1091" s="35">
        <f t="shared" si="346"/>
        <v>12.915348788754793</v>
      </c>
      <c r="O1091" s="29">
        <f t="shared" si="347"/>
        <v>1046.5862927340563</v>
      </c>
      <c r="T1091" s="48">
        <v>0.75209494212962957</v>
      </c>
      <c r="U1091" s="29">
        <v>-1469.777179213025</v>
      </c>
      <c r="V1091" s="29">
        <v>4509.0264672411449</v>
      </c>
      <c r="W1091" s="29">
        <v>4255.3572123888407</v>
      </c>
      <c r="X1091" s="4">
        <v>-0.32515922441337597</v>
      </c>
      <c r="Y1091" s="4">
        <v>-0.11836899007222322</v>
      </c>
      <c r="Z1091" s="4">
        <v>-1.0631958607647951E-2</v>
      </c>
      <c r="AA1091" s="3">
        <f t="shared" si="352"/>
        <v>0.34619759903220154</v>
      </c>
      <c r="AB1091" s="3">
        <f t="shared" si="355"/>
        <v>1.3210363937641958E-3</v>
      </c>
      <c r="AC1091" s="3">
        <f t="shared" si="353"/>
        <v>1.5894800187249151E-2</v>
      </c>
      <c r="AD1091" s="48"/>
      <c r="AE1091" s="46">
        <f t="shared" si="348"/>
        <v>42.092147137443376</v>
      </c>
      <c r="AF1091" s="46">
        <f t="shared" si="349"/>
        <v>-248.53981218809741</v>
      </c>
      <c r="AG1091" s="47">
        <f t="shared" si="350"/>
        <v>3213.3719003877559</v>
      </c>
      <c r="AH1091" s="45" t="str">
        <f t="shared" si="354"/>
        <v>-248.53981,42.09215,03213</v>
      </c>
      <c r="AI1091" s="44">
        <f t="shared" si="356"/>
        <v>1021.3792579342668</v>
      </c>
    </row>
    <row r="1092" spans="1:35" ht="18" customHeight="1" x14ac:dyDescent="0.25">
      <c r="A1092" s="36">
        <f t="shared" si="351"/>
        <v>0.7521065393518519</v>
      </c>
      <c r="B1092" s="42">
        <f t="shared" si="336"/>
        <v>42.0921471353968</v>
      </c>
      <c r="C1092" s="43">
        <f t="shared" si="337"/>
        <v>111.46018915403728</v>
      </c>
      <c r="D1092" s="18">
        <f t="shared" si="338"/>
        <v>3.1974811078962375</v>
      </c>
      <c r="E1092" s="21" t="str">
        <f t="shared" si="339"/>
        <v>Umbra</v>
      </c>
      <c r="F1092" s="23">
        <f>IF($E1092&lt;&gt;"Umbra",fracil2($S$2,$S$3,$S$4,$A1092,$Q$2,$O$3,$Q$4,$U1092,$V1092,$W1092),0)</f>
        <v>0</v>
      </c>
      <c r="G1092" s="19">
        <f t="shared" si="340"/>
        <v>69.3017914418093</v>
      </c>
      <c r="H1092" s="19">
        <f t="shared" si="341"/>
        <v>-4.6761176691353512</v>
      </c>
      <c r="I1092" s="19">
        <f t="shared" si="342"/>
        <v>-3.4680997197404562</v>
      </c>
      <c r="J1092" s="28">
        <f t="shared" si="343"/>
        <v>4.7498486080435531E-3</v>
      </c>
      <c r="K1092" s="24">
        <f t="shared" si="344"/>
        <v>1048.065285934752</v>
      </c>
      <c r="L1092" s="32">
        <f t="shared" si="345"/>
        <v>0.5637335184164779</v>
      </c>
      <c r="M1092" s="35">
        <f t="shared" si="346"/>
        <v>12.914762925332029</v>
      </c>
      <c r="O1092" s="29">
        <f t="shared" si="347"/>
        <v>1046.5864005949391</v>
      </c>
      <c r="T1092" s="48">
        <v>0.7521065393518519</v>
      </c>
      <c r="U1092" s="29">
        <v>-1470.1030866545625</v>
      </c>
      <c r="V1092" s="29">
        <v>4508.9078175134064</v>
      </c>
      <c r="W1092" s="29">
        <v>4255.3465602253391</v>
      </c>
      <c r="X1092" s="4">
        <v>-0.32515273757338087</v>
      </c>
      <c r="Y1092" s="4">
        <v>-0.11838332289261871</v>
      </c>
      <c r="Z1092" s="4">
        <v>-1.0623250558372857E-2</v>
      </c>
      <c r="AA1092" s="3">
        <f t="shared" si="352"/>
        <v>0.34619613998857335</v>
      </c>
      <c r="AB1092" s="3">
        <f t="shared" si="355"/>
        <v>1.3192909646457735E-3</v>
      </c>
      <c r="AC1092" s="3">
        <f t="shared" si="353"/>
        <v>1.588183734611532E-2</v>
      </c>
      <c r="AD1092" s="48"/>
      <c r="AE1092" s="46">
        <f t="shared" si="348"/>
        <v>42.0921471353968</v>
      </c>
      <c r="AF1092" s="46">
        <f t="shared" si="349"/>
        <v>-248.53981084596273</v>
      </c>
      <c r="AG1092" s="47">
        <f t="shared" si="350"/>
        <v>3197.4811078962375</v>
      </c>
      <c r="AH1092" s="45" t="str">
        <f t="shared" si="354"/>
        <v>-248.53981,42.09215,03197</v>
      </c>
      <c r="AI1092" s="44">
        <f t="shared" si="356"/>
        <v>1021.3793921930518</v>
      </c>
    </row>
    <row r="1093" spans="1:35" ht="18" customHeight="1" x14ac:dyDescent="0.25">
      <c r="A1093" s="36">
        <f t="shared" si="351"/>
        <v>0.75211805555555555</v>
      </c>
      <c r="B1093" s="42">
        <f t="shared" si="336"/>
        <v>42.092147133369501</v>
      </c>
      <c r="C1093" s="43">
        <f t="shared" si="337"/>
        <v>111.46018621985721</v>
      </c>
      <c r="D1093" s="18">
        <f t="shared" si="338"/>
        <v>3.1817303723018995</v>
      </c>
      <c r="E1093" s="21" t="str">
        <f t="shared" si="339"/>
        <v>Umbra</v>
      </c>
      <c r="F1093" s="23">
        <f>IF($E1093&lt;&gt;"Umbra",fracil2($S$2,$S$3,$S$4,$A1093,$Q$2,$O$3,$Q$4,$U1093,$V1093,$W1093),0)</f>
        <v>0</v>
      </c>
      <c r="G1093" s="19">
        <f t="shared" si="340"/>
        <v>69.301791278537692</v>
      </c>
      <c r="H1093" s="19">
        <f t="shared" si="341"/>
        <v>-4.6769746326119117</v>
      </c>
      <c r="I1093" s="19">
        <f t="shared" si="342"/>
        <v>-3.4689566832170167</v>
      </c>
      <c r="J1093" s="28">
        <f t="shared" si="343"/>
        <v>4.7492853555602755E-3</v>
      </c>
      <c r="K1093" s="24">
        <f t="shared" si="344"/>
        <v>1048.0637315128172</v>
      </c>
      <c r="L1093" s="32">
        <f t="shared" si="345"/>
        <v>0.56374688675742013</v>
      </c>
      <c r="M1093" s="35">
        <f t="shared" si="346"/>
        <v>12.914186474528584</v>
      </c>
      <c r="O1093" s="29">
        <f t="shared" si="347"/>
        <v>1046.5861646264348</v>
      </c>
      <c r="T1093" s="48">
        <v>0.75211805555555555</v>
      </c>
      <c r="U1093" s="29">
        <v>-1470.4263788072938</v>
      </c>
      <c r="V1093" s="29">
        <v>4508.7901033645458</v>
      </c>
      <c r="W1093" s="29">
        <v>4255.3360019470629</v>
      </c>
      <c r="X1093" s="4">
        <v>-0.32514629764948538</v>
      </c>
      <c r="Y1093" s="4">
        <v>-0.11839755723166719</v>
      </c>
      <c r="Z1093" s="4">
        <v>-1.0614627748574542E-2</v>
      </c>
      <c r="AA1093" s="3">
        <f t="shared" si="352"/>
        <v>0.34619469486956966</v>
      </c>
      <c r="AB1093" s="3">
        <f t="shared" si="355"/>
        <v>1.3155631414447147E-3</v>
      </c>
      <c r="AC1093" s="3">
        <f t="shared" si="353"/>
        <v>1.5869001436011193E-2</v>
      </c>
      <c r="AD1093" s="48"/>
      <c r="AE1093" s="46">
        <f t="shared" si="348"/>
        <v>42.092147133369501</v>
      </c>
      <c r="AF1093" s="46">
        <f t="shared" si="349"/>
        <v>-248.53981378014279</v>
      </c>
      <c r="AG1093" s="47">
        <f t="shared" si="350"/>
        <v>3181.7303723018995</v>
      </c>
      <c r="AH1093" s="45" t="str">
        <f t="shared" si="354"/>
        <v>-248.53981,42.09215,03182</v>
      </c>
      <c r="AI1093" s="44">
        <f t="shared" si="356"/>
        <v>1021.3796607106233</v>
      </c>
    </row>
    <row r="1094" spans="1:35" ht="18" customHeight="1" x14ac:dyDescent="0.25">
      <c r="A1094" s="36">
        <f t="shared" si="351"/>
        <v>0.75212973379629633</v>
      </c>
      <c r="B1094" s="42">
        <f t="shared" ref="B1094:B1157" si="357">latitude($U1094,$V1094,$W1094)</f>
        <v>42.092147131315251</v>
      </c>
      <c r="C1094" s="43">
        <f t="shared" ref="C1094:C1157" si="358">longitude($S$2,$S$3,$S$4,$A1094,$U1094,$V1094)</f>
        <v>111.46018610951262</v>
      </c>
      <c r="D1094" s="18">
        <f t="shared" ref="D1094:D1157" si="359">altitude($U1094,$V1094,$W1094)</f>
        <v>3.1657602174382191</v>
      </c>
      <c r="E1094" s="21" t="str">
        <f t="shared" ref="E1094:E1157" si="360">illum2($S$2,$S$3,$S$4,$A1094,$U1094,$V1094,$W1094)</f>
        <v>Umbra</v>
      </c>
      <c r="F1094" s="23">
        <f>IF($E1094&lt;&gt;"Umbra",fracil2($S$2,$S$3,$S$4,$A1094,$Q$2,$O$3,$Q$4,$U1094,$V1094,$W1094),0)</f>
        <v>0</v>
      </c>
      <c r="G1094" s="19">
        <f t="shared" ref="G1094:G1157" si="361">azimuth($S$2,$S$3,$S$4,$A1094,$Q$2,$O$3,$Q$4,$U1094,$V1094,$W1094)</f>
        <v>69.301794028371347</v>
      </c>
      <c r="H1094" s="19">
        <f t="shared" ref="H1094:H1157" si="362">elev($S$2,$S$3,$S$4,$A1094,$Q$2,$O$3,$Q$4,$U1094,$V1094,$W1094)</f>
        <v>-4.677844584628617</v>
      </c>
      <c r="I1094" s="19">
        <f t="shared" ref="I1094:I1157" si="363">elev($S$2,$S$3,$S$4,$A1094,$Q$2,$O$3,$Q$4,$U1094,$V1094,$W1094)+DEGREES(ACOS($Q$3/$Q$4))</f>
        <v>-3.4698266352337219</v>
      </c>
      <c r="J1094" s="28">
        <f t="shared" ref="J1094:J1157" si="364">vang($S$2,$S$3,$S$4,$A1094,$Q$2,$O$3,$Q$4,$U1094,$V1094,$W1094,$X1094,$Y1094,$Z1094)</f>
        <v>4.7487147337069288E-3</v>
      </c>
      <c r="K1094" s="24">
        <f t="shared" ref="K1094:K1157" si="365">slant_rng($S$2,$S$3,$S$4,$A1094,$Q$2,$O$3,$Q$4,$U1094,$V1094,$W1094)</f>
        <v>1048.0623859654065</v>
      </c>
      <c r="L1094" s="32">
        <f t="shared" ref="L1094:L1157" si="366">radec2("ra",$S$2,$S$3,$S$4,$A1094,$Q$2,$O$3,$Q$4,$U1094,$V1094,$W1094)/24</f>
        <v>0.56376043961878064</v>
      </c>
      <c r="M1094" s="35">
        <f t="shared" ref="M1094:M1157" si="367">radec2("dec",$S$2,$S$3,$S$4,$A1094,$Q$2,$O$3,$Q$4,$U1094,$V1094,$W1094)</f>
        <v>12.913599127966673</v>
      </c>
      <c r="O1094" s="29">
        <f t="shared" ref="O1094:O1157" si="368">DEGREES(ACOS(SIN(RADIANS($B1094))*SIN(RADIANS($O$2))+COS(RADIANS($B1094))*COS(RADIANS($O$2))*COS(RADIANS($C1094-$O$3))))*111.2</f>
        <v>1046.5861557029759</v>
      </c>
      <c r="T1094" s="48">
        <v>0.75212973379629633</v>
      </c>
      <c r="U1094" s="29">
        <v>-1470.7544362206013</v>
      </c>
      <c r="V1094" s="29">
        <v>4508.6706372724911</v>
      </c>
      <c r="W1094" s="29">
        <v>4255.3252965843512</v>
      </c>
      <c r="X1094" s="4">
        <v>-0.3251397576978638</v>
      </c>
      <c r="Y1094" s="4">
        <v>-0.11841201780956574</v>
      </c>
      <c r="Z1094" s="4">
        <v>-1.0605893093320206E-2</v>
      </c>
      <c r="AA1094" s="3">
        <f t="shared" si="352"/>
        <v>0.34619323067597008</v>
      </c>
      <c r="AB1094" s="3">
        <f t="shared" si="355"/>
        <v>1.314132287752598E-3</v>
      </c>
      <c r="AC1094" s="3">
        <f t="shared" si="353"/>
        <v>1.5855999077366529E-2</v>
      </c>
      <c r="AD1094" s="48"/>
      <c r="AE1094" s="46">
        <f t="shared" ref="AE1094:AE1157" si="369">$B1094</f>
        <v>42.092147131315251</v>
      </c>
      <c r="AF1094" s="46">
        <f t="shared" ref="AF1094:AF1157" si="370">$C1094-360</f>
        <v>-248.53981389048738</v>
      </c>
      <c r="AG1094" s="47">
        <f t="shared" ref="AG1094:AG1157" si="371">$D1094*1000</f>
        <v>3165.7602174382191</v>
      </c>
      <c r="AH1094" s="45" t="str">
        <f t="shared" si="354"/>
        <v>-248.53981,42.09215,03166</v>
      </c>
      <c r="AI1094" s="44">
        <f t="shared" si="356"/>
        <v>1021.3797556459213</v>
      </c>
    </row>
    <row r="1095" spans="1:35" ht="18" customHeight="1" x14ac:dyDescent="0.25">
      <c r="A1095" s="36">
        <f t="shared" ref="A1095:A1158" si="372">$T1095+$S$5/86400</f>
        <v>0.75214126157407402</v>
      </c>
      <c r="B1095" s="42">
        <f t="shared" si="357"/>
        <v>42.092147129288882</v>
      </c>
      <c r="C1095" s="43">
        <f t="shared" si="358"/>
        <v>111.46018871500628</v>
      </c>
      <c r="D1095" s="18">
        <f t="shared" si="359"/>
        <v>3.1499984361917086</v>
      </c>
      <c r="E1095" s="21" t="str">
        <f t="shared" si="360"/>
        <v>Umbra</v>
      </c>
      <c r="F1095" s="23">
        <f>IF($E1095&lt;&gt;"Umbra",fracil2($S$2,$S$3,$S$4,$A1095,$Q$2,$O$3,$Q$4,$U1095,$V1095,$W1095),0)</f>
        <v>0</v>
      </c>
      <c r="G1095" s="19">
        <f t="shared" si="361"/>
        <v>69.301799504734817</v>
      </c>
      <c r="H1095" s="19">
        <f t="shared" si="362"/>
        <v>-4.6787041806237299</v>
      </c>
      <c r="I1095" s="19">
        <f t="shared" si="363"/>
        <v>-3.4706862312288349</v>
      </c>
      <c r="J1095" s="28">
        <f t="shared" si="364"/>
        <v>4.7481519296269613E-3</v>
      </c>
      <c r="K1095" s="24">
        <f t="shared" si="365"/>
        <v>1048.0612764158752</v>
      </c>
      <c r="L1095" s="32">
        <f t="shared" si="366"/>
        <v>0.56377381441344598</v>
      </c>
      <c r="M1095" s="35">
        <f t="shared" si="367"/>
        <v>12.913016730003358</v>
      </c>
      <c r="O1095" s="29">
        <f t="shared" si="368"/>
        <v>1046.5863651426166</v>
      </c>
      <c r="T1095" s="48">
        <v>0.75214126157407402</v>
      </c>
      <c r="U1095" s="29">
        <v>-1471.0784716898249</v>
      </c>
      <c r="V1095" s="29">
        <v>4508.5526191303352</v>
      </c>
      <c r="W1095" s="29">
        <v>4255.3147309019778</v>
      </c>
      <c r="X1095" s="4">
        <v>-0.32513329341529773</v>
      </c>
      <c r="Y1095" s="4">
        <v>-0.11842631568110508</v>
      </c>
      <c r="Z1095" s="4">
        <v>-1.0597279024636185E-2</v>
      </c>
      <c r="AA1095" s="3">
        <f t="shared" ref="AA1095:AA1158" si="373">SQRT($X1095*$X1095+$Y1095*$Y1095+$Z1095*$Z1095)</f>
        <v>0.34619178652244892</v>
      </c>
      <c r="AB1095" s="3">
        <f t="shared" si="355"/>
        <v>1.3129009836391307E-3</v>
      </c>
      <c r="AC1095" s="3">
        <f t="shared" ref="AC1095:AC1158" si="374">vrel($S$2,$S$3,$S$4,$A1095,$B1095,$C1095,$U1095,$V1095,$W1095,$X1095,$Y1095,$Z1095)</f>
        <v>1.5843176267549247E-2</v>
      </c>
      <c r="AD1095" s="48"/>
      <c r="AE1095" s="46">
        <f t="shared" si="369"/>
        <v>42.092147129288882</v>
      </c>
      <c r="AF1095" s="46">
        <f t="shared" si="370"/>
        <v>-248.53981128499373</v>
      </c>
      <c r="AG1095" s="47">
        <f t="shared" si="371"/>
        <v>3149.9984361917086</v>
      </c>
      <c r="AH1095" s="45" t="str">
        <f t="shared" ref="AH1095:AH1158" si="375">CONCATENATE(TEXT($AF1095,"00.00000"),",",TEXT($AE1095,"00.00000"),",",TEXT($AG1095,"00000"))</f>
        <v>-248.53981,42.09215,03150</v>
      </c>
      <c r="AI1095" s="44">
        <f t="shared" si="356"/>
        <v>1021.3799679277013</v>
      </c>
    </row>
    <row r="1096" spans="1:35" ht="18" customHeight="1" x14ac:dyDescent="0.25">
      <c r="A1096" s="36">
        <f t="shared" si="372"/>
        <v>0.75215285879629634</v>
      </c>
      <c r="B1096" s="42">
        <f t="shared" si="357"/>
        <v>42.092147127254258</v>
      </c>
      <c r="C1096" s="43">
        <f t="shared" si="358"/>
        <v>111.46018871913581</v>
      </c>
      <c r="D1096" s="18">
        <f t="shared" si="359"/>
        <v>3.1341645111497201</v>
      </c>
      <c r="E1096" s="21" t="str">
        <f t="shared" si="360"/>
        <v>Umbra</v>
      </c>
      <c r="F1096" s="23">
        <f>IF($E1096&lt;&gt;"Umbra",fracil2($S$2,$S$3,$S$4,$A1096,$Q$2,$O$3,$Q$4,$U1096,$V1096,$W1096),0)</f>
        <v>0</v>
      </c>
      <c r="G1096" s="19">
        <f t="shared" si="361"/>
        <v>69.301802346667515</v>
      </c>
      <c r="H1096" s="19">
        <f t="shared" si="362"/>
        <v>-4.6795667574313242</v>
      </c>
      <c r="I1096" s="19">
        <f t="shared" si="363"/>
        <v>-3.4715488080364292</v>
      </c>
      <c r="J1096" s="28">
        <f t="shared" si="364"/>
        <v>4.7475871412260111E-3</v>
      </c>
      <c r="K1096" s="24">
        <f t="shared" si="365"/>
        <v>1048.0599519478608</v>
      </c>
      <c r="L1096" s="32">
        <f t="shared" si="366"/>
        <v>0.56378727018324681</v>
      </c>
      <c r="M1096" s="35">
        <f t="shared" si="367"/>
        <v>12.912434267356412</v>
      </c>
      <c r="O1096" s="29">
        <f t="shared" si="368"/>
        <v>1046.5863654237537</v>
      </c>
      <c r="T1096" s="48">
        <v>0.75215285879629634</v>
      </c>
      <c r="U1096" s="29">
        <v>-1471.4042490313375</v>
      </c>
      <c r="V1096" s="29">
        <v>4508.4339498363715</v>
      </c>
      <c r="W1096" s="29">
        <v>4255.3041168591371</v>
      </c>
      <c r="X1096" s="4">
        <v>-0.32512678975267373</v>
      </c>
      <c r="Y1096" s="4">
        <v>-0.1184407053479707</v>
      </c>
      <c r="Z1096" s="4">
        <v>-1.0588632491079672E-2</v>
      </c>
      <c r="AA1096" s="3">
        <f t="shared" si="373"/>
        <v>0.34619033671700783</v>
      </c>
      <c r="AB1096" s="3">
        <f t="shared" ref="AB1096:AB1159" si="376">-($AC1096-$AC1095)/(($A1096-$A1095)*86400)*1000/9.806</f>
        <v>1.3099532229765988E-3</v>
      </c>
      <c r="AC1096" s="3">
        <f t="shared" si="374"/>
        <v>1.5830305175442014E-2</v>
      </c>
      <c r="AD1096" s="48"/>
      <c r="AE1096" s="46">
        <f t="shared" si="369"/>
        <v>42.092147127254258</v>
      </c>
      <c r="AF1096" s="46">
        <f t="shared" si="370"/>
        <v>-248.53981128086417</v>
      </c>
      <c r="AG1096" s="47">
        <f t="shared" si="371"/>
        <v>3134.1645111497201</v>
      </c>
      <c r="AH1096" s="45" t="str">
        <f t="shared" si="375"/>
        <v>-248.53981,42.09215,03134</v>
      </c>
      <c r="AI1096" s="44">
        <f t="shared" ref="AI1096:AI1159" si="377">IFERROR(ACOS(SIN(RADIANS($B1095))*SIN(RADIANS($B1096))+COS(RADIANS($B1095))*COS(RADIANS($B1096))*COS(RADIANS($C1095-$C1096)))*6371,0)+AI1095</f>
        <v>1021.3799679277013</v>
      </c>
    </row>
    <row r="1097" spans="1:35" ht="18" customHeight="1" x14ac:dyDescent="0.25">
      <c r="A1097" s="36">
        <f t="shared" si="372"/>
        <v>0.75216445601851856</v>
      </c>
      <c r="B1097" s="42">
        <f t="shared" si="357"/>
        <v>42.092147125223192</v>
      </c>
      <c r="C1097" s="43">
        <f t="shared" si="358"/>
        <v>111.46018727960018</v>
      </c>
      <c r="D1097" s="18">
        <f t="shared" si="359"/>
        <v>3.1183489520844887</v>
      </c>
      <c r="E1097" s="21" t="str">
        <f t="shared" si="360"/>
        <v>Umbra</v>
      </c>
      <c r="F1097" s="23">
        <f>IF($E1097&lt;&gt;"Umbra",fracil2($S$2,$S$3,$S$4,$A1097,$Q$2,$O$3,$Q$4,$U1097,$V1097,$W1097),0)</f>
        <v>0</v>
      </c>
      <c r="G1097" s="19">
        <f t="shared" si="361"/>
        <v>69.301803716120673</v>
      </c>
      <c r="H1097" s="19">
        <f t="shared" si="362"/>
        <v>-4.6804278081487025</v>
      </c>
      <c r="I1097" s="19">
        <f t="shared" si="363"/>
        <v>-3.4724098587538075</v>
      </c>
      <c r="J1097" s="28">
        <f t="shared" si="364"/>
        <v>4.7470235873349458E-3</v>
      </c>
      <c r="K1097" s="24">
        <f t="shared" si="365"/>
        <v>1048.0585132008166</v>
      </c>
      <c r="L1097" s="32">
        <f t="shared" si="366"/>
        <v>0.56380072550894633</v>
      </c>
      <c r="M1097" s="35">
        <f t="shared" si="367"/>
        <v>12.911853914058756</v>
      </c>
      <c r="O1097" s="29">
        <f t="shared" si="368"/>
        <v>1046.5862496295183</v>
      </c>
      <c r="T1097" s="48">
        <v>0.75216445601851856</v>
      </c>
      <c r="U1097" s="29">
        <v>-1471.7299075195297</v>
      </c>
      <c r="V1097" s="29">
        <v>4508.3153070439912</v>
      </c>
      <c r="W1097" s="29">
        <v>4255.2935151277634</v>
      </c>
      <c r="X1097" s="4">
        <v>-0.32512028366803231</v>
      </c>
      <c r="Y1097" s="4">
        <v>-0.1184551051906207</v>
      </c>
      <c r="Z1097" s="4">
        <v>-1.0580003417481406E-2</v>
      </c>
      <c r="AA1097" s="3">
        <f t="shared" si="373"/>
        <v>0.3461888895825756</v>
      </c>
      <c r="AB1097" s="3">
        <f t="shared" si="376"/>
        <v>1.3073034792503992E-3</v>
      </c>
      <c r="AC1097" s="3">
        <f t="shared" si="374"/>
        <v>1.5817460118688658E-2</v>
      </c>
      <c r="AD1097" s="48"/>
      <c r="AE1097" s="46">
        <f t="shared" si="369"/>
        <v>42.092147125223192</v>
      </c>
      <c r="AF1097" s="46">
        <f t="shared" si="370"/>
        <v>-248.53981272039982</v>
      </c>
      <c r="AG1097" s="47">
        <f t="shared" si="371"/>
        <v>3118.3489520844887</v>
      </c>
      <c r="AH1097" s="45" t="str">
        <f t="shared" si="375"/>
        <v>-248.53981,42.09215,03118</v>
      </c>
      <c r="AI1097" s="44">
        <f t="shared" si="377"/>
        <v>1021.3801021864863</v>
      </c>
    </row>
    <row r="1098" spans="1:35" ht="18" customHeight="1" x14ac:dyDescent="0.25">
      <c r="A1098" s="36">
        <f t="shared" si="372"/>
        <v>0.75217601851851856</v>
      </c>
      <c r="B1098" s="42">
        <f t="shared" si="357"/>
        <v>42.092147123200562</v>
      </c>
      <c r="C1098" s="43">
        <f t="shared" si="358"/>
        <v>111.46018693160204</v>
      </c>
      <c r="D1098" s="18">
        <f t="shared" si="359"/>
        <v>3.1025894671083734</v>
      </c>
      <c r="E1098" s="21" t="str">
        <f t="shared" si="360"/>
        <v>Umbra</v>
      </c>
      <c r="F1098" s="23">
        <f>IF($E1098&lt;&gt;"Umbra",fracil2($S$2,$S$3,$S$4,$A1098,$Q$2,$O$3,$Q$4,$U1098,$V1098,$W1098),0)</f>
        <v>0</v>
      </c>
      <c r="G1098" s="19">
        <f t="shared" si="361"/>
        <v>69.301806186371593</v>
      </c>
      <c r="H1098" s="19">
        <f t="shared" si="362"/>
        <v>-4.6812862054541693</v>
      </c>
      <c r="I1098" s="19">
        <f t="shared" si="363"/>
        <v>-3.4732682560592743</v>
      </c>
      <c r="J1098" s="28">
        <f t="shared" si="364"/>
        <v>4.7464624881300831E-3</v>
      </c>
      <c r="K1098" s="24">
        <f t="shared" si="365"/>
        <v>1048.0571671266325</v>
      </c>
      <c r="L1098" s="32">
        <f t="shared" si="366"/>
        <v>0.56381413828112559</v>
      </c>
      <c r="M1098" s="35">
        <f t="shared" si="367"/>
        <v>12.911274527878462</v>
      </c>
      <c r="O1098" s="29">
        <f t="shared" si="368"/>
        <v>1046.5862215987188</v>
      </c>
      <c r="T1098" s="48">
        <v>0.75217601851851856</v>
      </c>
      <c r="U1098" s="29">
        <v>-1472.0546690984461</v>
      </c>
      <c r="V1098" s="29">
        <v>4508.196974273983</v>
      </c>
      <c r="W1098" s="29">
        <v>4255.282950984948</v>
      </c>
      <c r="X1098" s="4">
        <v>-0.32511379087007125</v>
      </c>
      <c r="Y1098" s="4">
        <v>-0.1184694802822182</v>
      </c>
      <c r="Z1098" s="4">
        <v>-1.0571411925735307E-2</v>
      </c>
      <c r="AA1098" s="3">
        <f t="shared" si="373"/>
        <v>0.34618744853381223</v>
      </c>
      <c r="AB1098" s="3">
        <f t="shared" si="376"/>
        <v>1.3055140239352514E-3</v>
      </c>
      <c r="AC1098" s="3">
        <f t="shared" si="374"/>
        <v>1.5804671050040461E-2</v>
      </c>
      <c r="AD1098" s="48"/>
      <c r="AE1098" s="46">
        <f t="shared" si="369"/>
        <v>42.092147123200562</v>
      </c>
      <c r="AF1098" s="46">
        <f t="shared" si="370"/>
        <v>-248.53981306839796</v>
      </c>
      <c r="AG1098" s="47">
        <f t="shared" si="371"/>
        <v>3102.5894671083734</v>
      </c>
      <c r="AH1098" s="45" t="str">
        <f t="shared" si="375"/>
        <v>-248.53981,42.09215,03103</v>
      </c>
      <c r="AI1098" s="44">
        <f t="shared" si="377"/>
        <v>1021.3801021864863</v>
      </c>
    </row>
    <row r="1099" spans="1:35" ht="18" customHeight="1" x14ac:dyDescent="0.25">
      <c r="A1099" s="36">
        <f t="shared" si="372"/>
        <v>0.75218754629629636</v>
      </c>
      <c r="B1099" s="42">
        <f t="shared" si="357"/>
        <v>42.092147121185555</v>
      </c>
      <c r="C1099" s="43">
        <f t="shared" si="358"/>
        <v>111.46018925100664</v>
      </c>
      <c r="D1099" s="18">
        <f t="shared" si="359"/>
        <v>3.0868799856780242</v>
      </c>
      <c r="E1099" s="21" t="str">
        <f t="shared" si="360"/>
        <v>Umbra</v>
      </c>
      <c r="F1099" s="23">
        <f>IF($E1099&lt;&gt;"Umbra",fracil2($S$2,$S$3,$S$4,$A1099,$Q$2,$O$3,$Q$4,$U1099,$V1099,$W1099),0)</f>
        <v>0</v>
      </c>
      <c r="G1099" s="19">
        <f t="shared" si="361"/>
        <v>69.301811362239505</v>
      </c>
      <c r="H1099" s="19">
        <f t="shared" si="362"/>
        <v>-4.6821428556847327</v>
      </c>
      <c r="I1099" s="19">
        <f t="shared" si="363"/>
        <v>-3.4741249062898376</v>
      </c>
      <c r="J1099" s="28">
        <f t="shared" si="364"/>
        <v>4.745903614776956E-3</v>
      </c>
      <c r="K1099" s="24">
        <f t="shared" si="365"/>
        <v>1048.0560398946388</v>
      </c>
      <c r="L1099" s="32">
        <f t="shared" si="366"/>
        <v>0.56382750737056819</v>
      </c>
      <c r="M1099" s="35">
        <f t="shared" si="367"/>
        <v>12.910694313658054</v>
      </c>
      <c r="O1099" s="29">
        <f t="shared" si="368"/>
        <v>1046.5864080361391</v>
      </c>
      <c r="T1099" s="48">
        <v>0.75218754629629636</v>
      </c>
      <c r="U1099" s="29">
        <v>-1472.3786564376128</v>
      </c>
      <c r="V1099" s="29">
        <v>4508.0789069404436</v>
      </c>
      <c r="W1099" s="29">
        <v>4255.2724203613843</v>
      </c>
      <c r="X1099" s="4">
        <v>-0.32510730868878207</v>
      </c>
      <c r="Y1099" s="4">
        <v>-0.11848383669936526</v>
      </c>
      <c r="Z1099" s="4">
        <v>-1.0562855388726096E-2</v>
      </c>
      <c r="AA1099" s="3">
        <f t="shared" si="373"/>
        <v>0.34618601305631636</v>
      </c>
      <c r="AB1099" s="3">
        <f t="shared" si="376"/>
        <v>1.304114234996703E-3</v>
      </c>
      <c r="AC1099" s="3">
        <f t="shared" si="374"/>
        <v>1.5791934058428814E-2</v>
      </c>
      <c r="AD1099" s="48"/>
      <c r="AE1099" s="46">
        <f t="shared" si="369"/>
        <v>42.092147121185555</v>
      </c>
      <c r="AF1099" s="46">
        <f t="shared" si="370"/>
        <v>-248.53981074899338</v>
      </c>
      <c r="AG1099" s="47">
        <f t="shared" si="371"/>
        <v>3086.8799856780242</v>
      </c>
      <c r="AH1099" s="45" t="str">
        <f t="shared" si="375"/>
        <v>-248.53981,42.09215,03087</v>
      </c>
      <c r="AI1099" s="44">
        <f t="shared" si="377"/>
        <v>1021.3803144682663</v>
      </c>
    </row>
    <row r="1100" spans="1:35" ht="18" customHeight="1" x14ac:dyDescent="0.25">
      <c r="A1100" s="36">
        <f t="shared" si="372"/>
        <v>0.75219912037037029</v>
      </c>
      <c r="B1100" s="42">
        <f t="shared" si="357"/>
        <v>42.092147119166</v>
      </c>
      <c r="C1100" s="43">
        <f t="shared" si="358"/>
        <v>111.4601898374173</v>
      </c>
      <c r="D1100" s="18">
        <f t="shared" si="359"/>
        <v>3.0711267675642375</v>
      </c>
      <c r="E1100" s="21" t="str">
        <f t="shared" si="360"/>
        <v>Umbra</v>
      </c>
      <c r="F1100" s="23">
        <f>IF($E1100&lt;&gt;"Umbra",fracil2($S$2,$S$3,$S$4,$A1100,$Q$2,$O$3,$Q$4,$U1100,$V1100,$W1100),0)</f>
        <v>0</v>
      </c>
      <c r="G1100" s="19">
        <f t="shared" si="361"/>
        <v>69.301814782313528</v>
      </c>
      <c r="H1100" s="19">
        <f t="shared" si="362"/>
        <v>-4.683001257219102</v>
      </c>
      <c r="I1100" s="19">
        <f t="shared" si="363"/>
        <v>-3.4749833078242069</v>
      </c>
      <c r="J1100" s="28">
        <f t="shared" si="364"/>
        <v>4.7453436325015719E-3</v>
      </c>
      <c r="K1100" s="24">
        <f t="shared" si="365"/>
        <v>1048.0547699288304</v>
      </c>
      <c r="L1100" s="32">
        <f t="shared" si="366"/>
        <v>0.56384092993973989</v>
      </c>
      <c r="M1100" s="35">
        <f t="shared" si="367"/>
        <v>12.910114212940435</v>
      </c>
      <c r="O1100" s="29">
        <f t="shared" si="368"/>
        <v>1046.5864551349857</v>
      </c>
      <c r="T1100" s="48">
        <v>0.75219912037037029</v>
      </c>
      <c r="U1100" s="29">
        <v>-1472.703802865228</v>
      </c>
      <c r="V1100" s="29">
        <v>4507.9604004545499</v>
      </c>
      <c r="W1100" s="29">
        <v>4255.2618604196587</v>
      </c>
      <c r="X1100" s="4">
        <v>-0.32510079927470281</v>
      </c>
      <c r="Y1100" s="4">
        <v>-0.11849825754869731</v>
      </c>
      <c r="Z1100" s="4">
        <v>-1.0554280312556213E-2</v>
      </c>
      <c r="AA1100" s="3">
        <f t="shared" si="373"/>
        <v>0.34618457441666001</v>
      </c>
      <c r="AB1100" s="3">
        <f t="shared" si="376"/>
        <v>1.3017075199654718E-3</v>
      </c>
      <c r="AC1100" s="3">
        <f t="shared" si="374"/>
        <v>1.5779169514488194E-2</v>
      </c>
      <c r="AD1100" s="48"/>
      <c r="AE1100" s="46">
        <f t="shared" si="369"/>
        <v>42.092147119166</v>
      </c>
      <c r="AF1100" s="46">
        <f t="shared" si="370"/>
        <v>-248.53981016258268</v>
      </c>
      <c r="AG1100" s="47">
        <f t="shared" si="371"/>
        <v>3071.1267675642375</v>
      </c>
      <c r="AH1100" s="45" t="str">
        <f t="shared" si="375"/>
        <v>-248.53981,42.09215,03071</v>
      </c>
      <c r="AI1100" s="44">
        <f t="shared" si="377"/>
        <v>1021.3803144682663</v>
      </c>
    </row>
    <row r="1101" spans="1:35" ht="18" customHeight="1" x14ac:dyDescent="0.25">
      <c r="A1101" s="36">
        <f t="shared" si="372"/>
        <v>0.7522106481481482</v>
      </c>
      <c r="B1101" s="42">
        <f t="shared" si="357"/>
        <v>42.092147117158561</v>
      </c>
      <c r="C1101" s="43">
        <f t="shared" si="358"/>
        <v>111.46018725066659</v>
      </c>
      <c r="D1101" s="18">
        <f t="shared" si="359"/>
        <v>3.0554612064815956</v>
      </c>
      <c r="E1101" s="21" t="str">
        <f t="shared" si="360"/>
        <v>Umbra</v>
      </c>
      <c r="F1101" s="23">
        <f>IF($E1101&lt;&gt;"Umbra",fracil2($S$2,$S$3,$S$4,$A1101,$Q$2,$O$3,$Q$4,$U1101,$V1101,$W1101),0)</f>
        <v>0</v>
      </c>
      <c r="G1101" s="19">
        <f t="shared" si="361"/>
        <v>69.30181495741347</v>
      </c>
      <c r="H1101" s="19">
        <f t="shared" si="362"/>
        <v>-4.6838537263686533</v>
      </c>
      <c r="I1101" s="19">
        <f t="shared" si="363"/>
        <v>-3.4758357769737582</v>
      </c>
      <c r="J1101" s="28">
        <f t="shared" si="364"/>
        <v>4.7447874470999268E-3</v>
      </c>
      <c r="K1101" s="24">
        <f t="shared" si="365"/>
        <v>1048.0532524432679</v>
      </c>
      <c r="L1101" s="32">
        <f t="shared" si="366"/>
        <v>0.56385429965609013</v>
      </c>
      <c r="M1101" s="35">
        <f t="shared" si="367"/>
        <v>12.909540495660531</v>
      </c>
      <c r="O1101" s="29">
        <f t="shared" si="368"/>
        <v>1046.5862471014416</v>
      </c>
      <c r="T1101" s="48">
        <v>0.7522106481481482</v>
      </c>
      <c r="U1101" s="29">
        <v>-1473.0273955204887</v>
      </c>
      <c r="V1101" s="29">
        <v>4507.8424435887218</v>
      </c>
      <c r="W1101" s="29">
        <v>4255.251359237629</v>
      </c>
      <c r="X1101" s="4">
        <v>-0.32509431599660793</v>
      </c>
      <c r="Y1101" s="4">
        <v>-0.118512625382938</v>
      </c>
      <c r="Z1101" s="4">
        <v>-1.0545760974944354E-2</v>
      </c>
      <c r="AA1101" s="3">
        <f t="shared" si="373"/>
        <v>0.34618314479910722</v>
      </c>
      <c r="AB1101" s="3">
        <f t="shared" si="376"/>
        <v>1.2984355666170941E-3</v>
      </c>
      <c r="AC1101" s="3">
        <f t="shared" si="374"/>
        <v>1.5766487985158468E-2</v>
      </c>
      <c r="AD1101" s="48"/>
      <c r="AE1101" s="46">
        <f t="shared" si="369"/>
        <v>42.092147117158561</v>
      </c>
      <c r="AF1101" s="46">
        <f t="shared" si="370"/>
        <v>-248.53981274933341</v>
      </c>
      <c r="AG1101" s="47">
        <f t="shared" si="371"/>
        <v>3055.4612064815956</v>
      </c>
      <c r="AH1101" s="45" t="str">
        <f t="shared" si="375"/>
        <v>-248.53981,42.09215,03055</v>
      </c>
      <c r="AI1101" s="44">
        <f t="shared" si="377"/>
        <v>1021.3805470113049</v>
      </c>
    </row>
    <row r="1102" spans="1:35" ht="18" customHeight="1" x14ac:dyDescent="0.25">
      <c r="A1102" s="36">
        <f t="shared" si="372"/>
        <v>0.75222230324074069</v>
      </c>
      <c r="B1102" s="42">
        <f t="shared" si="357"/>
        <v>42.092147115129123</v>
      </c>
      <c r="C1102" s="43">
        <f t="shared" si="358"/>
        <v>111.46019039792306</v>
      </c>
      <c r="D1102" s="18">
        <f t="shared" si="359"/>
        <v>3.0396138007972695</v>
      </c>
      <c r="E1102" s="21" t="str">
        <f t="shared" si="360"/>
        <v>Umbra</v>
      </c>
      <c r="F1102" s="23">
        <f>IF($E1102&lt;&gt;"Umbra",fracil2($S$2,$S$3,$S$4,$A1102,$Q$2,$O$3,$Q$4,$U1102,$V1102,$W1102),0)</f>
        <v>0</v>
      </c>
      <c r="G1102" s="19">
        <f t="shared" si="361"/>
        <v>69.301821000511751</v>
      </c>
      <c r="H1102" s="19">
        <f t="shared" si="362"/>
        <v>-4.6847181986526882</v>
      </c>
      <c r="I1102" s="19">
        <f t="shared" si="363"/>
        <v>-3.4767002492577932</v>
      </c>
      <c r="J1102" s="28">
        <f t="shared" si="364"/>
        <v>4.7442251399842442E-3</v>
      </c>
      <c r="K1102" s="24">
        <f t="shared" si="365"/>
        <v>1048.0521809342606</v>
      </c>
      <c r="L1102" s="32">
        <f t="shared" si="366"/>
        <v>0.56386781135801878</v>
      </c>
      <c r="M1102" s="35">
        <f t="shared" si="367"/>
        <v>12.908954362594468</v>
      </c>
      <c r="O1102" s="29">
        <f t="shared" si="368"/>
        <v>1046.5865001005304</v>
      </c>
      <c r="T1102" s="48">
        <v>0.75222230324074069</v>
      </c>
      <c r="U1102" s="29">
        <v>-1473.3550038022377</v>
      </c>
      <c r="V1102" s="29">
        <v>4507.7230059616895</v>
      </c>
      <c r="W1102" s="29">
        <v>4255.2407361588093</v>
      </c>
      <c r="X1102" s="4">
        <v>-0.32508774736278651</v>
      </c>
      <c r="Y1102" s="4">
        <v>-0.11852718719653979</v>
      </c>
      <c r="Z1102" s="4">
        <v>-1.0537150467482128E-2</v>
      </c>
      <c r="AA1102" s="3">
        <f t="shared" si="373"/>
        <v>0.34618169958868256</v>
      </c>
      <c r="AB1102" s="3">
        <f t="shared" si="376"/>
        <v>1.297990957871655E-3</v>
      </c>
      <c r="AC1102" s="3">
        <f t="shared" si="374"/>
        <v>1.5753670789130363E-2</v>
      </c>
      <c r="AD1102" s="48"/>
      <c r="AE1102" s="46">
        <f t="shared" si="369"/>
        <v>42.092147115129123</v>
      </c>
      <c r="AF1102" s="46">
        <f t="shared" si="370"/>
        <v>-248.53980960207696</v>
      </c>
      <c r="AG1102" s="47">
        <f t="shared" si="371"/>
        <v>3039.6138007972695</v>
      </c>
      <c r="AH1102" s="45" t="str">
        <f t="shared" si="375"/>
        <v>-248.53981,42.09215,03040</v>
      </c>
      <c r="AI1102" s="44">
        <f t="shared" si="377"/>
        <v>1021.3808318171988</v>
      </c>
    </row>
    <row r="1103" spans="1:35" ht="18" customHeight="1" x14ac:dyDescent="0.25">
      <c r="A1103" s="36">
        <f t="shared" si="372"/>
        <v>0.75223384259259263</v>
      </c>
      <c r="B1103" s="42">
        <f t="shared" si="357"/>
        <v>42.092147113124781</v>
      </c>
      <c r="C1103" s="43">
        <f t="shared" si="358"/>
        <v>111.46018884462319</v>
      </c>
      <c r="D1103" s="18">
        <f t="shared" si="359"/>
        <v>3.0239540625752852</v>
      </c>
      <c r="E1103" s="21" t="str">
        <f t="shared" si="360"/>
        <v>Umbra</v>
      </c>
      <c r="F1103" s="23">
        <f>IF($E1103&lt;&gt;"Umbra",fracil2($S$2,$S$3,$S$4,$A1103,$Q$2,$O$3,$Q$4,$U1103,$V1103,$W1103),0)</f>
        <v>0</v>
      </c>
      <c r="G1103" s="19">
        <f t="shared" si="361"/>
        <v>69.301822226308218</v>
      </c>
      <c r="H1103" s="19">
        <f t="shared" si="362"/>
        <v>-4.6855707325669869</v>
      </c>
      <c r="I1103" s="19">
        <f t="shared" si="363"/>
        <v>-3.4775527831720918</v>
      </c>
      <c r="J1103" s="28">
        <f t="shared" si="364"/>
        <v>4.7436701573280908E-3</v>
      </c>
      <c r="K1103" s="24">
        <f t="shared" si="365"/>
        <v>1048.050747479559</v>
      </c>
      <c r="L1103" s="32">
        <f t="shared" si="366"/>
        <v>0.56388119080802679</v>
      </c>
      <c r="M1103" s="35">
        <f t="shared" si="367"/>
        <v>12.908379815561254</v>
      </c>
      <c r="O1103" s="29">
        <f t="shared" si="368"/>
        <v>1046.5863751599456</v>
      </c>
      <c r="T1103" s="48">
        <v>0.75223384259259263</v>
      </c>
      <c r="U1103" s="29">
        <v>-1473.6789889573067</v>
      </c>
      <c r="V1103" s="29">
        <v>4507.6048724205721</v>
      </c>
      <c r="W1103" s="29">
        <v>4255.2302388802445</v>
      </c>
      <c r="X1103" s="4">
        <v>-0.32508124675411432</v>
      </c>
      <c r="Y1103" s="4">
        <v>-0.11854160276249703</v>
      </c>
      <c r="Z1103" s="4">
        <v>-1.0528648900601919E-2</v>
      </c>
      <c r="AA1103" s="3">
        <f t="shared" si="373"/>
        <v>0.34618027243675098</v>
      </c>
      <c r="AB1103" s="3">
        <f t="shared" si="376"/>
        <v>1.2944184176456601E-3</v>
      </c>
      <c r="AC1103" s="3">
        <f t="shared" si="374"/>
        <v>1.5741015801327841E-2</v>
      </c>
      <c r="AD1103" s="48"/>
      <c r="AE1103" s="46">
        <f t="shared" si="369"/>
        <v>42.092147113124781</v>
      </c>
      <c r="AF1103" s="46">
        <f t="shared" si="370"/>
        <v>-248.53981115537681</v>
      </c>
      <c r="AG1103" s="47">
        <f t="shared" si="371"/>
        <v>3023.9540625752852</v>
      </c>
      <c r="AH1103" s="45" t="str">
        <f t="shared" si="375"/>
        <v>-248.53981,42.09215,03024</v>
      </c>
      <c r="AI1103" s="44">
        <f t="shared" si="377"/>
        <v>1021.3809660759838</v>
      </c>
    </row>
    <row r="1104" spans="1:35" ht="18" customHeight="1" x14ac:dyDescent="0.25">
      <c r="A1104" s="36">
        <f t="shared" si="372"/>
        <v>0.75224546296296291</v>
      </c>
      <c r="B1104" s="42">
        <f t="shared" si="357"/>
        <v>42.092147111109696</v>
      </c>
      <c r="C1104" s="43">
        <f t="shared" si="358"/>
        <v>111.46018658601869</v>
      </c>
      <c r="D1104" s="18">
        <f t="shared" si="359"/>
        <v>3.0081997482611769</v>
      </c>
      <c r="E1104" s="21" t="str">
        <f t="shared" si="360"/>
        <v>Umbra</v>
      </c>
      <c r="F1104" s="23">
        <f>IF($E1104&lt;&gt;"Umbra",fracil2($S$2,$S$3,$S$4,$A1104,$Q$2,$O$3,$Q$4,$U1104,$V1104,$W1104),0)</f>
        <v>0</v>
      </c>
      <c r="G1104" s="19">
        <f t="shared" si="361"/>
        <v>69.301822751284476</v>
      </c>
      <c r="H1104" s="19">
        <f t="shared" si="362"/>
        <v>-4.6864281635841927</v>
      </c>
      <c r="I1104" s="19">
        <f t="shared" si="363"/>
        <v>-3.4784102141892976</v>
      </c>
      <c r="J1104" s="28">
        <f t="shared" si="364"/>
        <v>4.743112216912552E-3</v>
      </c>
      <c r="K1104" s="24">
        <f t="shared" si="365"/>
        <v>1048.0492496592196</v>
      </c>
      <c r="L1104" s="32">
        <f t="shared" si="366"/>
        <v>0.56389466322902504</v>
      </c>
      <c r="M1104" s="35">
        <f t="shared" si="367"/>
        <v>12.907802486004433</v>
      </c>
      <c r="O1104" s="29">
        <f t="shared" si="368"/>
        <v>1046.5861935102498</v>
      </c>
      <c r="T1104" s="48">
        <v>0.75224546296296291</v>
      </c>
      <c r="U1104" s="29">
        <v>-1474.0051882612772</v>
      </c>
      <c r="V1104" s="29">
        <v>4507.485914633733</v>
      </c>
      <c r="W1104" s="29">
        <v>4255.2196782040792</v>
      </c>
      <c r="X1104" s="4">
        <v>-0.32507469774446685</v>
      </c>
      <c r="Y1104" s="4">
        <v>-0.11855612965793579</v>
      </c>
      <c r="Z1104" s="4">
        <v>-1.0520101060905498E-2</v>
      </c>
      <c r="AA1104" s="3">
        <f t="shared" si="373"/>
        <v>0.34617883748065453</v>
      </c>
      <c r="AB1104" s="3">
        <f t="shared" si="376"/>
        <v>1.2923852747906441E-3</v>
      </c>
      <c r="AC1104" s="3">
        <f t="shared" si="374"/>
        <v>1.5728291978803325E-2</v>
      </c>
      <c r="AD1104" s="48"/>
      <c r="AE1104" s="46">
        <f t="shared" si="369"/>
        <v>42.092147111109696</v>
      </c>
      <c r="AF1104" s="46">
        <f t="shared" si="370"/>
        <v>-248.53981341398131</v>
      </c>
      <c r="AG1104" s="47">
        <f t="shared" si="371"/>
        <v>3008.1997482611769</v>
      </c>
      <c r="AH1104" s="45" t="str">
        <f t="shared" si="375"/>
        <v>-248.53981,42.09215,03008</v>
      </c>
      <c r="AI1104" s="44">
        <f t="shared" si="377"/>
        <v>1021.3811559465797</v>
      </c>
    </row>
    <row r="1105" spans="1:35" ht="18" customHeight="1" x14ac:dyDescent="0.25">
      <c r="A1105" s="36">
        <f t="shared" si="372"/>
        <v>0.75225693287037032</v>
      </c>
      <c r="B1105" s="42">
        <f t="shared" si="357"/>
        <v>42.092147109121122</v>
      </c>
      <c r="C1105" s="43">
        <f t="shared" si="358"/>
        <v>111.46018861054873</v>
      </c>
      <c r="D1105" s="18">
        <f t="shared" si="359"/>
        <v>2.9926459963544403</v>
      </c>
      <c r="E1105" s="21" t="str">
        <f t="shared" si="360"/>
        <v>Umbra</v>
      </c>
      <c r="F1105" s="23">
        <f>IF($E1105&lt;&gt;"Umbra",fracil2($S$2,$S$3,$S$4,$A1105,$Q$2,$O$3,$Q$4,$U1105,$V1105,$W1105),0)</f>
        <v>0</v>
      </c>
      <c r="G1105" s="19">
        <f t="shared" si="361"/>
        <v>69.301827599195647</v>
      </c>
      <c r="H1105" s="19">
        <f t="shared" si="362"/>
        <v>-4.687276234374389</v>
      </c>
      <c r="I1105" s="19">
        <f t="shared" si="363"/>
        <v>-3.479258284979494</v>
      </c>
      <c r="J1105" s="28">
        <f t="shared" si="364"/>
        <v>4.7425616712096098E-3</v>
      </c>
      <c r="K1105" s="24">
        <f t="shared" si="365"/>
        <v>1048.0481131345598</v>
      </c>
      <c r="L1105" s="32">
        <f t="shared" si="366"/>
        <v>0.56390795666084348</v>
      </c>
      <c r="M1105" s="35">
        <f t="shared" si="367"/>
        <v>12.90722825667407</v>
      </c>
      <c r="O1105" s="29">
        <f t="shared" si="368"/>
        <v>1046.5863562394288</v>
      </c>
      <c r="T1105" s="48">
        <v>0.75225693287037032</v>
      </c>
      <c r="U1105" s="29">
        <v>-1474.3274883907125</v>
      </c>
      <c r="V1105" s="29">
        <v>4507.3683621123992</v>
      </c>
      <c r="W1105" s="29">
        <v>4255.2092519720882</v>
      </c>
      <c r="X1105" s="4">
        <v>-0.32506822266861585</v>
      </c>
      <c r="Y1105" s="4">
        <v>-0.11857049684167646</v>
      </c>
      <c r="Z1105" s="4">
        <v>-1.0511668295801274E-2</v>
      </c>
      <c r="AA1105" s="3">
        <f t="shared" si="373"/>
        <v>0.34617742167936916</v>
      </c>
      <c r="AB1105" s="3">
        <f t="shared" si="376"/>
        <v>1.2917074799119416E-3</v>
      </c>
      <c r="AC1105" s="3">
        <f t="shared" si="374"/>
        <v>1.5715739493607234E-2</v>
      </c>
      <c r="AD1105" s="48"/>
      <c r="AE1105" s="46">
        <f t="shared" si="369"/>
        <v>42.092147109121122</v>
      </c>
      <c r="AF1105" s="46">
        <f t="shared" si="370"/>
        <v>-248.53981138945127</v>
      </c>
      <c r="AG1105" s="47">
        <f t="shared" si="371"/>
        <v>2992.6459963544403</v>
      </c>
      <c r="AH1105" s="45" t="str">
        <f t="shared" si="375"/>
        <v>-248.53981,42.09215,02993</v>
      </c>
      <c r="AI1105" s="44">
        <f t="shared" si="377"/>
        <v>1021.3812902053647</v>
      </c>
    </row>
    <row r="1106" spans="1:35" ht="18" customHeight="1" x14ac:dyDescent="0.25">
      <c r="A1106" s="36">
        <f t="shared" si="372"/>
        <v>0.75226851851851861</v>
      </c>
      <c r="B1106" s="42">
        <f t="shared" si="357"/>
        <v>42.092147107115814</v>
      </c>
      <c r="C1106" s="43">
        <f t="shared" si="358"/>
        <v>111.46018936766089</v>
      </c>
      <c r="D1106" s="18">
        <f t="shared" si="359"/>
        <v>2.9769527742791979</v>
      </c>
      <c r="E1106" s="21" t="str">
        <f t="shared" si="360"/>
        <v>Umbra</v>
      </c>
      <c r="F1106" s="23">
        <f>IF($E1106&lt;&gt;"Umbra",fracil2($S$2,$S$3,$S$4,$A1106,$Q$2,$O$3,$Q$4,$U1106,$V1106,$W1106),0)</f>
        <v>0</v>
      </c>
      <c r="G1106" s="19">
        <f t="shared" si="361"/>
        <v>69.301831182280637</v>
      </c>
      <c r="H1106" s="19">
        <f t="shared" si="362"/>
        <v>-4.6881314424623977</v>
      </c>
      <c r="I1106" s="19">
        <f t="shared" si="363"/>
        <v>-3.4801134930675026</v>
      </c>
      <c r="J1106" s="28">
        <f t="shared" si="364"/>
        <v>4.7420068129317601E-3</v>
      </c>
      <c r="K1106" s="24">
        <f t="shared" si="365"/>
        <v>1048.046863307698</v>
      </c>
      <c r="L1106" s="32">
        <f t="shared" si="366"/>
        <v>0.56392138371267098</v>
      </c>
      <c r="M1106" s="35">
        <f t="shared" si="367"/>
        <v>12.906650154015601</v>
      </c>
      <c r="O1106" s="29">
        <f t="shared" si="368"/>
        <v>1046.5864170636007</v>
      </c>
      <c r="T1106" s="48">
        <v>0.75226851851851861</v>
      </c>
      <c r="U1106" s="29">
        <v>-1474.6529340809311</v>
      </c>
      <c r="V1106" s="29">
        <v>4507.2496454714865</v>
      </c>
      <c r="W1106" s="29">
        <v>4255.1987322483837</v>
      </c>
      <c r="X1106" s="4">
        <v>-0.32506167935708324</v>
      </c>
      <c r="Y1106" s="4">
        <v>-0.11858502028735209</v>
      </c>
      <c r="Z1106" s="4">
        <v>-1.0503168130427006E-2</v>
      </c>
      <c r="AA1106" s="3">
        <f t="shared" si="373"/>
        <v>0.34617599420493461</v>
      </c>
      <c r="AB1106" s="3">
        <f t="shared" si="376"/>
        <v>1.2890198467835616E-3</v>
      </c>
      <c r="AC1106" s="3">
        <f t="shared" si="374"/>
        <v>1.5703086724860899E-2</v>
      </c>
      <c r="AD1106" s="48"/>
      <c r="AE1106" s="46">
        <f t="shared" si="369"/>
        <v>42.092147107115814</v>
      </c>
      <c r="AF1106" s="46">
        <f t="shared" si="370"/>
        <v>-248.53981063233911</v>
      </c>
      <c r="AG1106" s="47">
        <f t="shared" si="371"/>
        <v>2976.9527742791979</v>
      </c>
      <c r="AH1106" s="45" t="str">
        <f t="shared" si="375"/>
        <v>-248.53981,42.09215,02977</v>
      </c>
      <c r="AI1106" s="44">
        <f t="shared" si="377"/>
        <v>1021.3812902053647</v>
      </c>
    </row>
    <row r="1107" spans="1:35" ht="18" customHeight="1" x14ac:dyDescent="0.25">
      <c r="A1107" s="36">
        <f t="shared" si="372"/>
        <v>0.75228020833333342</v>
      </c>
      <c r="B1107" s="42">
        <f t="shared" si="357"/>
        <v>42.092147105095265</v>
      </c>
      <c r="C1107" s="43">
        <f t="shared" si="358"/>
        <v>111.46019034391652</v>
      </c>
      <c r="D1107" s="18">
        <f t="shared" si="359"/>
        <v>2.9611305153957801</v>
      </c>
      <c r="E1107" s="21" t="str">
        <f t="shared" si="360"/>
        <v>Umbra</v>
      </c>
      <c r="F1107" s="23">
        <f>IF($E1107&lt;&gt;"Umbra",fracil2($S$2,$S$3,$S$4,$A1107,$Q$2,$O$3,$Q$4,$U1107,$V1107,$W1107),0)</f>
        <v>0</v>
      </c>
      <c r="G1107" s="19">
        <f t="shared" si="361"/>
        <v>69.301835011516417</v>
      </c>
      <c r="H1107" s="19">
        <f t="shared" si="362"/>
        <v>-4.6889937622184199</v>
      </c>
      <c r="I1107" s="19">
        <f t="shared" si="363"/>
        <v>-3.4809758128235249</v>
      </c>
      <c r="J1107" s="28">
        <f t="shared" si="364"/>
        <v>4.7414478994795223E-3</v>
      </c>
      <c r="K1107" s="24">
        <f t="shared" si="365"/>
        <v>1048.0456205560893</v>
      </c>
      <c r="L1107" s="32">
        <f t="shared" si="366"/>
        <v>0.56393492984838811</v>
      </c>
      <c r="M1107" s="35">
        <f t="shared" si="367"/>
        <v>12.906067079104858</v>
      </c>
      <c r="O1107" s="29">
        <f t="shared" si="368"/>
        <v>1046.586495507252</v>
      </c>
      <c r="T1107" s="48">
        <v>0.75228020833333342</v>
      </c>
      <c r="U1107" s="29">
        <v>-1474.9813157388132</v>
      </c>
      <c r="V1107" s="29">
        <v>4507.1298406750248</v>
      </c>
      <c r="W1107" s="29">
        <v>4255.1881260268319</v>
      </c>
      <c r="X1107" s="4">
        <v>-0.32505507226132796</v>
      </c>
      <c r="Y1107" s="4">
        <v>-0.11859968991721587</v>
      </c>
      <c r="Z1107" s="4">
        <v>-1.0494605341834736E-2</v>
      </c>
      <c r="AA1107" s="3">
        <f t="shared" si="373"/>
        <v>0.34617455595776786</v>
      </c>
      <c r="AB1107" s="3">
        <f t="shared" si="376"/>
        <v>1.2869409493467441E-3</v>
      </c>
      <c r="AC1107" s="3">
        <f t="shared" si="374"/>
        <v>1.5690340784482119E-2</v>
      </c>
      <c r="AD1107" s="48"/>
      <c r="AE1107" s="46">
        <f t="shared" si="369"/>
        <v>42.092147105095265</v>
      </c>
      <c r="AF1107" s="46">
        <f t="shared" si="370"/>
        <v>-248.53980965608349</v>
      </c>
      <c r="AG1107" s="47">
        <f t="shared" si="371"/>
        <v>2961.1305153957801</v>
      </c>
      <c r="AH1107" s="45" t="str">
        <f t="shared" si="375"/>
        <v>-248.53981,42.09215,02961</v>
      </c>
      <c r="AI1107" s="44">
        <f t="shared" si="377"/>
        <v>1021.3813851406627</v>
      </c>
    </row>
    <row r="1108" spans="1:35" ht="18" customHeight="1" x14ac:dyDescent="0.25">
      <c r="A1108" s="36">
        <f t="shared" si="372"/>
        <v>0.75229166666666669</v>
      </c>
      <c r="B1108" s="42">
        <f t="shared" si="357"/>
        <v>42.092147103118293</v>
      </c>
      <c r="C1108" s="43">
        <f t="shared" si="358"/>
        <v>111.46018954110768</v>
      </c>
      <c r="D1108" s="18">
        <f t="shared" si="359"/>
        <v>2.9456406703748144</v>
      </c>
      <c r="E1108" s="21" t="str">
        <f t="shared" si="360"/>
        <v>Umbra</v>
      </c>
      <c r="F1108" s="23">
        <f>IF($E1108&lt;&gt;"Umbra",fracil2($S$2,$S$3,$S$4,$A1108,$Q$2,$O$3,$Q$4,$U1108,$V1108,$W1108),0)</f>
        <v>0</v>
      </c>
      <c r="G1108" s="19">
        <f t="shared" si="361"/>
        <v>69.30183697066164</v>
      </c>
      <c r="H1108" s="19">
        <f t="shared" si="362"/>
        <v>-4.6898373256696484</v>
      </c>
      <c r="I1108" s="19">
        <f t="shared" si="363"/>
        <v>-3.4818193762747534</v>
      </c>
      <c r="J1108" s="28">
        <f t="shared" si="364"/>
        <v>4.7409012139139634E-3</v>
      </c>
      <c r="K1108" s="24">
        <f t="shared" si="365"/>
        <v>1048.044262779255</v>
      </c>
      <c r="L1108" s="32">
        <f t="shared" si="366"/>
        <v>0.56394820758409325</v>
      </c>
      <c r="M1108" s="35">
        <f t="shared" si="367"/>
        <v>12.905498001423808</v>
      </c>
      <c r="O1108" s="29">
        <f t="shared" si="368"/>
        <v>1046.5864309093138</v>
      </c>
      <c r="T1108" s="48">
        <v>0.75229166666666669</v>
      </c>
      <c r="U1108" s="29">
        <v>-1475.3030514108934</v>
      </c>
      <c r="V1108" s="29">
        <v>4507.0124438173416</v>
      </c>
      <c r="W1108" s="29">
        <v>4255.1777426341814</v>
      </c>
      <c r="X1108" s="4">
        <v>-0.32504859466648073</v>
      </c>
      <c r="Y1108" s="4">
        <v>-0.1186140761441869</v>
      </c>
      <c r="Z1108" s="4">
        <v>-1.0486228332088818E-2</v>
      </c>
      <c r="AA1108" s="3">
        <f t="shared" si="373"/>
        <v>0.34617314878370586</v>
      </c>
      <c r="AB1108" s="3">
        <f t="shared" si="376"/>
        <v>1.2844496100403858E-3</v>
      </c>
      <c r="AC1108" s="3">
        <f t="shared" si="374"/>
        <v>1.5677871424734893E-2</v>
      </c>
      <c r="AD1108" s="48"/>
      <c r="AE1108" s="46">
        <f t="shared" si="369"/>
        <v>42.092147103118293</v>
      </c>
      <c r="AF1108" s="46">
        <f t="shared" si="370"/>
        <v>-248.5398104588923</v>
      </c>
      <c r="AG1108" s="47">
        <f t="shared" si="371"/>
        <v>2945.6406703748144</v>
      </c>
      <c r="AH1108" s="45" t="str">
        <f t="shared" si="375"/>
        <v>-248.53981,42.09215,02946</v>
      </c>
      <c r="AI1108" s="44">
        <f t="shared" si="377"/>
        <v>1021.3813851406627</v>
      </c>
    </row>
    <row r="1109" spans="1:35" ht="18" customHeight="1" x14ac:dyDescent="0.25">
      <c r="A1109" s="36">
        <f t="shared" si="372"/>
        <v>0.752303298611111</v>
      </c>
      <c r="B1109" s="42">
        <f t="shared" si="357"/>
        <v>42.092147101114136</v>
      </c>
      <c r="C1109" s="43">
        <f t="shared" si="358"/>
        <v>111.4601886040321</v>
      </c>
      <c r="D1109" s="18">
        <f t="shared" si="359"/>
        <v>2.9299292288023935</v>
      </c>
      <c r="E1109" s="21" t="str">
        <f t="shared" si="360"/>
        <v>Umbra</v>
      </c>
      <c r="F1109" s="23">
        <f>IF($E1109&lt;&gt;"Umbra",fracil2($S$2,$S$3,$S$4,$A1109,$Q$2,$O$3,$Q$4,$U1109,$V1109,$W1109),0)</f>
        <v>0</v>
      </c>
      <c r="G1109" s="19">
        <f t="shared" si="361"/>
        <v>69.301838832888919</v>
      </c>
      <c r="H1109" s="19">
        <f t="shared" si="362"/>
        <v>-4.6906929145227512</v>
      </c>
      <c r="I1109" s="19">
        <f t="shared" si="363"/>
        <v>-3.4826749651278561</v>
      </c>
      <c r="J1109" s="28">
        <f t="shared" si="364"/>
        <v>4.7403472821339722E-3</v>
      </c>
      <c r="K1109" s="24">
        <f t="shared" si="365"/>
        <v>1048.0428759405982</v>
      </c>
      <c r="L1109" s="32">
        <f t="shared" si="366"/>
        <v>0.5639616851281839</v>
      </c>
      <c r="M1109" s="35">
        <f t="shared" si="367"/>
        <v>12.904920898441151</v>
      </c>
      <c r="O1109" s="29">
        <f t="shared" si="368"/>
        <v>1046.5863555151961</v>
      </c>
      <c r="T1109" s="48">
        <v>0.752303298611111</v>
      </c>
      <c r="U1109" s="29">
        <v>-1475.6296458112274</v>
      </c>
      <c r="V1109" s="29">
        <v>4506.8932571127189</v>
      </c>
      <c r="W1109" s="29">
        <v>4255.1672106975911</v>
      </c>
      <c r="X1109" s="4">
        <v>-0.32504201423721102</v>
      </c>
      <c r="Y1109" s="4">
        <v>-0.11862869553981213</v>
      </c>
      <c r="Z1109" s="4">
        <v>-1.0477739595892616E-2</v>
      </c>
      <c r="AA1109" s="3">
        <f t="shared" si="373"/>
        <v>0.34617172249029826</v>
      </c>
      <c r="AB1109" s="3">
        <f t="shared" si="376"/>
        <v>1.2821495854392691E-3</v>
      </c>
      <c r="AC1109" s="3">
        <f t="shared" si="374"/>
        <v>1.5665235802106044E-2</v>
      </c>
      <c r="AD1109" s="48"/>
      <c r="AE1109" s="46">
        <f t="shared" si="369"/>
        <v>42.092147101114136</v>
      </c>
      <c r="AF1109" s="46">
        <f t="shared" si="370"/>
        <v>-248.53981139596789</v>
      </c>
      <c r="AG1109" s="47">
        <f t="shared" si="371"/>
        <v>2929.9292288023935</v>
      </c>
      <c r="AH1109" s="45" t="str">
        <f t="shared" si="375"/>
        <v>-248.53981,42.09215,02930</v>
      </c>
      <c r="AI1109" s="44">
        <f t="shared" si="377"/>
        <v>1021.3814800759607</v>
      </c>
    </row>
    <row r="1110" spans="1:35" ht="18" customHeight="1" x14ac:dyDescent="0.25">
      <c r="A1110" s="36">
        <f t="shared" si="372"/>
        <v>0.75231487268518515</v>
      </c>
      <c r="B1110" s="42">
        <f t="shared" si="357"/>
        <v>42.092147099121675</v>
      </c>
      <c r="C1110" s="43">
        <f t="shared" si="358"/>
        <v>111.46018961223963</v>
      </c>
      <c r="D1110" s="18">
        <f t="shared" si="359"/>
        <v>2.9143013193379375</v>
      </c>
      <c r="E1110" s="21" t="str">
        <f t="shared" si="360"/>
        <v>Umbra</v>
      </c>
      <c r="F1110" s="23">
        <f>IF($E1110&lt;&gt;"Umbra",fracil2($S$2,$S$3,$S$4,$A1110,$Q$2,$O$3,$Q$4,$U1110,$V1110,$W1110),0)</f>
        <v>0</v>
      </c>
      <c r="G1110" s="19">
        <f t="shared" si="361"/>
        <v>69.301842659831152</v>
      </c>
      <c r="H1110" s="19">
        <f t="shared" si="362"/>
        <v>-4.6915446644058294</v>
      </c>
      <c r="I1110" s="19">
        <f t="shared" si="363"/>
        <v>-3.4835267150109344</v>
      </c>
      <c r="J1110" s="28">
        <f t="shared" si="364"/>
        <v>4.739796522318835E-3</v>
      </c>
      <c r="K1110" s="24">
        <f t="shared" si="365"/>
        <v>1048.0416526812751</v>
      </c>
      <c r="L1110" s="32">
        <f t="shared" si="366"/>
        <v>0.56397509274509161</v>
      </c>
      <c r="M1110" s="35">
        <f t="shared" si="367"/>
        <v>12.904344922527903</v>
      </c>
      <c r="O1110" s="29">
        <f t="shared" si="368"/>
        <v>1046.5864365285872</v>
      </c>
      <c r="T1110" s="48">
        <v>0.75231487268518515</v>
      </c>
      <c r="U1110" s="29">
        <v>-1475.9547597741982</v>
      </c>
      <c r="V1110" s="29">
        <v>4506.774593682776</v>
      </c>
      <c r="W1110" s="29">
        <v>4255.1567347556229</v>
      </c>
      <c r="X1110" s="4">
        <v>-0.32503546003933581</v>
      </c>
      <c r="Y1110" s="4">
        <v>-0.11864326024031761</v>
      </c>
      <c r="Z1110" s="4">
        <v>-1.0469299994892732E-2</v>
      </c>
      <c r="AA1110" s="3">
        <f t="shared" si="373"/>
        <v>0.34617030451183628</v>
      </c>
      <c r="AB1110" s="3">
        <f t="shared" si="376"/>
        <v>1.2810972624577425E-3</v>
      </c>
      <c r="AC1110" s="3">
        <f t="shared" si="374"/>
        <v>1.5652673362350301E-2</v>
      </c>
      <c r="AD1110" s="48"/>
      <c r="AE1110" s="46">
        <f t="shared" si="369"/>
        <v>42.092147099121675</v>
      </c>
      <c r="AF1110" s="46">
        <f t="shared" si="370"/>
        <v>-248.53981038776038</v>
      </c>
      <c r="AG1110" s="47">
        <f t="shared" si="371"/>
        <v>2914.3013193379375</v>
      </c>
      <c r="AH1110" s="45" t="str">
        <f t="shared" si="375"/>
        <v>-248.53981,42.09215,02914</v>
      </c>
      <c r="AI1110" s="44">
        <f t="shared" si="377"/>
        <v>1021.3814800759607</v>
      </c>
    </row>
    <row r="1111" spans="1:35" ht="18" customHeight="1" x14ac:dyDescent="0.25">
      <c r="A1111" s="36">
        <f t="shared" si="372"/>
        <v>0.75232646990740737</v>
      </c>
      <c r="B1111" s="42">
        <f t="shared" si="357"/>
        <v>42.092147097129583</v>
      </c>
      <c r="C1111" s="43">
        <f t="shared" si="358"/>
        <v>111.46018723682766</v>
      </c>
      <c r="D1111" s="18">
        <f t="shared" si="359"/>
        <v>2.8986674193984072</v>
      </c>
      <c r="E1111" s="21" t="str">
        <f t="shared" si="360"/>
        <v>Umbra</v>
      </c>
      <c r="F1111" s="23">
        <f>IF($E1111&lt;&gt;"Umbra",fracil2($S$2,$S$3,$S$4,$A1111,$Q$2,$O$3,$Q$4,$U1111,$V1111,$W1111),0)</f>
        <v>0</v>
      </c>
      <c r="G1111" s="19">
        <f t="shared" si="361"/>
        <v>69.30184304440823</v>
      </c>
      <c r="H1111" s="19">
        <f t="shared" si="362"/>
        <v>-4.6923955088200469</v>
      </c>
      <c r="I1111" s="19">
        <f t="shared" si="363"/>
        <v>-3.4843775594251518</v>
      </c>
      <c r="J1111" s="28">
        <f t="shared" si="364"/>
        <v>4.7392461549487256E-3</v>
      </c>
      <c r="K1111" s="24">
        <f t="shared" si="365"/>
        <v>1048.0401571567775</v>
      </c>
      <c r="L1111" s="32">
        <f t="shared" si="366"/>
        <v>0.56398852819714185</v>
      </c>
      <c r="M1111" s="35">
        <f t="shared" si="367"/>
        <v>12.903772093413837</v>
      </c>
      <c r="O1111" s="29">
        <f t="shared" si="368"/>
        <v>1046.5862454877702</v>
      </c>
      <c r="T1111" s="48">
        <v>0.75232646990740737</v>
      </c>
      <c r="U1111" s="29">
        <v>-1476.2802540127132</v>
      </c>
      <c r="V1111" s="29">
        <v>4506.6557744565907</v>
      </c>
      <c r="W1111" s="29">
        <v>4255.1462547981209</v>
      </c>
      <c r="X1111" s="4">
        <v>-0.32502889362489562</v>
      </c>
      <c r="Y1111" s="4">
        <v>-0.11865785645014677</v>
      </c>
      <c r="Z1111" s="4">
        <v>-1.0460863935290216E-2</v>
      </c>
      <c r="AA1111" s="3">
        <f t="shared" si="373"/>
        <v>0.34616888690730141</v>
      </c>
      <c r="AB1111" s="3">
        <f t="shared" si="376"/>
        <v>1.2779991774851764E-3</v>
      </c>
      <c r="AC1111" s="3">
        <f t="shared" si="374"/>
        <v>1.5640116238296021E-2</v>
      </c>
      <c r="AD1111" s="48"/>
      <c r="AE1111" s="46">
        <f t="shared" si="369"/>
        <v>42.092147097129583</v>
      </c>
      <c r="AF1111" s="46">
        <f t="shared" si="370"/>
        <v>-248.53981276317234</v>
      </c>
      <c r="AG1111" s="47">
        <f t="shared" si="371"/>
        <v>2898.6674193984072</v>
      </c>
      <c r="AH1111" s="45" t="str">
        <f t="shared" si="375"/>
        <v>-248.53981,42.09215,02899</v>
      </c>
      <c r="AI1111" s="44">
        <f t="shared" si="377"/>
        <v>1021.3816699465566</v>
      </c>
    </row>
    <row r="1112" spans="1:35" ht="18" customHeight="1" x14ac:dyDescent="0.25">
      <c r="A1112" s="36">
        <f t="shared" si="372"/>
        <v>0.75233799768518528</v>
      </c>
      <c r="B1112" s="42">
        <f t="shared" si="357"/>
        <v>42.092147095149329</v>
      </c>
      <c r="C1112" s="43">
        <f t="shared" si="358"/>
        <v>111.46019046242094</v>
      </c>
      <c r="D1112" s="18">
        <f t="shared" si="359"/>
        <v>2.883118765214931</v>
      </c>
      <c r="E1112" s="21" t="str">
        <f t="shared" si="360"/>
        <v>Umbra</v>
      </c>
      <c r="F1112" s="23">
        <f>IF($E1112&lt;&gt;"Umbra",fracil2($S$2,$S$3,$S$4,$A1112,$Q$2,$O$3,$Q$4,$U1112,$V1112,$W1112),0)</f>
        <v>0</v>
      </c>
      <c r="G1112" s="19">
        <f t="shared" si="361"/>
        <v>69.301849113751658</v>
      </c>
      <c r="H1112" s="19">
        <f t="shared" si="362"/>
        <v>-4.6932437535831752</v>
      </c>
      <c r="I1112" s="19">
        <f t="shared" si="363"/>
        <v>-3.4852258041882802</v>
      </c>
      <c r="J1112" s="28">
        <f t="shared" si="364"/>
        <v>4.7386990912744306E-3</v>
      </c>
      <c r="K1112" s="24">
        <f t="shared" si="365"/>
        <v>1048.0391192192556</v>
      </c>
      <c r="L1112" s="32">
        <f t="shared" si="366"/>
        <v>0.56400187766842513</v>
      </c>
      <c r="M1112" s="35">
        <f t="shared" si="367"/>
        <v>12.903196809902523</v>
      </c>
      <c r="O1112" s="29">
        <f t="shared" si="368"/>
        <v>1046.5865047866296</v>
      </c>
      <c r="T1112" s="48">
        <v>0.75233799768518528</v>
      </c>
      <c r="U1112" s="29">
        <v>-1476.6042272742361</v>
      </c>
      <c r="V1112" s="29">
        <v>4506.5374935452683</v>
      </c>
      <c r="W1112" s="29">
        <v>4255.1358319839537</v>
      </c>
      <c r="X1112" s="4">
        <v>-0.32502235323590423</v>
      </c>
      <c r="Y1112" s="4">
        <v>-0.11867239924006306</v>
      </c>
      <c r="Z1112" s="4">
        <v>-1.0452481008537729E-2</v>
      </c>
      <c r="AA1112" s="3">
        <f t="shared" si="373"/>
        <v>0.34616747796930847</v>
      </c>
      <c r="AB1112" s="3">
        <f t="shared" si="376"/>
        <v>1.2775957506643695E-3</v>
      </c>
      <c r="AC1112" s="3">
        <f t="shared" si="374"/>
        <v>1.5627638246780588E-2</v>
      </c>
      <c r="AD1112" s="48"/>
      <c r="AE1112" s="46">
        <f t="shared" si="369"/>
        <v>42.092147095149329</v>
      </c>
      <c r="AF1112" s="46">
        <f t="shared" si="370"/>
        <v>-248.53980953757906</v>
      </c>
      <c r="AG1112" s="47">
        <f t="shared" si="371"/>
        <v>2883.118765214931</v>
      </c>
      <c r="AH1112" s="45" t="str">
        <f t="shared" si="375"/>
        <v>-248.53981,42.09215,02883</v>
      </c>
      <c r="AI1112" s="44">
        <f t="shared" si="377"/>
        <v>1021.3819384641281</v>
      </c>
    </row>
    <row r="1113" spans="1:35" ht="18" customHeight="1" x14ac:dyDescent="0.25">
      <c r="A1113" s="36">
        <f t="shared" si="372"/>
        <v>0.75234958333333335</v>
      </c>
      <c r="B1113" s="42">
        <f t="shared" si="357"/>
        <v>42.092147093164797</v>
      </c>
      <c r="C1113" s="43">
        <f t="shared" si="358"/>
        <v>111.4601876558</v>
      </c>
      <c r="D1113" s="18">
        <f t="shared" si="359"/>
        <v>2.8675271598203835</v>
      </c>
      <c r="E1113" s="21" t="str">
        <f t="shared" si="360"/>
        <v>Umbra</v>
      </c>
      <c r="F1113" s="23">
        <f>IF($E1113&lt;&gt;"Umbra",fracil2($S$2,$S$3,$S$4,$A1113,$Q$2,$O$3,$Q$4,$U1113,$V1113,$W1113),0)</f>
        <v>0</v>
      </c>
      <c r="G1113" s="19">
        <f t="shared" si="361"/>
        <v>69.301849051930901</v>
      </c>
      <c r="H1113" s="19">
        <f t="shared" si="362"/>
        <v>-4.6940921411461085</v>
      </c>
      <c r="I1113" s="19">
        <f t="shared" si="363"/>
        <v>-3.4860741917512135</v>
      </c>
      <c r="J1113" s="28">
        <f t="shared" si="364"/>
        <v>4.7381510994546818E-3</v>
      </c>
      <c r="K1113" s="24">
        <f t="shared" si="365"/>
        <v>1048.0375930216194</v>
      </c>
      <c r="L1113" s="32">
        <f t="shared" si="366"/>
        <v>0.56401529713622378</v>
      </c>
      <c r="M1113" s="35">
        <f t="shared" si="367"/>
        <v>12.902625953728817</v>
      </c>
      <c r="O1113" s="29">
        <f t="shared" si="368"/>
        <v>1046.5862790753624</v>
      </c>
      <c r="T1113" s="48">
        <v>0.75234958333333335</v>
      </c>
      <c r="U1113" s="29">
        <v>-1476.9293498360557</v>
      </c>
      <c r="V1113" s="29">
        <v>4506.4187760571212</v>
      </c>
      <c r="W1113" s="29">
        <v>4255.1253803781656</v>
      </c>
      <c r="X1113" s="4">
        <v>-0.32501578570553685</v>
      </c>
      <c r="Y1113" s="4">
        <v>-0.11868700619781798</v>
      </c>
      <c r="Z1113" s="4">
        <v>-1.0444079956416677E-2</v>
      </c>
      <c r="AA1113" s="3">
        <f t="shared" si="373"/>
        <v>0.34616606593385835</v>
      </c>
      <c r="AB1113" s="3">
        <f t="shared" si="376"/>
        <v>1.2739582535020938E-3</v>
      </c>
      <c r="AC1113" s="3">
        <f t="shared" si="374"/>
        <v>1.5615133319712196E-2</v>
      </c>
      <c r="AD1113" s="48"/>
      <c r="AE1113" s="46">
        <f t="shared" si="369"/>
        <v>42.092147093164797</v>
      </c>
      <c r="AF1113" s="46">
        <f t="shared" si="370"/>
        <v>-248.53981234420002</v>
      </c>
      <c r="AG1113" s="47">
        <f t="shared" si="371"/>
        <v>2867.5271598203835</v>
      </c>
      <c r="AH1113" s="45" t="str">
        <f t="shared" si="375"/>
        <v>-248.53981,42.09215,02868</v>
      </c>
      <c r="AI1113" s="44">
        <f t="shared" si="377"/>
        <v>1021.3821710071667</v>
      </c>
    </row>
    <row r="1114" spans="1:35" ht="18" customHeight="1" x14ac:dyDescent="0.25">
      <c r="A1114" s="36">
        <f t="shared" si="372"/>
        <v>0.75236118055555556</v>
      </c>
      <c r="B1114" s="42">
        <f t="shared" si="357"/>
        <v>42.092147091178106</v>
      </c>
      <c r="C1114" s="43">
        <f t="shared" si="358"/>
        <v>111.4601909302791</v>
      </c>
      <c r="D1114" s="18">
        <f t="shared" si="359"/>
        <v>2.8519098535234662</v>
      </c>
      <c r="E1114" s="21" t="str">
        <f t="shared" si="360"/>
        <v>Umbra</v>
      </c>
      <c r="F1114" s="23">
        <f>IF($E1114&lt;&gt;"Umbra",fracil2($S$2,$S$3,$S$4,$A1114,$Q$2,$O$3,$Q$4,$U1114,$V1114,$W1114),0)</f>
        <v>0</v>
      </c>
      <c r="G1114" s="19">
        <f t="shared" si="361"/>
        <v>69.30185518334072</v>
      </c>
      <c r="H1114" s="19">
        <f t="shared" si="362"/>
        <v>-4.6949441475672016</v>
      </c>
      <c r="I1114" s="19">
        <f t="shared" si="363"/>
        <v>-3.4869261981723065</v>
      </c>
      <c r="J1114" s="28">
        <f t="shared" si="364"/>
        <v>4.7376025402733656E-3</v>
      </c>
      <c r="K1114" s="24">
        <f t="shared" si="365"/>
        <v>1048.0365537468654</v>
      </c>
      <c r="L1114" s="32">
        <f t="shared" si="366"/>
        <v>0.56402872410402305</v>
      </c>
      <c r="M1114" s="35">
        <f t="shared" si="367"/>
        <v>12.90204808305849</v>
      </c>
      <c r="O1114" s="29">
        <f t="shared" si="368"/>
        <v>1046.5865423046446</v>
      </c>
      <c r="T1114" s="48">
        <v>0.75236118055555556</v>
      </c>
      <c r="U1114" s="29">
        <v>-1477.2552638757954</v>
      </c>
      <c r="V1114" s="29">
        <v>4506.2997524814982</v>
      </c>
      <c r="W1114" s="29">
        <v>4255.1149115442458</v>
      </c>
      <c r="X1114" s="4">
        <v>-0.32500919724978122</v>
      </c>
      <c r="Y1114" s="4">
        <v>-0.11870166432997957</v>
      </c>
      <c r="Z1114" s="4">
        <v>-1.0435672952750758E-2</v>
      </c>
      <c r="AA1114" s="3">
        <f t="shared" si="373"/>
        <v>0.34616465255948814</v>
      </c>
      <c r="AB1114" s="3">
        <f t="shared" si="376"/>
        <v>1.2735839368193983E-3</v>
      </c>
      <c r="AC1114" s="3">
        <f t="shared" si="374"/>
        <v>1.5602619578099584E-2</v>
      </c>
      <c r="AD1114" s="48"/>
      <c r="AE1114" s="46">
        <f t="shared" si="369"/>
        <v>42.092147091178106</v>
      </c>
      <c r="AF1114" s="46">
        <f t="shared" si="370"/>
        <v>-248.53980906972089</v>
      </c>
      <c r="AG1114" s="47">
        <f t="shared" si="371"/>
        <v>2851.9098535234662</v>
      </c>
      <c r="AH1114" s="45" t="str">
        <f t="shared" si="375"/>
        <v>-248.53981,42.09215,02852</v>
      </c>
      <c r="AI1114" s="44">
        <f t="shared" si="377"/>
        <v>1021.3824395247382</v>
      </c>
    </row>
    <row r="1115" spans="1:35" ht="18" customHeight="1" x14ac:dyDescent="0.25">
      <c r="A1115" s="36">
        <f t="shared" si="372"/>
        <v>0.75237269675925933</v>
      </c>
      <c r="B1115" s="42">
        <f t="shared" si="357"/>
        <v>42.092147089210144</v>
      </c>
      <c r="C1115" s="43">
        <f t="shared" si="358"/>
        <v>111.46018971288247</v>
      </c>
      <c r="D1115" s="18">
        <f t="shared" si="359"/>
        <v>2.8364307251104037</v>
      </c>
      <c r="E1115" s="21" t="str">
        <f t="shared" si="360"/>
        <v>Umbra</v>
      </c>
      <c r="F1115" s="23">
        <f>IF($E1115&lt;&gt;"Umbra",fracil2($S$2,$S$3,$S$4,$A1115,$Q$2,$O$3,$Q$4,$U1115,$V1115,$W1115),0)</f>
        <v>0</v>
      </c>
      <c r="G1115" s="19">
        <f t="shared" si="361"/>
        <v>69.301856718698318</v>
      </c>
      <c r="H1115" s="19">
        <f t="shared" si="362"/>
        <v>-4.6957869911277053</v>
      </c>
      <c r="I1115" s="19">
        <f t="shared" si="363"/>
        <v>-3.4877690417328102</v>
      </c>
      <c r="J1115" s="28">
        <f t="shared" si="364"/>
        <v>4.7370593330619609E-3</v>
      </c>
      <c r="K1115" s="24">
        <f t="shared" si="365"/>
        <v>1048.0351651402555</v>
      </c>
      <c r="L1115" s="32">
        <f t="shared" si="366"/>
        <v>0.56404205911225602</v>
      </c>
      <c r="M1115" s="35">
        <f t="shared" si="367"/>
        <v>12.901479767977332</v>
      </c>
      <c r="O1115" s="29">
        <f t="shared" si="368"/>
        <v>1046.5864443726928</v>
      </c>
      <c r="T1115" s="48">
        <v>0.75237269675925933</v>
      </c>
      <c r="U1115" s="29">
        <v>-1477.5785469065056</v>
      </c>
      <c r="V1115" s="29">
        <v>4506.1816728369622</v>
      </c>
      <c r="W1115" s="29">
        <v>4255.1045353359523</v>
      </c>
      <c r="X1115" s="4">
        <v>-0.32500265819551116</v>
      </c>
      <c r="Y1115" s="4">
        <v>-0.11871621620843779</v>
      </c>
      <c r="Z1115" s="4">
        <v>-1.0427344957771846E-2</v>
      </c>
      <c r="AA1115" s="3">
        <f t="shared" si="373"/>
        <v>0.3461632524515928</v>
      </c>
      <c r="AB1115" s="3">
        <f t="shared" si="376"/>
        <v>1.2704860426954274E-3</v>
      </c>
      <c r="AC1115" s="3">
        <f t="shared" si="374"/>
        <v>1.5590223483895519E-2</v>
      </c>
      <c r="AD1115" s="48"/>
      <c r="AE1115" s="46">
        <f t="shared" si="369"/>
        <v>42.092147089210144</v>
      </c>
      <c r="AF1115" s="46">
        <f t="shared" si="370"/>
        <v>-248.53981028711752</v>
      </c>
      <c r="AG1115" s="47">
        <f t="shared" si="371"/>
        <v>2836.4307251104037</v>
      </c>
      <c r="AH1115" s="45" t="str">
        <f t="shared" si="375"/>
        <v>-248.53981,42.09215,02836</v>
      </c>
      <c r="AI1115" s="44">
        <f t="shared" si="377"/>
        <v>1021.3825344600361</v>
      </c>
    </row>
    <row r="1116" spans="1:35" ht="18" customHeight="1" x14ac:dyDescent="0.25">
      <c r="A1116" s="36">
        <f t="shared" si="372"/>
        <v>0.7523842824074074</v>
      </c>
      <c r="B1116" s="42">
        <f t="shared" si="357"/>
        <v>42.092147087232803</v>
      </c>
      <c r="C1116" s="43">
        <f t="shared" si="358"/>
        <v>111.46018878481105</v>
      </c>
      <c r="D1116" s="18">
        <f t="shared" si="359"/>
        <v>2.8208696108276854</v>
      </c>
      <c r="E1116" s="21" t="str">
        <f t="shared" si="360"/>
        <v>Umbra</v>
      </c>
      <c r="F1116" s="23">
        <f>IF($E1116&lt;&gt;"Umbra",fracil2($S$2,$S$3,$S$4,$A1116,$Q$2,$O$3,$Q$4,$U1116,$V1116,$W1116),0)</f>
        <v>0</v>
      </c>
      <c r="G1116" s="19">
        <f t="shared" si="361"/>
        <v>69.301858563198024</v>
      </c>
      <c r="H1116" s="19">
        <f t="shared" si="362"/>
        <v>-4.6966344088530949</v>
      </c>
      <c r="I1116" s="19">
        <f t="shared" si="363"/>
        <v>-3.4886164594581999</v>
      </c>
      <c r="J1116" s="28">
        <f t="shared" si="364"/>
        <v>4.7365137225669884E-3</v>
      </c>
      <c r="K1116" s="24">
        <f t="shared" si="365"/>
        <v>1048.0337931838999</v>
      </c>
      <c r="L1116" s="32">
        <f t="shared" si="366"/>
        <v>0.564055472877384</v>
      </c>
      <c r="M1116" s="35">
        <f t="shared" si="367"/>
        <v>12.900908141450303</v>
      </c>
      <c r="O1116" s="29">
        <f t="shared" si="368"/>
        <v>1046.5863697032194</v>
      </c>
      <c r="T1116" s="48">
        <v>0.7523842824074074</v>
      </c>
      <c r="U1116" s="29">
        <v>-1477.9037958980255</v>
      </c>
      <c r="V1116" s="29">
        <v>4506.0628581091578</v>
      </c>
      <c r="W1116" s="29">
        <v>4255.0941041697142</v>
      </c>
      <c r="X1116" s="4">
        <v>-0.32499607481807874</v>
      </c>
      <c r="Y1116" s="4">
        <v>-0.11873087100540498</v>
      </c>
      <c r="Z1116" s="4">
        <v>-1.0418979690564613E-2</v>
      </c>
      <c r="AA1116" s="3">
        <f t="shared" si="373"/>
        <v>0.34616184583898435</v>
      </c>
      <c r="AB1116" s="3">
        <f t="shared" si="376"/>
        <v>1.2685182830641717E-3</v>
      </c>
      <c r="AC1116" s="3">
        <f t="shared" si="374"/>
        <v>1.5577771954521591E-2</v>
      </c>
      <c r="AD1116" s="48"/>
      <c r="AE1116" s="46">
        <f t="shared" si="369"/>
        <v>42.092147087232803</v>
      </c>
      <c r="AF1116" s="46">
        <f t="shared" si="370"/>
        <v>-248.53981121518893</v>
      </c>
      <c r="AG1116" s="47">
        <f t="shared" si="371"/>
        <v>2820.8696108276854</v>
      </c>
      <c r="AH1116" s="45" t="str">
        <f t="shared" si="375"/>
        <v>-248.53981,42.09215,02821</v>
      </c>
      <c r="AI1116" s="44">
        <f t="shared" si="377"/>
        <v>1021.3826293953341</v>
      </c>
    </row>
    <row r="1117" spans="1:35" ht="18" customHeight="1" x14ac:dyDescent="0.25">
      <c r="A1117" s="36">
        <f t="shared" si="372"/>
        <v>0.75239585648148155</v>
      </c>
      <c r="B1117" s="42">
        <f t="shared" si="357"/>
        <v>42.09214708526013</v>
      </c>
      <c r="C1117" s="43">
        <f t="shared" si="358"/>
        <v>111.46018773930544</v>
      </c>
      <c r="D1117" s="18">
        <f t="shared" si="359"/>
        <v>2.8053369422277683</v>
      </c>
      <c r="E1117" s="21" t="str">
        <f t="shared" si="360"/>
        <v>Umbra</v>
      </c>
      <c r="F1117" s="23">
        <f>IF($E1117&lt;&gt;"Umbra",fracil2($S$2,$S$3,$S$4,$A1117,$Q$2,$O$3,$Q$4,$U1117,$V1117,$W1117),0)</f>
        <v>0</v>
      </c>
      <c r="G1117" s="19">
        <f t="shared" si="361"/>
        <v>69.301860283096644</v>
      </c>
      <c r="H1117" s="19">
        <f t="shared" si="362"/>
        <v>-4.6974802363218098</v>
      </c>
      <c r="I1117" s="19">
        <f t="shared" si="363"/>
        <v>-3.4894622869269147</v>
      </c>
      <c r="J1117" s="28">
        <f t="shared" si="364"/>
        <v>4.7359695440493997E-3</v>
      </c>
      <c r="K1117" s="24">
        <f t="shared" si="365"/>
        <v>1048.0324143880921</v>
      </c>
      <c r="L1117" s="32">
        <f t="shared" si="366"/>
        <v>0.56406887189139621</v>
      </c>
      <c r="M1117" s="35">
        <f t="shared" si="367"/>
        <v>12.900337672108583</v>
      </c>
      <c r="O1117" s="29">
        <f t="shared" si="368"/>
        <v>1046.5862855917576</v>
      </c>
      <c r="T1117" s="48">
        <v>0.75239585648148155</v>
      </c>
      <c r="U1117" s="29">
        <v>-1478.228704182786</v>
      </c>
      <c r="V1117" s="29">
        <v>4505.9441507888623</v>
      </c>
      <c r="W1117" s="29">
        <v>4255.0836920717111</v>
      </c>
      <c r="X1117" s="4">
        <v>-0.32498949405812366</v>
      </c>
      <c r="Y1117" s="4">
        <v>-0.11874552401221281</v>
      </c>
      <c r="Z1117" s="4">
        <v>-1.0410635737502061E-2</v>
      </c>
      <c r="AA1117" s="3">
        <f t="shared" si="373"/>
        <v>0.34616044265275192</v>
      </c>
      <c r="AB1117" s="3">
        <f t="shared" si="376"/>
        <v>1.2665469812310737E-3</v>
      </c>
      <c r="AC1117" s="3">
        <f t="shared" si="374"/>
        <v>1.5565352194823558E-2</v>
      </c>
      <c r="AD1117" s="48"/>
      <c r="AE1117" s="46">
        <f t="shared" si="369"/>
        <v>42.09214708526013</v>
      </c>
      <c r="AF1117" s="46">
        <f t="shared" si="370"/>
        <v>-248.53981226069456</v>
      </c>
      <c r="AG1117" s="47">
        <f t="shared" si="371"/>
        <v>2805.3369422277683</v>
      </c>
      <c r="AH1117" s="45" t="str">
        <f t="shared" si="375"/>
        <v>-248.53981,42.09215,02805</v>
      </c>
      <c r="AI1117" s="44">
        <f t="shared" si="377"/>
        <v>1021.3827636541191</v>
      </c>
    </row>
    <row r="1118" spans="1:35" ht="18" customHeight="1" x14ac:dyDescent="0.25">
      <c r="A1118" s="36">
        <f t="shared" si="372"/>
        <v>0.75240741898148145</v>
      </c>
      <c r="B1118" s="42">
        <f t="shared" si="357"/>
        <v>42.092147083291202</v>
      </c>
      <c r="C1118" s="43">
        <f t="shared" si="358"/>
        <v>111.46018902814761</v>
      </c>
      <c r="D1118" s="18">
        <f t="shared" si="359"/>
        <v>2.7898235555248903</v>
      </c>
      <c r="E1118" s="21" t="str">
        <f t="shared" si="360"/>
        <v>Umbra</v>
      </c>
      <c r="F1118" s="23">
        <f>IF($E1118&lt;&gt;"Umbra",fracil2($S$2,$S$3,$S$4,$A1118,$Q$2,$O$3,$Q$4,$U1118,$V1118,$W1118),0)</f>
        <v>0</v>
      </c>
      <c r="G1118" s="19">
        <f t="shared" si="361"/>
        <v>69.301864375164058</v>
      </c>
      <c r="H1118" s="19">
        <f t="shared" si="362"/>
        <v>-4.6983258656811353</v>
      </c>
      <c r="I1118" s="19">
        <f t="shared" si="363"/>
        <v>-3.4903079162862403</v>
      </c>
      <c r="J1118" s="28">
        <f t="shared" si="364"/>
        <v>4.7354263970761845E-3</v>
      </c>
      <c r="K1118" s="24">
        <f t="shared" si="365"/>
        <v>1048.0312250759421</v>
      </c>
      <c r="L1118" s="32">
        <f t="shared" si="366"/>
        <v>0.56408225435919379</v>
      </c>
      <c r="M1118" s="35">
        <f t="shared" si="367"/>
        <v>12.89976557908475</v>
      </c>
      <c r="O1118" s="29">
        <f t="shared" si="368"/>
        <v>1046.5863891696899</v>
      </c>
      <c r="T1118" s="48">
        <v>0.75240741898148145</v>
      </c>
      <c r="U1118" s="29">
        <v>-1478.5534624818083</v>
      </c>
      <c r="V1118" s="29">
        <v>4505.8254812175819</v>
      </c>
      <c r="W1118" s="29">
        <v>4255.0732928991565</v>
      </c>
      <c r="X1118" s="4">
        <v>-0.32498291201192897</v>
      </c>
      <c r="Y1118" s="4">
        <v>-0.11876018394022994</v>
      </c>
      <c r="Z1118" s="4">
        <v>-1.0402308306848362E-2</v>
      </c>
      <c r="AA1118" s="3">
        <f t="shared" si="373"/>
        <v>0.34615904207081044</v>
      </c>
      <c r="AB1118" s="3">
        <f t="shared" si="376"/>
        <v>1.2652998285566659E-3</v>
      </c>
      <c r="AC1118" s="3">
        <f t="shared" si="374"/>
        <v>1.5552957072234962E-2</v>
      </c>
      <c r="AD1118" s="48"/>
      <c r="AE1118" s="46">
        <f t="shared" si="369"/>
        <v>42.092147083291202</v>
      </c>
      <c r="AF1118" s="46">
        <f t="shared" si="370"/>
        <v>-248.53981097185238</v>
      </c>
      <c r="AG1118" s="47">
        <f t="shared" si="371"/>
        <v>2789.8235555248903</v>
      </c>
      <c r="AH1118" s="45" t="str">
        <f t="shared" si="375"/>
        <v>-248.53981,42.09215,02790</v>
      </c>
      <c r="AI1118" s="44">
        <f t="shared" si="377"/>
        <v>1021.3828979129041</v>
      </c>
    </row>
    <row r="1119" spans="1:35" ht="18" customHeight="1" x14ac:dyDescent="0.25">
      <c r="A1119" s="36">
        <f t="shared" si="372"/>
        <v>0.75241903935185184</v>
      </c>
      <c r="B1119" s="42">
        <f t="shared" si="357"/>
        <v>42.092147081315105</v>
      </c>
      <c r="C1119" s="43">
        <f t="shared" si="358"/>
        <v>111.46018967969121</v>
      </c>
      <c r="D1119" s="18">
        <f t="shared" si="359"/>
        <v>2.7742474110236799</v>
      </c>
      <c r="E1119" s="21" t="str">
        <f t="shared" si="360"/>
        <v>Umbra</v>
      </c>
      <c r="F1119" s="23">
        <f>IF($E1119&lt;&gt;"Umbra",fracil2($S$2,$S$3,$S$4,$A1119,$Q$2,$O$3,$Q$4,$U1119,$V1119,$W1119),0)</f>
        <v>0</v>
      </c>
      <c r="G1119" s="19">
        <f t="shared" si="361"/>
        <v>69.301867829921974</v>
      </c>
      <c r="H1119" s="19">
        <f t="shared" si="362"/>
        <v>-4.699174683924757</v>
      </c>
      <c r="I1119" s="19">
        <f t="shared" si="363"/>
        <v>-3.491156734529862</v>
      </c>
      <c r="J1119" s="28">
        <f t="shared" si="364"/>
        <v>4.7348814697870797E-3</v>
      </c>
      <c r="K1119" s="24">
        <f t="shared" si="365"/>
        <v>1048.0299795330584</v>
      </c>
      <c r="L1119" s="32">
        <f t="shared" si="366"/>
        <v>0.56409570283707078</v>
      </c>
      <c r="M1119" s="35">
        <f t="shared" si="367"/>
        <v>12.899191805772626</v>
      </c>
      <c r="O1119" s="29">
        <f t="shared" si="368"/>
        <v>1046.5864415065298</v>
      </c>
      <c r="T1119" s="48">
        <v>0.75241903935185184</v>
      </c>
      <c r="U1119" s="29">
        <v>-1478.8797895021505</v>
      </c>
      <c r="V1119" s="29">
        <v>4505.7062212369519</v>
      </c>
      <c r="W1119" s="29">
        <v>4255.0628516578936</v>
      </c>
      <c r="X1119" s="4">
        <v>-0.32497629407195056</v>
      </c>
      <c r="Y1119" s="4">
        <v>-0.11877492767299781</v>
      </c>
      <c r="Z1119" s="4">
        <v>-1.0393952660086369E-2</v>
      </c>
      <c r="AA1119" s="3">
        <f t="shared" si="373"/>
        <v>0.34615763664025218</v>
      </c>
      <c r="AB1119" s="3">
        <f t="shared" si="376"/>
        <v>1.2632599512310851E-3</v>
      </c>
      <c r="AC1119" s="3">
        <f t="shared" si="374"/>
        <v>1.5540519995044841E-2</v>
      </c>
      <c r="AD1119" s="48"/>
      <c r="AE1119" s="46">
        <f t="shared" si="369"/>
        <v>42.092147081315105</v>
      </c>
      <c r="AF1119" s="46">
        <f t="shared" si="370"/>
        <v>-248.53981032030879</v>
      </c>
      <c r="AG1119" s="47">
        <f t="shared" si="371"/>
        <v>2774.2474110236799</v>
      </c>
      <c r="AH1119" s="45" t="str">
        <f t="shared" si="375"/>
        <v>-248.53981,42.09215,02774</v>
      </c>
      <c r="AI1119" s="44">
        <f t="shared" si="377"/>
        <v>1021.3828979129041</v>
      </c>
    </row>
    <row r="1120" spans="1:35" ht="18" customHeight="1" x14ac:dyDescent="0.25">
      <c r="A1120" s="36">
        <f t="shared" si="372"/>
        <v>0.75243054398148146</v>
      </c>
      <c r="B1120" s="42">
        <f t="shared" si="357"/>
        <v>42.0921470793621</v>
      </c>
      <c r="C1120" s="43">
        <f t="shared" si="358"/>
        <v>111.4601890031943</v>
      </c>
      <c r="D1120" s="18">
        <f t="shared" si="359"/>
        <v>2.7588436272835679</v>
      </c>
      <c r="E1120" s="21" t="str">
        <f t="shared" si="360"/>
        <v>Umbra</v>
      </c>
      <c r="F1120" s="23">
        <f>IF($E1120&lt;&gt;"Umbra",fracil2($S$2,$S$3,$S$4,$A1120,$Q$2,$O$3,$Q$4,$U1120,$V1120,$W1120),0)</f>
        <v>0</v>
      </c>
      <c r="G1120" s="19">
        <f t="shared" si="361"/>
        <v>69.301869902274618</v>
      </c>
      <c r="H1120" s="19">
        <f t="shared" si="362"/>
        <v>-4.7000136305408207</v>
      </c>
      <c r="I1120" s="19">
        <f t="shared" si="363"/>
        <v>-3.4919956811459256</v>
      </c>
      <c r="J1120" s="28">
        <f t="shared" si="364"/>
        <v>4.734343105837059E-3</v>
      </c>
      <c r="K1120" s="24">
        <f t="shared" si="365"/>
        <v>1048.028641823428</v>
      </c>
      <c r="L1120" s="32">
        <f t="shared" si="366"/>
        <v>0.56410901691658066</v>
      </c>
      <c r="M1120" s="35">
        <f t="shared" si="367"/>
        <v>12.898625691735575</v>
      </c>
      <c r="O1120" s="29">
        <f t="shared" si="368"/>
        <v>1046.5863870650842</v>
      </c>
      <c r="T1120" s="48">
        <v>0.75243054398148146</v>
      </c>
      <c r="U1120" s="29">
        <v>-1479.2027569201368</v>
      </c>
      <c r="V1120" s="29">
        <v>4505.5881720848292</v>
      </c>
      <c r="W1120" s="29">
        <v>4255.0525259562528</v>
      </c>
      <c r="X1120" s="4">
        <v>-0.32496973971296383</v>
      </c>
      <c r="Y1120" s="4">
        <v>-0.11878953396735724</v>
      </c>
      <c r="Z1120" s="4">
        <v>-1.0385696343635809E-2</v>
      </c>
      <c r="AA1120" s="3">
        <f t="shared" si="373"/>
        <v>0.34615624766546621</v>
      </c>
      <c r="AB1120" s="3">
        <f t="shared" si="376"/>
        <v>1.2607958593664839E-3</v>
      </c>
      <c r="AC1120" s="3">
        <f t="shared" si="374"/>
        <v>1.5528230811033083E-2</v>
      </c>
      <c r="AD1120" s="48"/>
      <c r="AE1120" s="46">
        <f t="shared" si="369"/>
        <v>42.0921470793621</v>
      </c>
      <c r="AF1120" s="46">
        <f t="shared" si="370"/>
        <v>-248.5398109968057</v>
      </c>
      <c r="AG1120" s="47">
        <f t="shared" si="371"/>
        <v>2758.8436272835679</v>
      </c>
      <c r="AH1120" s="45" t="str">
        <f t="shared" si="375"/>
        <v>-248.53981,42.09215,02759</v>
      </c>
      <c r="AI1120" s="44">
        <f t="shared" si="377"/>
        <v>1021.3828979129041</v>
      </c>
    </row>
    <row r="1121" spans="1:35" ht="18" customHeight="1" x14ac:dyDescent="0.25">
      <c r="A1121" s="36">
        <f t="shared" si="372"/>
        <v>0.75244217592592599</v>
      </c>
      <c r="B1121" s="42">
        <f t="shared" si="357"/>
        <v>42.092147077388816</v>
      </c>
      <c r="C1121" s="43">
        <f t="shared" si="358"/>
        <v>111.46019115748159</v>
      </c>
      <c r="D1121" s="18">
        <f t="shared" si="359"/>
        <v>2.7432712992604138</v>
      </c>
      <c r="E1121" s="21" t="str">
        <f t="shared" si="360"/>
        <v>Umbra</v>
      </c>
      <c r="F1121" s="23">
        <f>IF($E1121&lt;&gt;"Umbra",fracil2($S$2,$S$3,$S$4,$A1121,$Q$2,$O$3,$Q$4,$U1121,$V1121,$W1121),0)</f>
        <v>0</v>
      </c>
      <c r="G1121" s="19">
        <f t="shared" si="361"/>
        <v>69.301874885672035</v>
      </c>
      <c r="H1121" s="19">
        <f t="shared" si="362"/>
        <v>-4.7008627919399091</v>
      </c>
      <c r="I1121" s="19">
        <f t="shared" si="363"/>
        <v>-3.492844842545014</v>
      </c>
      <c r="J1121" s="28">
        <f t="shared" si="364"/>
        <v>4.7337991208892339E-3</v>
      </c>
      <c r="K1121" s="24">
        <f t="shared" si="365"/>
        <v>1048.0275178541251</v>
      </c>
      <c r="L1121" s="32">
        <f t="shared" si="366"/>
        <v>0.56412247481005739</v>
      </c>
      <c r="M1121" s="35">
        <f t="shared" si="367"/>
        <v>12.898050548504308</v>
      </c>
      <c r="O1121" s="29">
        <f t="shared" si="368"/>
        <v>1046.5865602275696</v>
      </c>
      <c r="T1121" s="48">
        <v>0.75244217592592599</v>
      </c>
      <c r="U1121" s="29">
        <v>-1479.5295125581652</v>
      </c>
      <c r="V1121" s="29">
        <v>4505.4687210827351</v>
      </c>
      <c r="W1121" s="29">
        <v>4255.0420872735021</v>
      </c>
      <c r="X1121" s="4">
        <v>-0.32496310449640442</v>
      </c>
      <c r="Y1121" s="4">
        <v>-0.11880432418049953</v>
      </c>
      <c r="Z1121" s="4">
        <v>-1.0377354820058601E-2</v>
      </c>
      <c r="AA1121" s="3">
        <f t="shared" si="373"/>
        <v>0.34615484428357735</v>
      </c>
      <c r="AB1121" s="3">
        <f t="shared" si="376"/>
        <v>1.2598609212641978E-3</v>
      </c>
      <c r="AC1121" s="3">
        <f t="shared" si="374"/>
        <v>1.5515814843858101E-2</v>
      </c>
      <c r="AD1121" s="48"/>
      <c r="AE1121" s="46">
        <f t="shared" si="369"/>
        <v>42.092147077388816</v>
      </c>
      <c r="AF1121" s="46">
        <f t="shared" si="370"/>
        <v>-248.53980884251843</v>
      </c>
      <c r="AG1121" s="47">
        <f t="shared" si="371"/>
        <v>2743.2712992604138</v>
      </c>
      <c r="AH1121" s="45" t="str">
        <f t="shared" si="375"/>
        <v>-248.53981,42.09215,02743</v>
      </c>
      <c r="AI1121" s="44">
        <f t="shared" si="377"/>
        <v>1021.3830877835001</v>
      </c>
    </row>
    <row r="1122" spans="1:35" ht="18" customHeight="1" x14ac:dyDescent="0.25">
      <c r="A1122" s="36">
        <f t="shared" si="372"/>
        <v>0.75245371527777782</v>
      </c>
      <c r="B1122" s="42">
        <f t="shared" si="357"/>
        <v>42.092147075435371</v>
      </c>
      <c r="C1122" s="43">
        <f t="shared" si="358"/>
        <v>111.46019026942966</v>
      </c>
      <c r="D1122" s="18">
        <f t="shared" si="359"/>
        <v>2.727846485734517</v>
      </c>
      <c r="E1122" s="21" t="str">
        <f t="shared" si="360"/>
        <v>Umbra</v>
      </c>
      <c r="F1122" s="23">
        <f>IF($E1122&lt;&gt;"Umbra",fracil2($S$2,$S$3,$S$4,$A1122,$Q$2,$O$3,$Q$4,$U1122,$V1122,$W1122),0)</f>
        <v>0</v>
      </c>
      <c r="G1122" s="19">
        <f t="shared" si="361"/>
        <v>69.301876746512647</v>
      </c>
      <c r="H1122" s="19">
        <f t="shared" si="362"/>
        <v>-4.7017028113937354</v>
      </c>
      <c r="I1122" s="19">
        <f t="shared" si="363"/>
        <v>-3.4936848619988403</v>
      </c>
      <c r="J1122" s="28">
        <f t="shared" si="364"/>
        <v>4.7332606742042111E-3</v>
      </c>
      <c r="K1122" s="24">
        <f t="shared" si="365"/>
        <v>1048.0261618394959</v>
      </c>
      <c r="L1122" s="32">
        <f t="shared" si="366"/>
        <v>0.56413582637859483</v>
      </c>
      <c r="M1122" s="35">
        <f t="shared" si="367"/>
        <v>12.897483858782559</v>
      </c>
      <c r="O1122" s="29">
        <f t="shared" si="368"/>
        <v>1046.5864887763864</v>
      </c>
      <c r="T1122" s="48">
        <v>0.75245371527777782</v>
      </c>
      <c r="U1122" s="29">
        <v>-1479.8534252802208</v>
      </c>
      <c r="V1122" s="29">
        <v>4505.3502922646549</v>
      </c>
      <c r="W1122" s="29">
        <v>4255.0317474750382</v>
      </c>
      <c r="X1122" s="4">
        <v>-0.32495652353316962</v>
      </c>
      <c r="Y1122" s="4">
        <v>-0.11881899675977267</v>
      </c>
      <c r="Z1122" s="4">
        <v>-1.0369096037453231E-2</v>
      </c>
      <c r="AA1122" s="3">
        <f t="shared" si="373"/>
        <v>0.34615345488727428</v>
      </c>
      <c r="AB1122" s="3">
        <f t="shared" si="376"/>
        <v>1.2573686135758651E-3</v>
      </c>
      <c r="AC1122" s="3">
        <f t="shared" si="374"/>
        <v>1.5503522076503273E-2</v>
      </c>
      <c r="AD1122" s="48"/>
      <c r="AE1122" s="46">
        <f t="shared" si="369"/>
        <v>42.092147075435371</v>
      </c>
      <c r="AF1122" s="46">
        <f t="shared" si="370"/>
        <v>-248.53980973057034</v>
      </c>
      <c r="AG1122" s="47">
        <f t="shared" si="371"/>
        <v>2727.846485734517</v>
      </c>
      <c r="AH1122" s="45" t="str">
        <f t="shared" si="375"/>
        <v>-248.53981,42.09215,02728</v>
      </c>
      <c r="AI1122" s="44">
        <f t="shared" si="377"/>
        <v>1021.3832220422851</v>
      </c>
    </row>
    <row r="1123" spans="1:35" ht="18" customHeight="1" x14ac:dyDescent="0.25">
      <c r="A1123" s="36">
        <f t="shared" si="372"/>
        <v>0.75246533564814821</v>
      </c>
      <c r="B1123" s="42">
        <f t="shared" si="357"/>
        <v>42.09214707346991</v>
      </c>
      <c r="C1123" s="43">
        <f t="shared" si="358"/>
        <v>111.46019138193334</v>
      </c>
      <c r="D1123" s="18">
        <f t="shared" si="359"/>
        <v>2.7123183497251375</v>
      </c>
      <c r="E1123" s="21" t="str">
        <f t="shared" si="360"/>
        <v>Umbra</v>
      </c>
      <c r="F1123" s="23">
        <f>IF($E1123&lt;&gt;"Umbra",fracil2($S$2,$S$3,$S$4,$A1123,$Q$2,$O$3,$Q$4,$U1123,$V1123,$W1123),0)</f>
        <v>0</v>
      </c>
      <c r="G1123" s="19">
        <f t="shared" si="361"/>
        <v>69.301880661801292</v>
      </c>
      <c r="H1123" s="19">
        <f t="shared" si="362"/>
        <v>-4.7025491899620713</v>
      </c>
      <c r="I1123" s="19">
        <f t="shared" si="363"/>
        <v>-3.4945312405671762</v>
      </c>
      <c r="J1123" s="28">
        <f t="shared" si="364"/>
        <v>4.7327189685182651E-3</v>
      </c>
      <c r="K1123" s="24">
        <f t="shared" si="365"/>
        <v>1048.0249582626705</v>
      </c>
      <c r="L1123" s="32">
        <f t="shared" si="366"/>
        <v>0.56414926877901184</v>
      </c>
      <c r="M1123" s="35">
        <f t="shared" si="367"/>
        <v>12.896911367201923</v>
      </c>
      <c r="O1123" s="29">
        <f t="shared" si="368"/>
        <v>1046.5865781762138</v>
      </c>
      <c r="T1123" s="48">
        <v>0.75246533564814821</v>
      </c>
      <c r="U1123" s="29">
        <v>-1480.17976166382</v>
      </c>
      <c r="V1123" s="29">
        <v>4505.2309600849276</v>
      </c>
      <c r="W1123" s="29">
        <v>4255.0213384159451</v>
      </c>
      <c r="X1123" s="4">
        <v>-0.32494988909967359</v>
      </c>
      <c r="Y1123" s="4">
        <v>-0.11883379245813776</v>
      </c>
      <c r="Z1123" s="4">
        <v>-1.0360787795549935E-2</v>
      </c>
      <c r="AA1123" s="3">
        <f t="shared" si="373"/>
        <v>0.34615205702063701</v>
      </c>
      <c r="AB1123" s="3">
        <f t="shared" si="376"/>
        <v>1.2560751159562459E-3</v>
      </c>
      <c r="AC1123" s="3">
        <f t="shared" si="374"/>
        <v>1.5491155735625836E-2</v>
      </c>
      <c r="AD1123" s="48"/>
      <c r="AE1123" s="46">
        <f t="shared" si="369"/>
        <v>42.09214707346991</v>
      </c>
      <c r="AF1123" s="46">
        <f t="shared" si="370"/>
        <v>-248.53980861806667</v>
      </c>
      <c r="AG1123" s="47">
        <f t="shared" si="371"/>
        <v>2712.3183497251375</v>
      </c>
      <c r="AH1123" s="45" t="str">
        <f t="shared" si="375"/>
        <v>-248.53981,42.09215,02712</v>
      </c>
      <c r="AI1123" s="44">
        <f t="shared" si="377"/>
        <v>1021.383316977583</v>
      </c>
    </row>
    <row r="1124" spans="1:35" ht="18" customHeight="1" x14ac:dyDescent="0.25">
      <c r="A1124" s="36">
        <f t="shared" si="372"/>
        <v>0.75247702546296302</v>
      </c>
      <c r="B1124" s="42">
        <f t="shared" si="357"/>
        <v>42.092147071497379</v>
      </c>
      <c r="C1124" s="43">
        <f t="shared" si="358"/>
        <v>111.4601883419606</v>
      </c>
      <c r="D1124" s="18">
        <f t="shared" si="359"/>
        <v>2.6967253368757156</v>
      </c>
      <c r="E1124" s="21" t="str">
        <f t="shared" si="360"/>
        <v>Umbra</v>
      </c>
      <c r="F1124" s="23">
        <f>IF($E1124&lt;&gt;"Umbra",fracil2($S$2,$S$3,$S$4,$A1124,$Q$2,$O$3,$Q$4,$U1124,$V1124,$W1124),0)</f>
        <v>0</v>
      </c>
      <c r="G1124" s="19">
        <f t="shared" si="361"/>
        <v>69.301880362839455</v>
      </c>
      <c r="H1124" s="19">
        <f t="shared" si="362"/>
        <v>-4.703397594342321</v>
      </c>
      <c r="I1124" s="19">
        <f t="shared" si="363"/>
        <v>-3.4953796449474259</v>
      </c>
      <c r="J1124" s="28">
        <f t="shared" si="364"/>
        <v>4.7321756564374434E-3</v>
      </c>
      <c r="K1124" s="24">
        <f t="shared" si="365"/>
        <v>1048.0234157164132</v>
      </c>
      <c r="L1124" s="32">
        <f t="shared" si="366"/>
        <v>0.5641627931327583</v>
      </c>
      <c r="M1124" s="35">
        <f t="shared" si="367"/>
        <v>12.896340619663951</v>
      </c>
      <c r="O1124" s="29">
        <f t="shared" si="368"/>
        <v>1046.5863337029823</v>
      </c>
      <c r="T1124" s="48">
        <v>0.75247702546296302</v>
      </c>
      <c r="U1124" s="29">
        <v>-1480.5077180781445</v>
      </c>
      <c r="V1124" s="29">
        <v>4505.1110180716405</v>
      </c>
      <c r="W1124" s="29">
        <v>4255.0108858677049</v>
      </c>
      <c r="X1124" s="4">
        <v>-0.32494321701358991</v>
      </c>
      <c r="Y1124" s="4">
        <v>-0.11884867641992676</v>
      </c>
      <c r="Z1124" s="4">
        <v>-1.0352452050707244E-2</v>
      </c>
      <c r="AA1124" s="3">
        <f t="shared" si="373"/>
        <v>0.34615065424374347</v>
      </c>
      <c r="AB1124" s="3">
        <f t="shared" si="376"/>
        <v>1.2527420966290739E-3</v>
      </c>
      <c r="AC1124" s="3">
        <f t="shared" si="374"/>
        <v>1.5478748502736303E-2</v>
      </c>
      <c r="AD1124" s="48"/>
      <c r="AE1124" s="46">
        <f t="shared" si="369"/>
        <v>42.092147071497379</v>
      </c>
      <c r="AF1124" s="46">
        <f t="shared" si="370"/>
        <v>-248.53981165803941</v>
      </c>
      <c r="AG1124" s="47">
        <f t="shared" si="371"/>
        <v>2696.7253368757156</v>
      </c>
      <c r="AH1124" s="45" t="str">
        <f t="shared" si="375"/>
        <v>-248.53981,42.09215,02697</v>
      </c>
      <c r="AI1124" s="44">
        <f t="shared" si="377"/>
        <v>1021.3835681527722</v>
      </c>
    </row>
    <row r="1125" spans="1:35" ht="18" customHeight="1" x14ac:dyDescent="0.25">
      <c r="A1125" s="36">
        <f t="shared" si="372"/>
        <v>0.75248841435185188</v>
      </c>
      <c r="B1125" s="42">
        <f t="shared" si="357"/>
        <v>42.092147069576328</v>
      </c>
      <c r="C1125" s="43">
        <f t="shared" si="358"/>
        <v>111.46018921511867</v>
      </c>
      <c r="D1125" s="18">
        <f t="shared" si="359"/>
        <v>2.6815316250940668</v>
      </c>
      <c r="E1125" s="21" t="str">
        <f t="shared" si="360"/>
        <v>Umbra</v>
      </c>
      <c r="F1125" s="23">
        <f>IF($E1125&lt;&gt;"Umbra",fracil2($S$2,$S$3,$S$4,$A1125,$Q$2,$O$3,$Q$4,$U1125,$V1125,$W1125),0)</f>
        <v>0</v>
      </c>
      <c r="G1125" s="19">
        <f t="shared" si="361"/>
        <v>69.301883974626733</v>
      </c>
      <c r="H1125" s="19">
        <f t="shared" si="362"/>
        <v>-4.7042256704523311</v>
      </c>
      <c r="I1125" s="19">
        <f t="shared" si="363"/>
        <v>-3.496207721057436</v>
      </c>
      <c r="J1125" s="28">
        <f t="shared" si="364"/>
        <v>4.7316465601327145E-3</v>
      </c>
      <c r="K1125" s="24">
        <f t="shared" si="365"/>
        <v>1048.0222211924954</v>
      </c>
      <c r="L1125" s="32">
        <f t="shared" si="366"/>
        <v>0.56417596511271006</v>
      </c>
      <c r="M1125" s="35">
        <f t="shared" si="367"/>
        <v>12.895780659732575</v>
      </c>
      <c r="O1125" s="29">
        <f t="shared" si="368"/>
        <v>1046.5864038597349</v>
      </c>
      <c r="T1125" s="48">
        <v>0.75248841435185188</v>
      </c>
      <c r="U1125" s="29">
        <v>-1480.8275238190195</v>
      </c>
      <c r="V1125" s="29">
        <v>4504.994040121579</v>
      </c>
      <c r="W1125" s="29">
        <v>4255.0007009851797</v>
      </c>
      <c r="X1125" s="4">
        <v>-0.3249367064653127</v>
      </c>
      <c r="Y1125" s="4">
        <v>-0.11886320393336203</v>
      </c>
      <c r="Z1125" s="4">
        <v>-1.0344335942570332E-2</v>
      </c>
      <c r="AA1125" s="3">
        <f t="shared" si="373"/>
        <v>0.34614928823257968</v>
      </c>
      <c r="AB1125" s="3">
        <f t="shared" si="376"/>
        <v>1.2519581587060796E-3</v>
      </c>
      <c r="AC1125" s="3">
        <f t="shared" si="374"/>
        <v>1.5466668228259338E-2</v>
      </c>
      <c r="AD1125" s="48"/>
      <c r="AE1125" s="46">
        <f t="shared" si="369"/>
        <v>42.092147069576328</v>
      </c>
      <c r="AF1125" s="46">
        <f t="shared" si="370"/>
        <v>-248.53981078488133</v>
      </c>
      <c r="AG1125" s="47">
        <f t="shared" si="371"/>
        <v>2681.5316250940668</v>
      </c>
      <c r="AH1125" s="45" t="str">
        <f t="shared" si="375"/>
        <v>-248.53981,42.09215,02682</v>
      </c>
      <c r="AI1125" s="44">
        <f t="shared" si="377"/>
        <v>1021.3836630880702</v>
      </c>
    </row>
    <row r="1126" spans="1:35" ht="18" customHeight="1" x14ac:dyDescent="0.25">
      <c r="A1126" s="36">
        <f t="shared" si="372"/>
        <v>0.75250008101851851</v>
      </c>
      <c r="B1126" s="42">
        <f t="shared" si="357"/>
        <v>42.092147067612018</v>
      </c>
      <c r="C1126" s="43">
        <f t="shared" si="358"/>
        <v>111.46018787188856</v>
      </c>
      <c r="D1126" s="18">
        <f t="shared" si="359"/>
        <v>2.6659879404714957</v>
      </c>
      <c r="E1126" s="21" t="str">
        <f t="shared" si="360"/>
        <v>Umbra</v>
      </c>
      <c r="F1126" s="23">
        <f>IF($E1126&lt;&gt;"Umbra",fracil2($S$2,$S$3,$S$4,$A1126,$Q$2,$O$3,$Q$4,$U1126,$V1126,$W1126),0)</f>
        <v>0</v>
      </c>
      <c r="G1126" s="19">
        <f t="shared" si="361"/>
        <v>69.301885393577507</v>
      </c>
      <c r="H1126" s="19">
        <f t="shared" si="362"/>
        <v>-4.7050720091361242</v>
      </c>
      <c r="I1126" s="19">
        <f t="shared" si="363"/>
        <v>-3.4970540597412292</v>
      </c>
      <c r="J1126" s="28">
        <f t="shared" si="364"/>
        <v>4.7311056924788921E-3</v>
      </c>
      <c r="K1126" s="24">
        <f t="shared" si="365"/>
        <v>1048.0208195993134</v>
      </c>
      <c r="L1126" s="32">
        <f t="shared" si="366"/>
        <v>0.56418945858838743</v>
      </c>
      <c r="M1126" s="35">
        <f t="shared" si="367"/>
        <v>12.895210023675576</v>
      </c>
      <c r="O1126" s="29">
        <f t="shared" si="368"/>
        <v>1046.5862958104567</v>
      </c>
      <c r="T1126" s="48">
        <v>0.75250008101851851</v>
      </c>
      <c r="U1126" s="29">
        <v>-1481.1549490349917</v>
      </c>
      <c r="V1126" s="29">
        <v>4504.8742578861202</v>
      </c>
      <c r="W1126" s="29">
        <v>4254.9902815035612</v>
      </c>
      <c r="X1126" s="4">
        <v>-0.32493003700807249</v>
      </c>
      <c r="Y1126" s="4">
        <v>-0.11887808953566795</v>
      </c>
      <c r="Z1126" s="4">
        <v>-1.0336037506087581E-2</v>
      </c>
      <c r="AA1126" s="3">
        <f t="shared" si="373"/>
        <v>0.34614789150454883</v>
      </c>
      <c r="AB1126" s="3">
        <f t="shared" si="376"/>
        <v>1.2496007766219636E-3</v>
      </c>
      <c r="AC1126" s="3">
        <f t="shared" si="374"/>
        <v>1.5454316614362095E-2</v>
      </c>
      <c r="AD1126" s="48"/>
      <c r="AE1126" s="46">
        <f t="shared" si="369"/>
        <v>42.092147067612018</v>
      </c>
      <c r="AF1126" s="46">
        <f t="shared" si="370"/>
        <v>-248.53981212811144</v>
      </c>
      <c r="AG1126" s="47">
        <f t="shared" si="371"/>
        <v>2665.9879404714957</v>
      </c>
      <c r="AH1126" s="45" t="str">
        <f t="shared" si="375"/>
        <v>-248.53981,42.09215,02666</v>
      </c>
      <c r="AI1126" s="44">
        <f t="shared" si="377"/>
        <v>1021.3836630880702</v>
      </c>
    </row>
    <row r="1127" spans="1:35" ht="18" customHeight="1" x14ac:dyDescent="0.25">
      <c r="A1127" s="36">
        <f t="shared" si="372"/>
        <v>0.7525117013888889</v>
      </c>
      <c r="B1127" s="42">
        <f t="shared" si="357"/>
        <v>42.092147065657478</v>
      </c>
      <c r="C1127" s="43">
        <f t="shared" si="358"/>
        <v>111.46018807888166</v>
      </c>
      <c r="D1127" s="18">
        <f t="shared" si="359"/>
        <v>2.6505126302727149</v>
      </c>
      <c r="E1127" s="21" t="str">
        <f t="shared" si="360"/>
        <v>Umbra</v>
      </c>
      <c r="F1127" s="23">
        <f>IF($E1127&lt;&gt;"Umbra",fracil2($S$2,$S$3,$S$4,$A1127,$Q$2,$O$3,$Q$4,$U1127,$V1127,$W1127),0)</f>
        <v>0</v>
      </c>
      <c r="G1127" s="19">
        <f t="shared" si="361"/>
        <v>69.301888377908867</v>
      </c>
      <c r="H1127" s="19">
        <f t="shared" si="362"/>
        <v>-4.70591518865821</v>
      </c>
      <c r="I1127" s="19">
        <f t="shared" si="363"/>
        <v>-3.497897239263315</v>
      </c>
      <c r="J1127" s="28">
        <f t="shared" si="364"/>
        <v>4.7305675827134155E-3</v>
      </c>
      <c r="K1127" s="24">
        <f t="shared" si="365"/>
        <v>1048.0195485385891</v>
      </c>
      <c r="L1127" s="32">
        <f t="shared" si="366"/>
        <v>0.56420289594706963</v>
      </c>
      <c r="M1127" s="35">
        <f t="shared" si="367"/>
        <v>12.894640352649139</v>
      </c>
      <c r="O1127" s="29">
        <f t="shared" si="368"/>
        <v>1046.5863124044913</v>
      </c>
      <c r="T1127" s="48">
        <v>0.7525117013888889</v>
      </c>
      <c r="U1127" s="29">
        <v>-1481.4811884092817</v>
      </c>
      <c r="V1127" s="29">
        <v>4504.7548920961299</v>
      </c>
      <c r="W1127" s="29">
        <v>4254.9799078558308</v>
      </c>
      <c r="X1127" s="4">
        <v>-0.32492338739466736</v>
      </c>
      <c r="Y1127" s="4">
        <v>-0.1188929347600941</v>
      </c>
      <c r="Z1127" s="4">
        <v>-1.0327781653624407E-2</v>
      </c>
      <c r="AA1127" s="3">
        <f t="shared" si="373"/>
        <v>0.34614650176735573</v>
      </c>
      <c r="AB1127" s="3">
        <f t="shared" si="376"/>
        <v>1.2481368150613727E-3</v>
      </c>
      <c r="AC1127" s="3">
        <f t="shared" si="374"/>
        <v>1.5442028427835148E-2</v>
      </c>
      <c r="AD1127" s="48"/>
      <c r="AE1127" s="46">
        <f t="shared" si="369"/>
        <v>42.092147065657478</v>
      </c>
      <c r="AF1127" s="46">
        <f t="shared" si="370"/>
        <v>-248.53981192111834</v>
      </c>
      <c r="AG1127" s="47">
        <f t="shared" si="371"/>
        <v>2650.5126302727149</v>
      </c>
      <c r="AH1127" s="45" t="str">
        <f t="shared" si="375"/>
        <v>-248.53981,42.09215,02651</v>
      </c>
      <c r="AI1127" s="44">
        <f t="shared" si="377"/>
        <v>1021.3836630880702</v>
      </c>
    </row>
    <row r="1128" spans="1:35" ht="18" customHeight="1" x14ac:dyDescent="0.25">
      <c r="A1128" s="36">
        <f t="shared" si="372"/>
        <v>0.75252325231481487</v>
      </c>
      <c r="B1128" s="42">
        <f t="shared" si="357"/>
        <v>42.092147063716652</v>
      </c>
      <c r="C1128" s="43">
        <f t="shared" si="358"/>
        <v>111.46018909836947</v>
      </c>
      <c r="D1128" s="18">
        <f t="shared" si="359"/>
        <v>2.6351390504651135</v>
      </c>
      <c r="E1128" s="21" t="str">
        <f t="shared" si="360"/>
        <v>Umbra</v>
      </c>
      <c r="F1128" s="23">
        <f>IF($E1128&lt;&gt;"Umbra",fracil2($S$2,$S$3,$S$4,$A1128,$Q$2,$O$3,$Q$4,$U1128,$V1128,$W1128),0)</f>
        <v>0</v>
      </c>
      <c r="G1128" s="19">
        <f t="shared" si="361"/>
        <v>69.301892170872648</v>
      </c>
      <c r="H1128" s="19">
        <f t="shared" si="362"/>
        <v>-4.7067531232400519</v>
      </c>
      <c r="I1128" s="19">
        <f t="shared" si="363"/>
        <v>-3.4987351738451569</v>
      </c>
      <c r="J1128" s="28">
        <f t="shared" si="364"/>
        <v>4.7300333363652757E-3</v>
      </c>
      <c r="K1128" s="24">
        <f t="shared" si="365"/>
        <v>1048.0183514796233</v>
      </c>
      <c r="L1128" s="32">
        <f t="shared" si="366"/>
        <v>0.56421625098755757</v>
      </c>
      <c r="M1128" s="35">
        <f t="shared" si="367"/>
        <v>12.894073609368835</v>
      </c>
      <c r="O1128" s="29">
        <f t="shared" si="368"/>
        <v>1046.5863943261465</v>
      </c>
      <c r="T1128" s="48">
        <v>0.75252325231481487</v>
      </c>
      <c r="U1128" s="29">
        <v>-1481.8055348128107</v>
      </c>
      <c r="V1128" s="29">
        <v>4504.6362017098982</v>
      </c>
      <c r="W1128" s="29">
        <v>4254.9696024016512</v>
      </c>
      <c r="X1128" s="4">
        <v>-0.32491677248560769</v>
      </c>
      <c r="Y1128" s="4">
        <v>-0.11890770604902154</v>
      </c>
      <c r="Z1128" s="4">
        <v>-1.0319584972928486E-2</v>
      </c>
      <c r="AA1128" s="3">
        <f t="shared" si="373"/>
        <v>0.34614512192766511</v>
      </c>
      <c r="AB1128" s="3">
        <f t="shared" si="376"/>
        <v>1.2466366884773066E-3</v>
      </c>
      <c r="AC1128" s="3">
        <f t="shared" si="374"/>
        <v>1.5429828357506623E-2</v>
      </c>
      <c r="AD1128" s="48"/>
      <c r="AE1128" s="46">
        <f t="shared" si="369"/>
        <v>42.092147063716652</v>
      </c>
      <c r="AF1128" s="46">
        <f t="shared" si="370"/>
        <v>-248.53981090163052</v>
      </c>
      <c r="AG1128" s="47">
        <f t="shared" si="371"/>
        <v>2635.1390504651135</v>
      </c>
      <c r="AH1128" s="45" t="str">
        <f t="shared" si="375"/>
        <v>-248.53981,42.09215,02635</v>
      </c>
      <c r="AI1128" s="44">
        <f t="shared" si="377"/>
        <v>1021.3837973468552</v>
      </c>
    </row>
    <row r="1129" spans="1:35" ht="18" customHeight="1" x14ac:dyDescent="0.25">
      <c r="A1129" s="36">
        <f t="shared" si="372"/>
        <v>0.75253471064814814</v>
      </c>
      <c r="B1129" s="42">
        <f t="shared" si="357"/>
        <v>42.092147061795238</v>
      </c>
      <c r="C1129" s="43">
        <f t="shared" si="358"/>
        <v>111.46018758562148</v>
      </c>
      <c r="D1129" s="18">
        <f t="shared" si="359"/>
        <v>2.6199100475068917</v>
      </c>
      <c r="E1129" s="21" t="str">
        <f t="shared" si="360"/>
        <v>Umbra</v>
      </c>
      <c r="F1129" s="23">
        <f>IF($E1129&lt;&gt;"Umbra",fracil2($S$2,$S$3,$S$4,$A1129,$Q$2,$O$3,$Q$4,$U1129,$V1129,$W1129),0)</f>
        <v>0</v>
      </c>
      <c r="G1129" s="19">
        <f t="shared" si="361"/>
        <v>69.301893360929611</v>
      </c>
      <c r="H1129" s="19">
        <f t="shared" si="362"/>
        <v>-4.7075822626651815</v>
      </c>
      <c r="I1129" s="19">
        <f t="shared" si="363"/>
        <v>-3.4995643132702865</v>
      </c>
      <c r="J1129" s="28">
        <f t="shared" si="364"/>
        <v>4.7295046792997508E-3</v>
      </c>
      <c r="K1129" s="24">
        <f t="shared" si="365"/>
        <v>1048.0169631167712</v>
      </c>
      <c r="L1129" s="32">
        <f t="shared" si="366"/>
        <v>0.56422949945112399</v>
      </c>
      <c r="M1129" s="35">
        <f t="shared" si="367"/>
        <v>12.893514702815471</v>
      </c>
      <c r="O1129" s="29">
        <f t="shared" si="368"/>
        <v>1046.5862726481391</v>
      </c>
      <c r="T1129" s="48">
        <v>0.75253471064814814</v>
      </c>
      <c r="U1129" s="29">
        <v>-1482.1270784398962</v>
      </c>
      <c r="V1129" s="29">
        <v>4504.5185200150927</v>
      </c>
      <c r="W1129" s="29">
        <v>4254.9593938625439</v>
      </c>
      <c r="X1129" s="4">
        <v>-0.32491021026074624</v>
      </c>
      <c r="Y1129" s="4">
        <v>-0.11892236369820458</v>
      </c>
      <c r="Z1129" s="4">
        <v>-1.0311472108802004E-2</v>
      </c>
      <c r="AA1129" s="3">
        <f t="shared" si="373"/>
        <v>0.34614375594007324</v>
      </c>
      <c r="AB1129" s="3">
        <f t="shared" si="376"/>
        <v>1.2438553826580551E-3</v>
      </c>
      <c r="AC1129" s="3">
        <f t="shared" si="374"/>
        <v>1.5417753084083169E-2</v>
      </c>
      <c r="AD1129" s="48"/>
      <c r="AE1129" s="46">
        <f t="shared" si="369"/>
        <v>42.092147061795238</v>
      </c>
      <c r="AF1129" s="46">
        <f t="shared" si="370"/>
        <v>-248.5398124143785</v>
      </c>
      <c r="AG1129" s="47">
        <f t="shared" si="371"/>
        <v>2619.9100475068917</v>
      </c>
      <c r="AH1129" s="45" t="str">
        <f t="shared" si="375"/>
        <v>-248.53981,42.09215,02620</v>
      </c>
      <c r="AI1129" s="44">
        <f t="shared" si="377"/>
        <v>1021.3839316056402</v>
      </c>
    </row>
    <row r="1130" spans="1:35" ht="18" customHeight="1" x14ac:dyDescent="0.25">
      <c r="A1130" s="36">
        <f t="shared" si="372"/>
        <v>0.75254636574074063</v>
      </c>
      <c r="B1130" s="42">
        <f t="shared" si="357"/>
        <v>42.092147059842006</v>
      </c>
      <c r="C1130" s="43">
        <f t="shared" si="358"/>
        <v>111.46018951099637</v>
      </c>
      <c r="D1130" s="18">
        <f t="shared" si="359"/>
        <v>2.6044190727161549</v>
      </c>
      <c r="E1130" s="21" t="str">
        <f t="shared" si="360"/>
        <v>Umbra</v>
      </c>
      <c r="F1130" s="23">
        <f>IF($E1130&lt;&gt;"Umbra",fracil2($S$2,$S$3,$S$4,$A1130,$Q$2,$O$3,$Q$4,$U1130,$V1130,$W1130),0)</f>
        <v>0</v>
      </c>
      <c r="G1130" s="19">
        <f t="shared" si="361"/>
        <v>69.301898096847481</v>
      </c>
      <c r="H1130" s="19">
        <f t="shared" si="362"/>
        <v>-4.7084269262229999</v>
      </c>
      <c r="I1130" s="19">
        <f t="shared" si="363"/>
        <v>-3.5004089768281048</v>
      </c>
      <c r="J1130" s="28">
        <f t="shared" si="364"/>
        <v>4.7289670987998049E-3</v>
      </c>
      <c r="K1130" s="24">
        <f t="shared" si="365"/>
        <v>1048.0158295603253</v>
      </c>
      <c r="L1130" s="32">
        <f t="shared" si="366"/>
        <v>0.5642429714312045</v>
      </c>
      <c r="M1130" s="35">
        <f t="shared" si="367"/>
        <v>12.892942724530522</v>
      </c>
      <c r="O1130" s="29">
        <f t="shared" si="368"/>
        <v>1046.5864274058024</v>
      </c>
      <c r="T1130" s="48">
        <v>0.75254636574074063</v>
      </c>
      <c r="U1130" s="29">
        <v>-1482.4544062431482</v>
      </c>
      <c r="V1130" s="29">
        <v>4504.3987040238299</v>
      </c>
      <c r="W1130" s="29">
        <v>4254.9490097145572</v>
      </c>
      <c r="X1130" s="4">
        <v>-0.324903526419695</v>
      </c>
      <c r="Y1130" s="4">
        <v>-0.11893729625881398</v>
      </c>
      <c r="Z1130" s="4">
        <v>-1.0303223654658871E-2</v>
      </c>
      <c r="AA1130" s="3">
        <f t="shared" si="373"/>
        <v>0.3461423671540198</v>
      </c>
      <c r="AB1130" s="3">
        <f t="shared" si="376"/>
        <v>1.2432899477070449E-3</v>
      </c>
      <c r="AC1130" s="3">
        <f t="shared" si="374"/>
        <v>1.5405476040947472E-2</v>
      </c>
      <c r="AD1130" s="48"/>
      <c r="AE1130" s="46">
        <f t="shared" si="369"/>
        <v>42.092147059842006</v>
      </c>
      <c r="AF1130" s="46">
        <f t="shared" si="370"/>
        <v>-248.53981048900363</v>
      </c>
      <c r="AG1130" s="47">
        <f t="shared" si="371"/>
        <v>2604.4190727161549</v>
      </c>
      <c r="AH1130" s="45" t="str">
        <f t="shared" si="375"/>
        <v>-248.53981,42.09215,02604</v>
      </c>
      <c r="AI1130" s="44">
        <f t="shared" si="377"/>
        <v>1021.3840658644252</v>
      </c>
    </row>
    <row r="1131" spans="1:35" ht="18" customHeight="1" x14ac:dyDescent="0.25">
      <c r="A1131" s="36">
        <f t="shared" si="372"/>
        <v>0.75255799768518516</v>
      </c>
      <c r="B1131" s="42">
        <f t="shared" si="357"/>
        <v>42.092147057896923</v>
      </c>
      <c r="C1131" s="43">
        <f t="shared" si="358"/>
        <v>111.46018769117799</v>
      </c>
      <c r="D1131" s="18">
        <f t="shared" si="359"/>
        <v>2.5889849676632366</v>
      </c>
      <c r="E1131" s="21" t="str">
        <f t="shared" si="360"/>
        <v>Umbra</v>
      </c>
      <c r="F1131" s="23">
        <f>IF($E1131&lt;&gt;"Umbra",fracil2($S$2,$S$3,$S$4,$A1131,$Q$2,$O$3,$Q$4,$U1131,$V1131,$W1131),0)</f>
        <v>0</v>
      </c>
      <c r="G1131" s="19">
        <f t="shared" si="361"/>
        <v>69.301899011181263</v>
      </c>
      <c r="H1131" s="19">
        <f t="shared" si="362"/>
        <v>-4.7092671325011031</v>
      </c>
      <c r="I1131" s="19">
        <f t="shared" si="363"/>
        <v>-3.501249183106208</v>
      </c>
      <c r="J1131" s="28">
        <f t="shared" si="364"/>
        <v>4.7284319635462913E-3</v>
      </c>
      <c r="K1131" s="24">
        <f t="shared" si="365"/>
        <v>1048.0143999043446</v>
      </c>
      <c r="L1131" s="32">
        <f t="shared" si="366"/>
        <v>0.56425641800166526</v>
      </c>
      <c r="M1131" s="35">
        <f t="shared" si="367"/>
        <v>12.892376563444833</v>
      </c>
      <c r="O1131" s="29">
        <f t="shared" si="368"/>
        <v>1046.5862810377248</v>
      </c>
      <c r="T1131" s="48">
        <v>0.75255799768518516</v>
      </c>
      <c r="U1131" s="29">
        <v>-1482.7807862955979</v>
      </c>
      <c r="V1131" s="29">
        <v>4504.279217509883</v>
      </c>
      <c r="W1131" s="29">
        <v>4254.9386636884483</v>
      </c>
      <c r="X1131" s="4">
        <v>-0.32489685810902691</v>
      </c>
      <c r="Y1131" s="4">
        <v>-0.11895219757938694</v>
      </c>
      <c r="Z1131" s="4">
        <v>-1.0295010153336587E-2</v>
      </c>
      <c r="AA1131" s="3">
        <f t="shared" si="373"/>
        <v>0.3461409842132826</v>
      </c>
      <c r="AB1131" s="3">
        <f t="shared" si="376"/>
        <v>1.2404807564304985E-3</v>
      </c>
      <c r="AC1131" s="3">
        <f t="shared" si="374"/>
        <v>1.5393251065878332E-2</v>
      </c>
      <c r="AD1131" s="48"/>
      <c r="AE1131" s="46">
        <f t="shared" si="369"/>
        <v>42.092147057896923</v>
      </c>
      <c r="AF1131" s="46">
        <f t="shared" si="370"/>
        <v>-248.53981230882201</v>
      </c>
      <c r="AG1131" s="47">
        <f t="shared" si="371"/>
        <v>2588.9849676632366</v>
      </c>
      <c r="AH1131" s="45" t="str">
        <f t="shared" si="375"/>
        <v>-248.53981,42.09215,02589</v>
      </c>
      <c r="AI1131" s="44">
        <f t="shared" si="377"/>
        <v>1021.3842557350212</v>
      </c>
    </row>
    <row r="1132" spans="1:35" ht="18" customHeight="1" x14ac:dyDescent="0.25">
      <c r="A1132" s="36">
        <f t="shared" si="372"/>
        <v>0.75256956018518517</v>
      </c>
      <c r="B1132" s="42">
        <f t="shared" si="357"/>
        <v>42.092147055963771</v>
      </c>
      <c r="C1132" s="43">
        <f t="shared" si="358"/>
        <v>111.46019102977311</v>
      </c>
      <c r="D1132" s="18">
        <f t="shared" si="359"/>
        <v>2.5736362899906453</v>
      </c>
      <c r="E1132" s="21" t="str">
        <f t="shared" si="360"/>
        <v>Umbra</v>
      </c>
      <c r="F1132" s="23">
        <f>IF($E1132&lt;&gt;"Umbra",fracil2($S$2,$S$3,$S$4,$A1132,$Q$2,$O$3,$Q$4,$U1132,$V1132,$W1132),0)</f>
        <v>0</v>
      </c>
      <c r="G1132" s="19">
        <f t="shared" si="361"/>
        <v>69.301905159808896</v>
      </c>
      <c r="H1132" s="19">
        <f t="shared" si="362"/>
        <v>-4.7101045607932974</v>
      </c>
      <c r="I1132" s="19">
        <f t="shared" si="363"/>
        <v>-3.5020866113984024</v>
      </c>
      <c r="J1132" s="28">
        <f t="shared" si="364"/>
        <v>4.7278999829524944E-3</v>
      </c>
      <c r="K1132" s="24">
        <f t="shared" si="365"/>
        <v>1048.0133922313137</v>
      </c>
      <c r="L1132" s="32">
        <f t="shared" si="366"/>
        <v>0.56426977907044562</v>
      </c>
      <c r="M1132" s="35">
        <f t="shared" si="367"/>
        <v>12.891808401478576</v>
      </c>
      <c r="O1132" s="29">
        <f t="shared" si="368"/>
        <v>1046.5865494234831</v>
      </c>
      <c r="T1132" s="48">
        <v>0.75256956018518517</v>
      </c>
      <c r="U1132" s="29">
        <v>-1483.1056114476648</v>
      </c>
      <c r="V1132" s="29">
        <v>4504.1602829348403</v>
      </c>
      <c r="W1132" s="29">
        <v>4254.9283749274282</v>
      </c>
      <c r="X1132" s="4">
        <v>-0.32489021758237197</v>
      </c>
      <c r="Y1132" s="4">
        <v>-0.11896704038294015</v>
      </c>
      <c r="Z1132" s="4">
        <v>-1.0286847310087575E-2</v>
      </c>
      <c r="AA1132" s="3">
        <f t="shared" si="373"/>
        <v>0.34613960970362551</v>
      </c>
      <c r="AB1132" s="3">
        <f t="shared" si="376"/>
        <v>1.2402298161812695E-3</v>
      </c>
      <c r="AC1132" s="3">
        <f t="shared" si="374"/>
        <v>1.538110153399443E-2</v>
      </c>
      <c r="AD1132" s="48"/>
      <c r="AE1132" s="46">
        <f t="shared" si="369"/>
        <v>42.092147055963771</v>
      </c>
      <c r="AF1132" s="46">
        <f t="shared" si="370"/>
        <v>-248.53980897022689</v>
      </c>
      <c r="AG1132" s="47">
        <f t="shared" si="371"/>
        <v>2573.6362899906453</v>
      </c>
      <c r="AH1132" s="45" t="str">
        <f t="shared" si="375"/>
        <v>-248.53981,42.09215,02574</v>
      </c>
      <c r="AI1132" s="44">
        <f t="shared" si="377"/>
        <v>1021.3845242525927</v>
      </c>
    </row>
    <row r="1133" spans="1:35" ht="18" customHeight="1" x14ac:dyDescent="0.25">
      <c r="A1133" s="36">
        <f t="shared" si="372"/>
        <v>0.7525810648148149</v>
      </c>
      <c r="B1133" s="42">
        <f t="shared" si="357"/>
        <v>42.092147054045753</v>
      </c>
      <c r="C1133" s="43">
        <f t="shared" si="358"/>
        <v>111.46018808554112</v>
      </c>
      <c r="D1133" s="18">
        <f t="shared" si="359"/>
        <v>2.5583995025717741</v>
      </c>
      <c r="E1133" s="21" t="str">
        <f t="shared" si="360"/>
        <v>Umbra</v>
      </c>
      <c r="F1133" s="23">
        <f>IF($E1133&lt;&gt;"Umbra",fracil2($S$2,$S$3,$S$4,$A1133,$Q$2,$O$3,$Q$4,$U1133,$V1133,$W1133),0)</f>
        <v>0</v>
      </c>
      <c r="G1133" s="19">
        <f t="shared" si="361"/>
        <v>69.30190489450122</v>
      </c>
      <c r="H1133" s="19">
        <f t="shared" si="362"/>
        <v>-4.7109336127638279</v>
      </c>
      <c r="I1133" s="19">
        <f t="shared" si="363"/>
        <v>-3.5029156633689329</v>
      </c>
      <c r="J1133" s="28">
        <f t="shared" si="364"/>
        <v>4.7273725194853233E-3</v>
      </c>
      <c r="K1133" s="24">
        <f t="shared" si="365"/>
        <v>1048.0118890408362</v>
      </c>
      <c r="L1133" s="32">
        <f t="shared" si="366"/>
        <v>0.56428307652276255</v>
      </c>
      <c r="M1133" s="35">
        <f t="shared" si="367"/>
        <v>12.891250608994785</v>
      </c>
      <c r="O1133" s="29">
        <f t="shared" si="368"/>
        <v>1046.586312649498</v>
      </c>
      <c r="T1133" s="48">
        <v>0.7525810648148149</v>
      </c>
      <c r="U1133" s="29">
        <v>-1483.4283170175427</v>
      </c>
      <c r="V1133" s="29">
        <v>4504.042107333762</v>
      </c>
      <c r="W1133" s="29">
        <v>4254.9181611704862</v>
      </c>
      <c r="X1133" s="4">
        <v>-0.32488361619648215</v>
      </c>
      <c r="Y1133" s="4">
        <v>-0.11898179941777784</v>
      </c>
      <c r="Z1133" s="4">
        <v>-1.027874984591258E-2</v>
      </c>
      <c r="AA1133" s="3">
        <f t="shared" si="373"/>
        <v>0.346138246028939</v>
      </c>
      <c r="AB1133" s="3">
        <f t="shared" si="376"/>
        <v>1.2364805657972444E-3</v>
      </c>
      <c r="AC1133" s="3">
        <f t="shared" si="374"/>
        <v>1.5369049355136683E-2</v>
      </c>
      <c r="AD1133" s="48"/>
      <c r="AE1133" s="46">
        <f t="shared" si="369"/>
        <v>42.092147054045753</v>
      </c>
      <c r="AF1133" s="46">
        <f t="shared" si="370"/>
        <v>-248.53981191445888</v>
      </c>
      <c r="AG1133" s="47">
        <f t="shared" si="371"/>
        <v>2558.3995025717741</v>
      </c>
      <c r="AH1133" s="45" t="str">
        <f t="shared" si="375"/>
        <v>-248.53981,42.09215,02558</v>
      </c>
      <c r="AI1133" s="44">
        <f t="shared" si="377"/>
        <v>1021.3847754277818</v>
      </c>
    </row>
    <row r="1134" spans="1:35" ht="18" customHeight="1" x14ac:dyDescent="0.25">
      <c r="A1134" s="36">
        <f t="shared" si="372"/>
        <v>0.75259261574074066</v>
      </c>
      <c r="B1134" s="42">
        <f t="shared" si="357"/>
        <v>42.092147052119806</v>
      </c>
      <c r="C1134" s="43">
        <f t="shared" si="358"/>
        <v>111.46019121376362</v>
      </c>
      <c r="D1134" s="18">
        <f t="shared" si="359"/>
        <v>2.5430911510629812</v>
      </c>
      <c r="E1134" s="21" t="str">
        <f t="shared" si="360"/>
        <v>Umbra</v>
      </c>
      <c r="F1134" s="23">
        <f>IF($E1134&lt;&gt;"Umbra",fracil2($S$2,$S$3,$S$4,$A1134,$Q$2,$O$3,$Q$4,$U1134,$V1134,$W1134),0)</f>
        <v>0</v>
      </c>
      <c r="G1134" s="19">
        <f t="shared" si="361"/>
        <v>69.30191082182192</v>
      </c>
      <c r="H1134" s="19">
        <f t="shared" si="362"/>
        <v>-4.7117687712291749</v>
      </c>
      <c r="I1134" s="19">
        <f t="shared" si="363"/>
        <v>-3.5037508218342799</v>
      </c>
      <c r="J1134" s="28">
        <f t="shared" si="364"/>
        <v>4.7268427501694606E-3</v>
      </c>
      <c r="K1134" s="24">
        <f t="shared" si="365"/>
        <v>1048.0108682525654</v>
      </c>
      <c r="L1134" s="32">
        <f t="shared" si="366"/>
        <v>0.56429642157685278</v>
      </c>
      <c r="M1134" s="35">
        <f t="shared" si="367"/>
        <v>12.890684128360295</v>
      </c>
      <c r="O1134" s="29">
        <f t="shared" si="368"/>
        <v>1046.5865641207813</v>
      </c>
      <c r="T1134" s="48">
        <v>0.75259261574074066</v>
      </c>
      <c r="U1134" s="29">
        <v>-1483.7527877035059</v>
      </c>
      <c r="V1134" s="29">
        <v>4503.9232681345111</v>
      </c>
      <c r="W1134" s="29">
        <v>4254.9078994416959</v>
      </c>
      <c r="X1134" s="4">
        <v>-0.32487697467414323</v>
      </c>
      <c r="Y1134" s="4">
        <v>-0.11899665176221769</v>
      </c>
      <c r="Z1134" s="4">
        <v>-1.0270619725001082E-2</v>
      </c>
      <c r="AA1134" s="3">
        <f t="shared" si="373"/>
        <v>0.34613687673170274</v>
      </c>
      <c r="AB1134" s="3">
        <f t="shared" si="376"/>
        <v>1.2364869898874372E-3</v>
      </c>
      <c r="AC1134" s="3">
        <f t="shared" si="374"/>
        <v>1.5356948613696875E-2</v>
      </c>
      <c r="AD1134" s="48"/>
      <c r="AE1134" s="46">
        <f t="shared" si="369"/>
        <v>42.092147052119806</v>
      </c>
      <c r="AF1134" s="46">
        <f t="shared" si="370"/>
        <v>-248.53980878623639</v>
      </c>
      <c r="AG1134" s="47">
        <f t="shared" si="371"/>
        <v>2543.0911510629812</v>
      </c>
      <c r="AH1134" s="45" t="str">
        <f t="shared" si="375"/>
        <v>-248.53981,42.09215,02543</v>
      </c>
      <c r="AI1134" s="44">
        <f t="shared" si="377"/>
        <v>1021.385026602971</v>
      </c>
    </row>
    <row r="1135" spans="1:35" ht="18" customHeight="1" x14ac:dyDescent="0.25">
      <c r="A1135" s="36">
        <f t="shared" si="372"/>
        <v>0.75260422453703713</v>
      </c>
      <c r="B1135" s="42">
        <f t="shared" si="357"/>
        <v>42.092147050189674</v>
      </c>
      <c r="C1135" s="43">
        <f t="shared" si="358"/>
        <v>111.46018775124844</v>
      </c>
      <c r="D1135" s="18">
        <f t="shared" si="359"/>
        <v>2.5277425077392763</v>
      </c>
      <c r="E1135" s="21" t="str">
        <f t="shared" si="360"/>
        <v>Umbra</v>
      </c>
      <c r="F1135" s="23">
        <f>IF($E1135&lt;&gt;"Umbra",fracil2($S$2,$S$3,$S$4,$A1135,$Q$2,$O$3,$Q$4,$U1135,$V1135,$W1135),0)</f>
        <v>0</v>
      </c>
      <c r="G1135" s="19">
        <f t="shared" si="361"/>
        <v>69.301910049134136</v>
      </c>
      <c r="H1135" s="19">
        <f t="shared" si="362"/>
        <v>-4.7126037335126982</v>
      </c>
      <c r="I1135" s="19">
        <f t="shared" si="363"/>
        <v>-3.5045857841178032</v>
      </c>
      <c r="J1135" s="28">
        <f t="shared" si="364"/>
        <v>4.7263120948606999E-3</v>
      </c>
      <c r="K1135" s="24">
        <f t="shared" si="365"/>
        <v>1048.0093145483363</v>
      </c>
      <c r="L1135" s="32">
        <f t="shared" si="366"/>
        <v>0.56430983699035364</v>
      </c>
      <c r="M1135" s="35">
        <f t="shared" si="367"/>
        <v>12.890122722824431</v>
      </c>
      <c r="O1135" s="29">
        <f t="shared" si="368"/>
        <v>1046.5862856748081</v>
      </c>
      <c r="T1135" s="48">
        <v>0.75260422453703713</v>
      </c>
      <c r="U1135" s="29">
        <v>-1484.0783636307749</v>
      </c>
      <c r="V1135" s="29">
        <v>4503.8040067765078</v>
      </c>
      <c r="W1135" s="29">
        <v>4254.8976107039516</v>
      </c>
      <c r="X1135" s="4">
        <v>-0.32487030705448189</v>
      </c>
      <c r="Y1135" s="4">
        <v>-0.11901156558648489</v>
      </c>
      <c r="Z1135" s="4">
        <v>-1.0262471932815851E-2</v>
      </c>
      <c r="AA1135" s="3">
        <f t="shared" si="373"/>
        <v>0.34613550450537628</v>
      </c>
      <c r="AB1135" s="3">
        <f t="shared" si="376"/>
        <v>1.2329927834381245E-3</v>
      </c>
      <c r="AC1135" s="3">
        <f t="shared" si="374"/>
        <v>1.5344821614280597E-2</v>
      </c>
      <c r="AD1135" s="48"/>
      <c r="AE1135" s="46">
        <f t="shared" si="369"/>
        <v>42.092147050189674</v>
      </c>
      <c r="AF1135" s="46">
        <f t="shared" si="370"/>
        <v>-248.53981224875156</v>
      </c>
      <c r="AG1135" s="47">
        <f t="shared" si="371"/>
        <v>2527.7425077392763</v>
      </c>
      <c r="AH1135" s="45" t="str">
        <f t="shared" si="375"/>
        <v>-248.53981,42.09215,02528</v>
      </c>
      <c r="AI1135" s="44">
        <f t="shared" si="377"/>
        <v>1021.3853114088649</v>
      </c>
    </row>
    <row r="1136" spans="1:35" ht="18" customHeight="1" x14ac:dyDescent="0.25">
      <c r="A1136" s="36">
        <f t="shared" si="372"/>
        <v>0.75261578703703702</v>
      </c>
      <c r="B1136" s="42">
        <f t="shared" si="357"/>
        <v>42.092147048266796</v>
      </c>
      <c r="C1136" s="43">
        <f t="shared" si="358"/>
        <v>111.46019080905835</v>
      </c>
      <c r="D1136" s="18">
        <f t="shared" si="359"/>
        <v>2.5124433516284626</v>
      </c>
      <c r="E1136" s="21" t="str">
        <f t="shared" si="360"/>
        <v>Umbra</v>
      </c>
      <c r="F1136" s="23">
        <f>IF($E1136&lt;&gt;"Umbra",fracil2($S$2,$S$3,$S$4,$A1136,$Q$2,$O$3,$Q$4,$U1136,$V1136,$W1136),0)</f>
        <v>0</v>
      </c>
      <c r="G1136" s="19">
        <f t="shared" si="361"/>
        <v>69.301915903163547</v>
      </c>
      <c r="H1136" s="19">
        <f t="shared" si="362"/>
        <v>-4.7134383691075579</v>
      </c>
      <c r="I1136" s="19">
        <f t="shared" si="363"/>
        <v>-3.5054204197126628</v>
      </c>
      <c r="J1136" s="28">
        <f t="shared" si="364"/>
        <v>4.7257833436658708E-3</v>
      </c>
      <c r="K1136" s="24">
        <f t="shared" si="365"/>
        <v>1048.0082893081003</v>
      </c>
      <c r="L1136" s="32">
        <f t="shared" si="366"/>
        <v>0.56432319266992348</v>
      </c>
      <c r="M1136" s="35">
        <f t="shared" si="367"/>
        <v>12.889556638407896</v>
      </c>
      <c r="O1136" s="29">
        <f t="shared" si="368"/>
        <v>1046.5865314847658</v>
      </c>
      <c r="T1136" s="48">
        <v>0.75261578703703702</v>
      </c>
      <c r="U1136" s="29">
        <v>-1484.4031404149848</v>
      </c>
      <c r="V1136" s="29">
        <v>4503.685020814115</v>
      </c>
      <c r="W1136" s="29">
        <v>4254.8873551393208</v>
      </c>
      <c r="X1136" s="4">
        <v>-0.32486365157288311</v>
      </c>
      <c r="Y1136" s="4">
        <v>-0.11902645596948551</v>
      </c>
      <c r="Z1136" s="4">
        <v>-1.02543563289201E-2</v>
      </c>
      <c r="AA1136" s="3">
        <f t="shared" si="373"/>
        <v>0.34613413752134292</v>
      </c>
      <c r="AB1136" s="3">
        <f t="shared" si="376"/>
        <v>1.2330347350472434E-3</v>
      </c>
      <c r="AC1136" s="3">
        <f t="shared" si="374"/>
        <v>1.5332742566807445E-2</v>
      </c>
      <c r="AD1136" s="48"/>
      <c r="AE1136" s="46">
        <f t="shared" si="369"/>
        <v>42.092147048266796</v>
      </c>
      <c r="AF1136" s="46">
        <f t="shared" si="370"/>
        <v>-248.53980919094164</v>
      </c>
      <c r="AG1136" s="47">
        <f t="shared" si="371"/>
        <v>2512.4433516284626</v>
      </c>
      <c r="AH1136" s="45" t="str">
        <f t="shared" si="375"/>
        <v>-248.53981,42.09215,02512</v>
      </c>
      <c r="AI1136" s="44">
        <f t="shared" si="377"/>
        <v>1021.3855625840541</v>
      </c>
    </row>
    <row r="1137" spans="1:35" ht="18" customHeight="1" x14ac:dyDescent="0.25">
      <c r="A1137" s="36">
        <f t="shared" si="372"/>
        <v>0.75262731481481471</v>
      </c>
      <c r="B1137" s="42">
        <f t="shared" si="357"/>
        <v>42.092147046355002</v>
      </c>
      <c r="C1137" s="43">
        <f t="shared" si="358"/>
        <v>111.4601880007253</v>
      </c>
      <c r="D1137" s="18">
        <f t="shared" si="359"/>
        <v>2.4972236056910333</v>
      </c>
      <c r="E1137" s="21" t="str">
        <f t="shared" si="360"/>
        <v>Umbra</v>
      </c>
      <c r="F1137" s="23">
        <f>IF($E1137&lt;&gt;"Umbra",fracil2($S$2,$S$3,$S$4,$A1137,$Q$2,$O$3,$Q$4,$U1137,$V1137,$W1137),0)</f>
        <v>0</v>
      </c>
      <c r="G1137" s="19">
        <f t="shared" si="361"/>
        <v>69.301915773132777</v>
      </c>
      <c r="H1137" s="19">
        <f t="shared" si="362"/>
        <v>-4.7142665507768378</v>
      </c>
      <c r="I1137" s="19">
        <f t="shared" si="363"/>
        <v>-3.5062486013819427</v>
      </c>
      <c r="J1137" s="28">
        <f t="shared" si="364"/>
        <v>4.7252579259833413E-3</v>
      </c>
      <c r="K1137" s="24">
        <f t="shared" si="365"/>
        <v>1048.0067993418863</v>
      </c>
      <c r="L1137" s="32">
        <f t="shared" si="366"/>
        <v>0.56433651120954664</v>
      </c>
      <c r="M1137" s="35">
        <f t="shared" si="367"/>
        <v>12.888999312217656</v>
      </c>
      <c r="O1137" s="29">
        <f t="shared" si="368"/>
        <v>1046.5863056376581</v>
      </c>
      <c r="T1137" s="48">
        <v>0.75262731481481471</v>
      </c>
      <c r="U1137" s="29">
        <v>-1484.7264798816232</v>
      </c>
      <c r="V1137" s="29">
        <v>4503.566544214018</v>
      </c>
      <c r="W1137" s="29">
        <v>4254.8771528062271</v>
      </c>
      <c r="X1137" s="4">
        <v>-0.32485702153066737</v>
      </c>
      <c r="Y1137" s="4">
        <v>-0.11904129295767811</v>
      </c>
      <c r="Z1137" s="4">
        <v>-1.0246288203825293E-2</v>
      </c>
      <c r="AA1137" s="3">
        <f t="shared" si="373"/>
        <v>0.34613277840847156</v>
      </c>
      <c r="AB1137" s="3">
        <f t="shared" si="376"/>
        <v>1.2295089073958545E-3</v>
      </c>
      <c r="AC1137" s="3">
        <f t="shared" si="374"/>
        <v>1.5320734228718999E-2</v>
      </c>
      <c r="AD1137" s="48"/>
      <c r="AE1137" s="46">
        <f t="shared" si="369"/>
        <v>42.092147046355002</v>
      </c>
      <c r="AF1137" s="46">
        <f t="shared" si="370"/>
        <v>-248.53981199927472</v>
      </c>
      <c r="AG1137" s="47">
        <f t="shared" si="371"/>
        <v>2497.2236056910333</v>
      </c>
      <c r="AH1137" s="45" t="str">
        <f t="shared" si="375"/>
        <v>-248.53981,42.09215,02497</v>
      </c>
      <c r="AI1137" s="44">
        <f t="shared" si="377"/>
        <v>1021.3857951270927</v>
      </c>
    </row>
    <row r="1138" spans="1:35" ht="18" customHeight="1" x14ac:dyDescent="0.25">
      <c r="A1138" s="36">
        <f t="shared" si="372"/>
        <v>0.75263891203703703</v>
      </c>
      <c r="B1138" s="42">
        <f t="shared" si="357"/>
        <v>42.092147044431869</v>
      </c>
      <c r="C1138" s="43">
        <f t="shared" si="358"/>
        <v>111.4601900221539</v>
      </c>
      <c r="D1138" s="18">
        <f t="shared" si="359"/>
        <v>2.4819065385672729</v>
      </c>
      <c r="E1138" s="21" t="str">
        <f t="shared" si="360"/>
        <v>Umbra</v>
      </c>
      <c r="F1138" s="23">
        <f>IF($E1138&lt;&gt;"Umbra",fracil2($S$2,$S$3,$S$4,$A1138,$Q$2,$O$3,$Q$4,$U1138,$V1138,$W1138),0)</f>
        <v>0</v>
      </c>
      <c r="G1138" s="19">
        <f t="shared" si="361"/>
        <v>69.301920575685898</v>
      </c>
      <c r="H1138" s="19">
        <f t="shared" si="362"/>
        <v>-4.7151017897353151</v>
      </c>
      <c r="I1138" s="19">
        <f t="shared" si="363"/>
        <v>-3.5070838403404201</v>
      </c>
      <c r="J1138" s="28">
        <f t="shared" si="364"/>
        <v>4.7247292312566878E-3</v>
      </c>
      <c r="K1138" s="24">
        <f t="shared" si="365"/>
        <v>1048.0056897480069</v>
      </c>
      <c r="L1138" s="32">
        <f t="shared" si="366"/>
        <v>0.56434990497990578</v>
      </c>
      <c r="M1138" s="35">
        <f t="shared" si="367"/>
        <v>12.888433588396417</v>
      </c>
      <c r="O1138" s="29">
        <f t="shared" si="368"/>
        <v>1046.5864681191117</v>
      </c>
      <c r="T1138" s="48">
        <v>0.75263891203703703</v>
      </c>
      <c r="U1138" s="29">
        <v>-1485.0521373519998</v>
      </c>
      <c r="V1138" s="29">
        <v>4503.4472008850198</v>
      </c>
      <c r="W1138" s="29">
        <v>4254.8668852353767</v>
      </c>
      <c r="X1138" s="4">
        <v>-0.32485034061294971</v>
      </c>
      <c r="Y1138" s="4">
        <v>-0.1190562467721101</v>
      </c>
      <c r="Z1138" s="4">
        <v>-1.02381718566116E-2</v>
      </c>
      <c r="AA1138" s="3">
        <f t="shared" si="373"/>
        <v>0.34613141125124214</v>
      </c>
      <c r="AB1138" s="3">
        <f t="shared" si="376"/>
        <v>1.2294467551854744E-3</v>
      </c>
      <c r="AC1138" s="3">
        <f t="shared" si="374"/>
        <v>1.530865416192778E-2</v>
      </c>
      <c r="AD1138" s="48"/>
      <c r="AE1138" s="46">
        <f t="shared" si="369"/>
        <v>42.092147044431869</v>
      </c>
      <c r="AF1138" s="46">
        <f t="shared" si="370"/>
        <v>-248.53980997784612</v>
      </c>
      <c r="AG1138" s="47">
        <f t="shared" si="371"/>
        <v>2481.9065385672729</v>
      </c>
      <c r="AH1138" s="45" t="str">
        <f t="shared" si="375"/>
        <v>-248.53981,42.09215,02482</v>
      </c>
      <c r="AI1138" s="44">
        <f t="shared" si="377"/>
        <v>1021.385959559852</v>
      </c>
    </row>
    <row r="1139" spans="1:35" ht="18" customHeight="1" x14ac:dyDescent="0.25">
      <c r="A1139" s="36">
        <f t="shared" si="372"/>
        <v>0.75265049768518522</v>
      </c>
      <c r="B1139" s="42">
        <f t="shared" si="357"/>
        <v>42.092147042515023</v>
      </c>
      <c r="C1139" s="43">
        <f t="shared" si="358"/>
        <v>111.4601884535689</v>
      </c>
      <c r="D1139" s="18">
        <f t="shared" si="359"/>
        <v>2.4666299737591544</v>
      </c>
      <c r="E1139" s="21" t="str">
        <f t="shared" si="360"/>
        <v>Umbra</v>
      </c>
      <c r="F1139" s="23">
        <f>IF($E1139&lt;&gt;"Umbra",fracil2($S$2,$S$3,$S$4,$A1139,$Q$2,$O$3,$Q$4,$U1139,$V1139,$W1139),0)</f>
        <v>0</v>
      </c>
      <c r="G1139" s="19">
        <f t="shared" si="361"/>
        <v>69.301921717515469</v>
      </c>
      <c r="H1139" s="19">
        <f t="shared" si="362"/>
        <v>-4.7159335212599816</v>
      </c>
      <c r="I1139" s="19">
        <f t="shared" si="363"/>
        <v>-3.5079155718650865</v>
      </c>
      <c r="J1139" s="28">
        <f t="shared" si="364"/>
        <v>4.7242024880952841E-3</v>
      </c>
      <c r="K1139" s="24">
        <f t="shared" si="365"/>
        <v>1048.0042951607027</v>
      </c>
      <c r="L1139" s="32">
        <f t="shared" si="366"/>
        <v>0.56436328665791879</v>
      </c>
      <c r="M1139" s="35">
        <f t="shared" si="367"/>
        <v>12.88787292382696</v>
      </c>
      <c r="O1139" s="29">
        <f t="shared" si="368"/>
        <v>1046.5863419517348</v>
      </c>
      <c r="T1139" s="48">
        <v>0.75265049768518522</v>
      </c>
      <c r="U1139" s="29">
        <v>-1485.3771841672856</v>
      </c>
      <c r="V1139" s="29">
        <v>4503.3280639382483</v>
      </c>
      <c r="W1139" s="29">
        <v>4254.8566448147603</v>
      </c>
      <c r="X1139" s="4">
        <v>-0.32484366795818442</v>
      </c>
      <c r="Y1139" s="4">
        <v>-0.11907118578745858</v>
      </c>
      <c r="Z1139" s="4">
        <v>-1.0230082991773647E-2</v>
      </c>
      <c r="AA1139" s="3">
        <f t="shared" si="373"/>
        <v>0.34613004852999574</v>
      </c>
      <c r="AB1139" s="3">
        <f t="shared" si="376"/>
        <v>1.2265034038795551E-3</v>
      </c>
      <c r="AC1139" s="3">
        <f t="shared" si="374"/>
        <v>1.5296615042456923E-2</v>
      </c>
      <c r="AD1139" s="48"/>
      <c r="AE1139" s="46">
        <f t="shared" si="369"/>
        <v>42.092147042515023</v>
      </c>
      <c r="AF1139" s="46">
        <f t="shared" si="370"/>
        <v>-248.53981154643111</v>
      </c>
      <c r="AG1139" s="47">
        <f t="shared" si="371"/>
        <v>2466.6299737591544</v>
      </c>
      <c r="AH1139" s="45" t="str">
        <f t="shared" si="375"/>
        <v>-248.53981,42.09215,02467</v>
      </c>
      <c r="AI1139" s="44">
        <f t="shared" si="377"/>
        <v>1021.3860938186371</v>
      </c>
    </row>
    <row r="1140" spans="1:35" ht="18" customHeight="1" x14ac:dyDescent="0.25">
      <c r="A1140" s="36">
        <f t="shared" si="372"/>
        <v>0.75266206018518522</v>
      </c>
      <c r="B1140" s="42">
        <f t="shared" si="357"/>
        <v>42.092147040603962</v>
      </c>
      <c r="C1140" s="43">
        <f t="shared" si="358"/>
        <v>111.46018836668613</v>
      </c>
      <c r="D1140" s="18">
        <f t="shared" si="359"/>
        <v>2.4513905645353589</v>
      </c>
      <c r="E1140" s="21" t="str">
        <f t="shared" si="360"/>
        <v>Umbra</v>
      </c>
      <c r="F1140" s="23">
        <f>IF($E1140&lt;&gt;"Umbra",fracil2($S$2,$S$3,$S$4,$A1140,$Q$2,$O$3,$Q$4,$U1140,$V1140,$W1140),0)</f>
        <v>0</v>
      </c>
      <c r="G1140" s="19">
        <f t="shared" si="361"/>
        <v>69.30192436058411</v>
      </c>
      <c r="H1140" s="19">
        <f t="shared" si="362"/>
        <v>-4.7167637681774757</v>
      </c>
      <c r="I1140" s="19">
        <f t="shared" si="363"/>
        <v>-3.5087458187825806</v>
      </c>
      <c r="J1140" s="28">
        <f t="shared" si="364"/>
        <v>4.7236772815455394E-3</v>
      </c>
      <c r="K1140" s="24">
        <f t="shared" si="365"/>
        <v>1048.0030229837223</v>
      </c>
      <c r="L1140" s="32">
        <f t="shared" si="366"/>
        <v>0.56437663910948266</v>
      </c>
      <c r="M1140" s="35">
        <f t="shared" si="367"/>
        <v>12.887312144974031</v>
      </c>
      <c r="O1140" s="29">
        <f t="shared" si="368"/>
        <v>1046.5863349182728</v>
      </c>
      <c r="T1140" s="48">
        <v>0.75266206018518522</v>
      </c>
      <c r="U1140" s="29">
        <v>-1485.7016898387085</v>
      </c>
      <c r="V1140" s="29">
        <v>4503.2091079737684</v>
      </c>
      <c r="W1140" s="29">
        <v>4254.8464293009365</v>
      </c>
      <c r="X1140" s="4">
        <v>-0.32483700278752808</v>
      </c>
      <c r="Y1140" s="4">
        <v>-0.11908611121803633</v>
      </c>
      <c r="Z1140" s="4">
        <v>-1.0222017998361361E-2</v>
      </c>
      <c r="AA1140" s="3">
        <f t="shared" si="373"/>
        <v>0.34612868982067618</v>
      </c>
      <c r="AB1140" s="3">
        <f t="shared" si="376"/>
        <v>1.2253275969075564E-3</v>
      </c>
      <c r="AC1140" s="3">
        <f t="shared" si="374"/>
        <v>1.5284611495604056E-2</v>
      </c>
      <c r="AD1140" s="48"/>
      <c r="AE1140" s="46">
        <f t="shared" si="369"/>
        <v>42.092147040603962</v>
      </c>
      <c r="AF1140" s="46">
        <f t="shared" si="370"/>
        <v>-248.53981163331389</v>
      </c>
      <c r="AG1140" s="47">
        <f t="shared" si="371"/>
        <v>2451.3905645353589</v>
      </c>
      <c r="AH1140" s="45" t="str">
        <f t="shared" si="375"/>
        <v>-248.53981,42.09215,02451</v>
      </c>
      <c r="AI1140" s="44">
        <f t="shared" si="377"/>
        <v>1021.3860938186371</v>
      </c>
    </row>
    <row r="1141" spans="1:35" ht="18" customHeight="1" x14ac:dyDescent="0.25">
      <c r="A1141" s="36">
        <f t="shared" si="372"/>
        <v>0.75267370370370379</v>
      </c>
      <c r="B1141" s="42">
        <f t="shared" si="357"/>
        <v>42.092147038681787</v>
      </c>
      <c r="C1141" s="43">
        <f t="shared" si="358"/>
        <v>111.46018877094649</v>
      </c>
      <c r="D1141" s="18">
        <f t="shared" si="359"/>
        <v>2.4360547159649286</v>
      </c>
      <c r="E1141" s="21" t="str">
        <f t="shared" si="360"/>
        <v>Umbra</v>
      </c>
      <c r="F1141" s="23">
        <f>IF($E1141&lt;&gt;"Umbra",fracil2($S$2,$S$3,$S$4,$A1141,$Q$2,$O$3,$Q$4,$U1141,$V1141,$W1141),0)</f>
        <v>0</v>
      </c>
      <c r="G1141" s="19">
        <f t="shared" si="361"/>
        <v>69.301927520770249</v>
      </c>
      <c r="H1141" s="19">
        <f t="shared" si="362"/>
        <v>-4.7175994495048466</v>
      </c>
      <c r="I1141" s="19">
        <f t="shared" si="363"/>
        <v>-3.5095815001099515</v>
      </c>
      <c r="J1141" s="28">
        <f t="shared" si="364"/>
        <v>4.7231491115631245E-3</v>
      </c>
      <c r="K1141" s="24">
        <f t="shared" si="365"/>
        <v>1048.0017825022207</v>
      </c>
      <c r="L1141" s="32">
        <f t="shared" si="366"/>
        <v>0.5643900833544746</v>
      </c>
      <c r="M1141" s="35">
        <f t="shared" si="367"/>
        <v>12.886747321478284</v>
      </c>
      <c r="O1141" s="29">
        <f t="shared" si="368"/>
        <v>1046.5863673740653</v>
      </c>
      <c r="T1141" s="48">
        <v>0.75267370370370379</v>
      </c>
      <c r="U1141" s="29">
        <v>-1486.0285008292667</v>
      </c>
      <c r="V1141" s="29">
        <v>4503.0892893914879</v>
      </c>
      <c r="W1141" s="29">
        <v>4254.8361491404967</v>
      </c>
      <c r="X1141" s="4">
        <v>-0.32483028625522198</v>
      </c>
      <c r="Y1141" s="4">
        <v>-0.11910115513157681</v>
      </c>
      <c r="Z1141" s="4">
        <v>-1.0213907221213406E-2</v>
      </c>
      <c r="AA1141" s="3">
        <f t="shared" si="373"/>
        <v>0.34612732328299212</v>
      </c>
      <c r="AB1141" s="3">
        <f t="shared" si="376"/>
        <v>1.2237046140743128E-3</v>
      </c>
      <c r="AC1141" s="3">
        <f t="shared" si="374"/>
        <v>1.5272539850273719E-2</v>
      </c>
      <c r="AD1141" s="48"/>
      <c r="AE1141" s="46">
        <f t="shared" si="369"/>
        <v>42.092147038681787</v>
      </c>
      <c r="AF1141" s="46">
        <f t="shared" si="370"/>
        <v>-248.5398112290535</v>
      </c>
      <c r="AG1141" s="47">
        <f t="shared" si="371"/>
        <v>2436.0547159649286</v>
      </c>
      <c r="AH1141" s="45" t="str">
        <f t="shared" si="375"/>
        <v>-248.53981,42.09215,02436</v>
      </c>
      <c r="AI1141" s="44">
        <f t="shared" si="377"/>
        <v>1021.3860938186371</v>
      </c>
    </row>
    <row r="1142" spans="1:35" ht="18" customHeight="1" x14ac:dyDescent="0.25">
      <c r="A1142" s="36">
        <f t="shared" si="372"/>
        <v>0.75268521990740744</v>
      </c>
      <c r="B1142" s="42">
        <f t="shared" si="357"/>
        <v>42.092147036782137</v>
      </c>
      <c r="C1142" s="43">
        <f t="shared" si="358"/>
        <v>111.46019178123223</v>
      </c>
      <c r="D1142" s="18">
        <f t="shared" si="359"/>
        <v>2.4208890099553173</v>
      </c>
      <c r="E1142" s="21" t="str">
        <f t="shared" si="360"/>
        <v>Umbra</v>
      </c>
      <c r="F1142" s="23">
        <f>IF($E1142&lt;&gt;"Umbra",fracil2($S$2,$S$3,$S$4,$A1142,$Q$2,$O$3,$Q$4,$U1142,$V1142,$W1142),0)</f>
        <v>0</v>
      </c>
      <c r="G1142" s="19">
        <f t="shared" si="361"/>
        <v>69.301933302551873</v>
      </c>
      <c r="H1142" s="19">
        <f t="shared" si="362"/>
        <v>-4.7184268080183358</v>
      </c>
      <c r="I1142" s="19">
        <f t="shared" si="363"/>
        <v>-3.5104088586234408</v>
      </c>
      <c r="J1142" s="28">
        <f t="shared" si="364"/>
        <v>4.7226269488385318E-3</v>
      </c>
      <c r="K1142" s="24">
        <f t="shared" si="365"/>
        <v>1048.0007658437758</v>
      </c>
      <c r="L1142" s="32">
        <f t="shared" si="366"/>
        <v>0.56440337726552325</v>
      </c>
      <c r="M1142" s="35">
        <f t="shared" si="367"/>
        <v>12.886186159134084</v>
      </c>
      <c r="O1142" s="29">
        <f t="shared" si="368"/>
        <v>1046.5866093635047</v>
      </c>
      <c r="T1142" s="48">
        <v>0.75268521990740744</v>
      </c>
      <c r="U1142" s="29">
        <v>-1486.3519346421933</v>
      </c>
      <c r="V1142" s="29">
        <v>4502.9706916354971</v>
      </c>
      <c r="W1142" s="29">
        <v>4254.8259830327197</v>
      </c>
      <c r="X1142" s="4">
        <v>-0.32482363586985225</v>
      </c>
      <c r="Y1142" s="4">
        <v>-0.1191160537416758</v>
      </c>
      <c r="Z1142" s="4">
        <v>-1.0205889591196032E-2</v>
      </c>
      <c r="AA1142" s="3">
        <f t="shared" si="373"/>
        <v>0.34612597253174721</v>
      </c>
      <c r="AB1142" s="3">
        <f t="shared" si="376"/>
        <v>1.2230197351653243E-3</v>
      </c>
      <c r="AC1142" s="3">
        <f t="shared" si="374"/>
        <v>1.5260606883408355E-2</v>
      </c>
      <c r="AD1142" s="48"/>
      <c r="AE1142" s="46">
        <f t="shared" si="369"/>
        <v>42.092147036782137</v>
      </c>
      <c r="AF1142" s="46">
        <f t="shared" si="370"/>
        <v>-248.53980821876777</v>
      </c>
      <c r="AG1142" s="47">
        <f t="shared" si="371"/>
        <v>2420.8890099553173</v>
      </c>
      <c r="AH1142" s="45" t="str">
        <f t="shared" si="375"/>
        <v>-248.53981,42.09215,02421</v>
      </c>
      <c r="AI1142" s="44">
        <f t="shared" si="377"/>
        <v>1021.3863449938262</v>
      </c>
    </row>
    <row r="1143" spans="1:35" ht="18" customHeight="1" x14ac:dyDescent="0.25">
      <c r="A1143" s="36">
        <f t="shared" si="372"/>
        <v>0.75269679398148137</v>
      </c>
      <c r="B1143" s="42">
        <f t="shared" si="357"/>
        <v>42.092147034878401</v>
      </c>
      <c r="C1143" s="43">
        <f t="shared" si="358"/>
        <v>111.46018812569265</v>
      </c>
      <c r="D1143" s="18">
        <f t="shared" si="359"/>
        <v>2.4056834106395399</v>
      </c>
      <c r="E1143" s="21" t="str">
        <f t="shared" si="360"/>
        <v>Umbra</v>
      </c>
      <c r="F1143" s="23">
        <f>IF($E1143&lt;&gt;"Umbra",fracil2($S$2,$S$3,$S$4,$A1143,$Q$2,$O$3,$Q$4,$U1143,$V1143,$W1143),0)</f>
        <v>0</v>
      </c>
      <c r="G1143" s="19">
        <f t="shared" si="361"/>
        <v>69.301932307849299</v>
      </c>
      <c r="H1143" s="19">
        <f t="shared" si="362"/>
        <v>-4.7192539248192915</v>
      </c>
      <c r="I1143" s="19">
        <f t="shared" si="363"/>
        <v>-3.5112359754243965</v>
      </c>
      <c r="J1143" s="28">
        <f t="shared" si="364"/>
        <v>4.7221040691901714E-3</v>
      </c>
      <c r="K1143" s="24">
        <f t="shared" si="365"/>
        <v>1047.9992102722222</v>
      </c>
      <c r="L1143" s="32">
        <f t="shared" si="366"/>
        <v>0.56441674158495536</v>
      </c>
      <c r="M1143" s="35">
        <f t="shared" si="367"/>
        <v>12.885630158867007</v>
      </c>
      <c r="O1143" s="29">
        <f t="shared" si="368"/>
        <v>1046.5863153983855</v>
      </c>
      <c r="T1143" s="48">
        <v>0.75269679398148137</v>
      </c>
      <c r="U1143" s="29">
        <v>-1486.6764676874122</v>
      </c>
      <c r="V1143" s="29">
        <v>4502.8516734511168</v>
      </c>
      <c r="W1143" s="29">
        <v>4254.8157901831273</v>
      </c>
      <c r="X1143" s="4">
        <v>-0.32481695864911275</v>
      </c>
      <c r="Y1143" s="4">
        <v>-0.11913101608349293</v>
      </c>
      <c r="Z1143" s="4">
        <v>-1.0197856842328721E-2</v>
      </c>
      <c r="AA1143" s="3">
        <f t="shared" si="373"/>
        <v>0.34612461903673003</v>
      </c>
      <c r="AB1143" s="3">
        <f t="shared" si="376"/>
        <v>1.2191949420146354E-3</v>
      </c>
      <c r="AC1143" s="3">
        <f t="shared" si="374"/>
        <v>1.524865145780711E-2</v>
      </c>
      <c r="AD1143" s="48"/>
      <c r="AE1143" s="46">
        <f t="shared" si="369"/>
        <v>42.092147034878401</v>
      </c>
      <c r="AF1143" s="46">
        <f t="shared" si="370"/>
        <v>-248.53981187430736</v>
      </c>
      <c r="AG1143" s="47">
        <f t="shared" si="371"/>
        <v>2405.6834106395399</v>
      </c>
      <c r="AH1143" s="45" t="str">
        <f t="shared" si="375"/>
        <v>-248.53981,42.09215,02406</v>
      </c>
      <c r="AI1143" s="44">
        <f t="shared" si="377"/>
        <v>1021.3866452055976</v>
      </c>
    </row>
    <row r="1144" spans="1:35" ht="18" customHeight="1" x14ac:dyDescent="0.25">
      <c r="A1144" s="36">
        <f t="shared" si="372"/>
        <v>0.75270837962962966</v>
      </c>
      <c r="B1144" s="42">
        <f t="shared" si="357"/>
        <v>42.092147032972505</v>
      </c>
      <c r="C1144" s="43">
        <f t="shared" si="358"/>
        <v>111.46019033643651</v>
      </c>
      <c r="D1144" s="18">
        <f t="shared" si="359"/>
        <v>2.3904532320520957</v>
      </c>
      <c r="E1144" s="21" t="str">
        <f t="shared" si="360"/>
        <v>Umbra</v>
      </c>
      <c r="F1144" s="23">
        <f>IF($E1144&lt;&gt;"Umbra",fracil2($S$2,$S$3,$S$4,$A1144,$Q$2,$O$3,$Q$4,$U1144,$V1144,$W1144),0)</f>
        <v>0</v>
      </c>
      <c r="G1144" s="19">
        <f t="shared" si="361"/>
        <v>69.301937287528318</v>
      </c>
      <c r="H1144" s="19">
        <f t="shared" si="362"/>
        <v>-4.7200845097802819</v>
      </c>
      <c r="I1144" s="19">
        <f t="shared" si="363"/>
        <v>-3.5120665603853869</v>
      </c>
      <c r="J1144" s="28">
        <f t="shared" si="364"/>
        <v>4.7215803838072251E-3</v>
      </c>
      <c r="K1144" s="24">
        <f t="shared" si="365"/>
        <v>1047.9981244317169</v>
      </c>
      <c r="L1144" s="32">
        <f t="shared" si="366"/>
        <v>0.56443011350058769</v>
      </c>
      <c r="M1144" s="35">
        <f t="shared" si="367"/>
        <v>12.885067407371059</v>
      </c>
      <c r="O1144" s="29">
        <f t="shared" si="368"/>
        <v>1046.5864931018461</v>
      </c>
      <c r="T1144" s="48">
        <v>0.75270837962962966</v>
      </c>
      <c r="U1144" s="29">
        <v>-1487.0017749211299</v>
      </c>
      <c r="V1144" s="29">
        <v>4502.7323538789806</v>
      </c>
      <c r="W1144" s="29">
        <v>4254.805580857259</v>
      </c>
      <c r="X1144" s="4">
        <v>-0.32481026220206399</v>
      </c>
      <c r="Y1144" s="4">
        <v>-0.1191460243684824</v>
      </c>
      <c r="Z1144" s="4">
        <v>-1.0189814351909068E-2</v>
      </c>
      <c r="AA1144" s="3">
        <f t="shared" si="373"/>
        <v>0.34612326398425597</v>
      </c>
      <c r="AB1144" s="3">
        <f t="shared" si="376"/>
        <v>1.2194496121912979E-3</v>
      </c>
      <c r="AC1144" s="3">
        <f t="shared" si="374"/>
        <v>1.5236681576986915E-2</v>
      </c>
      <c r="AD1144" s="48"/>
      <c r="AE1144" s="46">
        <f t="shared" si="369"/>
        <v>42.092147032972505</v>
      </c>
      <c r="AF1144" s="46">
        <f t="shared" si="370"/>
        <v>-248.53980966356349</v>
      </c>
      <c r="AG1144" s="47">
        <f t="shared" si="371"/>
        <v>2390.4532320520957</v>
      </c>
      <c r="AH1144" s="45" t="str">
        <f t="shared" si="375"/>
        <v>-248.53981,42.09215,02390</v>
      </c>
      <c r="AI1144" s="44">
        <f t="shared" si="377"/>
        <v>1021.3868350761935</v>
      </c>
    </row>
    <row r="1145" spans="1:35" ht="18" customHeight="1" x14ac:dyDescent="0.25">
      <c r="A1145" s="36">
        <f t="shared" si="372"/>
        <v>0.75271993055555553</v>
      </c>
      <c r="B1145" s="42">
        <f t="shared" si="357"/>
        <v>42.092147031075115</v>
      </c>
      <c r="C1145" s="43">
        <f t="shared" si="358"/>
        <v>111.46019158143142</v>
      </c>
      <c r="D1145" s="18">
        <f t="shared" si="359"/>
        <v>2.3752841365585482</v>
      </c>
      <c r="E1145" s="21" t="str">
        <f t="shared" si="360"/>
        <v>Umbra</v>
      </c>
      <c r="F1145" s="23">
        <f>IF($E1145&lt;&gt;"Umbra",fracil2($S$2,$S$3,$S$4,$A1145,$Q$2,$O$3,$Q$4,$U1145,$V1145,$W1145),0)</f>
        <v>0</v>
      </c>
      <c r="G1145" s="19">
        <f t="shared" si="361"/>
        <v>69.301941273447341</v>
      </c>
      <c r="H1145" s="19">
        <f t="shared" si="362"/>
        <v>-4.7209114184412728</v>
      </c>
      <c r="I1145" s="19">
        <f t="shared" si="363"/>
        <v>-3.5128934690463778</v>
      </c>
      <c r="J1145" s="28">
        <f t="shared" si="364"/>
        <v>4.7210593006042391E-3</v>
      </c>
      <c r="K1145" s="24">
        <f t="shared" si="365"/>
        <v>1047.9969662471349</v>
      </c>
      <c r="L1145" s="32">
        <f t="shared" si="366"/>
        <v>0.56444344467795227</v>
      </c>
      <c r="M1145" s="35">
        <f t="shared" si="367"/>
        <v>12.884507859415281</v>
      </c>
      <c r="O1145" s="29">
        <f t="shared" si="368"/>
        <v>1046.5865931561104</v>
      </c>
      <c r="T1145" s="48">
        <v>0.75271993055555553</v>
      </c>
      <c r="U1145" s="29">
        <v>-1487.3260259721117</v>
      </c>
      <c r="V1145" s="29">
        <v>4502.6134042900976</v>
      </c>
      <c r="W1145" s="29">
        <v>4254.7954124776152</v>
      </c>
      <c r="X1145" s="4">
        <v>-0.32480358302975709</v>
      </c>
      <c r="Y1145" s="4">
        <v>-0.11916099770772481</v>
      </c>
      <c r="Z1145" s="4">
        <v>-1.0181810755919871E-2</v>
      </c>
      <c r="AA1145" s="3">
        <f t="shared" si="373"/>
        <v>0.34612191521765573</v>
      </c>
      <c r="AB1145" s="3">
        <f t="shared" si="376"/>
        <v>1.2171957363111168E-3</v>
      </c>
      <c r="AC1145" s="3">
        <f t="shared" si="374"/>
        <v>1.5224769627239494E-2</v>
      </c>
      <c r="AD1145" s="48"/>
      <c r="AE1145" s="46">
        <f t="shared" si="369"/>
        <v>42.092147031075115</v>
      </c>
      <c r="AF1145" s="46">
        <f t="shared" si="370"/>
        <v>-248.53980841856858</v>
      </c>
      <c r="AG1145" s="47">
        <f t="shared" si="371"/>
        <v>2375.2841365585482</v>
      </c>
      <c r="AH1145" s="45" t="str">
        <f t="shared" si="375"/>
        <v>-248.53981,42.09215,02375</v>
      </c>
      <c r="AI1145" s="44">
        <f t="shared" si="377"/>
        <v>1021.3869693349785</v>
      </c>
    </row>
    <row r="1146" spans="1:35" ht="18" customHeight="1" x14ac:dyDescent="0.25">
      <c r="A1146" s="36">
        <f t="shared" si="372"/>
        <v>0.75273150462962957</v>
      </c>
      <c r="B1146" s="42">
        <f t="shared" si="357"/>
        <v>42.092147029177582</v>
      </c>
      <c r="C1146" s="43">
        <f t="shared" si="358"/>
        <v>111.46019078646093</v>
      </c>
      <c r="D1146" s="18">
        <f t="shared" si="359"/>
        <v>2.3601040092589756</v>
      </c>
      <c r="E1146" s="21" t="str">
        <f t="shared" si="360"/>
        <v>Umbra</v>
      </c>
      <c r="F1146" s="23">
        <f>IF($E1146&lt;&gt;"Umbra",fracil2($S$2,$S$3,$S$4,$A1146,$Q$2,$O$3,$Q$4,$U1146,$V1146,$W1146),0)</f>
        <v>0</v>
      </c>
      <c r="G1146" s="19">
        <f t="shared" si="361"/>
        <v>69.301943185329492</v>
      </c>
      <c r="H1146" s="19">
        <f t="shared" si="362"/>
        <v>-4.7217381907419229</v>
      </c>
      <c r="I1146" s="19">
        <f t="shared" si="363"/>
        <v>-3.5137202413470279</v>
      </c>
      <c r="J1146" s="28">
        <f t="shared" si="364"/>
        <v>4.720538184668068E-3</v>
      </c>
      <c r="K1146" s="24">
        <f t="shared" si="365"/>
        <v>1047.9956433871378</v>
      </c>
      <c r="L1146" s="32">
        <f t="shared" si="366"/>
        <v>0.56445680272017407</v>
      </c>
      <c r="M1146" s="35">
        <f t="shared" si="367"/>
        <v>12.883949929969784</v>
      </c>
      <c r="O1146" s="29">
        <f t="shared" si="368"/>
        <v>1046.586529190381</v>
      </c>
      <c r="T1146" s="48">
        <v>0.75273150462962957</v>
      </c>
      <c r="U1146" s="29">
        <v>-1487.650761363655</v>
      </c>
      <c r="V1146" s="29">
        <v>4502.4942595850853</v>
      </c>
      <c r="W1146" s="29">
        <v>4254.7852367030646</v>
      </c>
      <c r="X1146" s="4">
        <v>-0.32479689042352272</v>
      </c>
      <c r="Y1146" s="4">
        <v>-0.11917600412323194</v>
      </c>
      <c r="Z1146" s="4">
        <v>-1.0173805066028441E-2</v>
      </c>
      <c r="AA1146" s="3">
        <f t="shared" si="373"/>
        <v>0.34612056612846914</v>
      </c>
      <c r="AB1146" s="3">
        <f t="shared" si="376"/>
        <v>1.2150747347895896E-3</v>
      </c>
      <c r="AC1146" s="3">
        <f t="shared" si="374"/>
        <v>1.5212854604390183E-2</v>
      </c>
      <c r="AD1146" s="48"/>
      <c r="AE1146" s="46">
        <f t="shared" si="369"/>
        <v>42.092147029177582</v>
      </c>
      <c r="AF1146" s="46">
        <f t="shared" si="370"/>
        <v>-248.53980921353906</v>
      </c>
      <c r="AG1146" s="47">
        <f t="shared" si="371"/>
        <v>2360.1040092589756</v>
      </c>
      <c r="AH1146" s="45" t="str">
        <f t="shared" si="375"/>
        <v>-248.53981,42.09215,02360</v>
      </c>
      <c r="AI1146" s="44">
        <f t="shared" si="377"/>
        <v>1021.3869693349785</v>
      </c>
    </row>
    <row r="1147" spans="1:35" ht="18" customHeight="1" x14ac:dyDescent="0.25">
      <c r="A1147" s="36">
        <f t="shared" si="372"/>
        <v>0.75274319444444437</v>
      </c>
      <c r="B1147" s="42">
        <f t="shared" si="357"/>
        <v>42.0921470272636</v>
      </c>
      <c r="C1147" s="43">
        <f t="shared" si="358"/>
        <v>111.46019035505263</v>
      </c>
      <c r="D1147" s="18">
        <f t="shared" si="359"/>
        <v>2.3447828444004699</v>
      </c>
      <c r="E1147" s="21" t="str">
        <f t="shared" si="360"/>
        <v>Umbra</v>
      </c>
      <c r="F1147" s="23">
        <f>IF($E1147&lt;&gt;"Umbra",fracil2($S$2,$S$3,$S$4,$A1147,$Q$2,$O$3,$Q$4,$U1147,$V1147,$W1147),0)</f>
        <v>0</v>
      </c>
      <c r="G1147" s="19">
        <f t="shared" si="361"/>
        <v>69.301945492485345</v>
      </c>
      <c r="H1147" s="19">
        <f t="shared" si="362"/>
        <v>-4.7225727810458187</v>
      </c>
      <c r="I1147" s="19">
        <f t="shared" si="363"/>
        <v>-3.5145548316509236</v>
      </c>
      <c r="J1147" s="28">
        <f t="shared" si="364"/>
        <v>4.7200125004614648E-3</v>
      </c>
      <c r="K1147" s="24">
        <f t="shared" si="365"/>
        <v>1047.9943382760166</v>
      </c>
      <c r="L1147" s="32">
        <f t="shared" si="366"/>
        <v>0.56447029266720661</v>
      </c>
      <c r="M1147" s="35">
        <f t="shared" si="367"/>
        <v>12.88338644122012</v>
      </c>
      <c r="O1147" s="29">
        <f t="shared" si="368"/>
        <v>1046.5864944558489</v>
      </c>
      <c r="T1147" s="48">
        <v>0.75274319444444437</v>
      </c>
      <c r="U1147" s="29">
        <v>-1487.9787661997082</v>
      </c>
      <c r="V1147" s="29">
        <v>4502.3738975985761</v>
      </c>
      <c r="W1147" s="29">
        <v>4254.774966386165</v>
      </c>
      <c r="X1147" s="4">
        <v>-0.32479012688271847</v>
      </c>
      <c r="Y1147" s="4">
        <v>-0.11919117259940165</v>
      </c>
      <c r="Z1147" s="4">
        <v>-1.0165728828254634E-2</v>
      </c>
      <c r="AA1147" s="3">
        <f t="shared" si="373"/>
        <v>0.3461192051717476</v>
      </c>
      <c r="AB1147" s="3">
        <f t="shared" si="376"/>
        <v>1.2136366426872306E-3</v>
      </c>
      <c r="AC1147" s="3">
        <f t="shared" si="374"/>
        <v>1.5200834674262817E-2</v>
      </c>
      <c r="AD1147" s="48"/>
      <c r="AE1147" s="46">
        <f t="shared" si="369"/>
        <v>42.0921470272636</v>
      </c>
      <c r="AF1147" s="46">
        <f t="shared" si="370"/>
        <v>-248.53980964494735</v>
      </c>
      <c r="AG1147" s="47">
        <f t="shared" si="371"/>
        <v>2344.7828444004699</v>
      </c>
      <c r="AH1147" s="45" t="str">
        <f t="shared" si="375"/>
        <v>-248.53981,42.09215,02345</v>
      </c>
      <c r="AI1147" s="44">
        <f t="shared" si="377"/>
        <v>1021.3869693349785</v>
      </c>
    </row>
    <row r="1148" spans="1:35" ht="18" customHeight="1" x14ac:dyDescent="0.25">
      <c r="A1148" s="36">
        <f t="shared" si="372"/>
        <v>0.75275471064814814</v>
      </c>
      <c r="B1148" s="42">
        <f t="shared" si="357"/>
        <v>42.092147025381379</v>
      </c>
      <c r="C1148" s="43">
        <f t="shared" si="358"/>
        <v>111.46018857157009</v>
      </c>
      <c r="D1148" s="18">
        <f t="shared" si="359"/>
        <v>2.3297060385875739</v>
      </c>
      <c r="E1148" s="21" t="str">
        <f t="shared" si="360"/>
        <v>Umbra</v>
      </c>
      <c r="F1148" s="23">
        <f>IF($E1148&lt;&gt;"Umbra",fracil2($S$2,$S$3,$S$4,$A1148,$Q$2,$O$3,$Q$4,$U1148,$V1148,$W1148),0)</f>
        <v>0</v>
      </c>
      <c r="G1148" s="19">
        <f t="shared" si="361"/>
        <v>69.301946379877094</v>
      </c>
      <c r="H1148" s="19">
        <f t="shared" si="362"/>
        <v>-4.7233935701234167</v>
      </c>
      <c r="I1148" s="19">
        <f t="shared" si="363"/>
        <v>-3.5153756207285216</v>
      </c>
      <c r="J1148" s="28">
        <f t="shared" si="364"/>
        <v>4.7194954723544522E-3</v>
      </c>
      <c r="K1148" s="24">
        <f t="shared" si="365"/>
        <v>1047.9929449610001</v>
      </c>
      <c r="L1148" s="32">
        <f t="shared" si="366"/>
        <v>0.5644835819142201</v>
      </c>
      <c r="M1148" s="35">
        <f t="shared" si="367"/>
        <v>12.882833286013579</v>
      </c>
      <c r="O1148" s="29">
        <f t="shared" si="368"/>
        <v>1046.5863510108688</v>
      </c>
      <c r="T1148" s="48">
        <v>0.75275471064814814</v>
      </c>
      <c r="U1148" s="29">
        <v>-1488.3017873995616</v>
      </c>
      <c r="V1148" s="29">
        <v>4502.2553469399481</v>
      </c>
      <c r="W1148" s="29">
        <v>4254.7648598718488</v>
      </c>
      <c r="X1148" s="4">
        <v>-0.32478346291881338</v>
      </c>
      <c r="Y1148" s="4">
        <v>-0.11920612048318817</v>
      </c>
      <c r="Z1148" s="4">
        <v>-1.0157784378700069E-2</v>
      </c>
      <c r="AA1148" s="3">
        <f t="shared" si="373"/>
        <v>0.34611786652767979</v>
      </c>
      <c r="AB1148" s="3">
        <f t="shared" si="376"/>
        <v>1.2118265466888006E-3</v>
      </c>
      <c r="AC1148" s="3">
        <f t="shared" si="374"/>
        <v>1.5189010919001508E-2</v>
      </c>
      <c r="AD1148" s="48"/>
      <c r="AE1148" s="46">
        <f t="shared" si="369"/>
        <v>42.092147025381379</v>
      </c>
      <c r="AF1148" s="46">
        <f t="shared" si="370"/>
        <v>-248.53981142842991</v>
      </c>
      <c r="AG1148" s="47">
        <f t="shared" si="371"/>
        <v>2329.7060385875739</v>
      </c>
      <c r="AH1148" s="45" t="str">
        <f t="shared" si="375"/>
        <v>-248.53981,42.09215,02330</v>
      </c>
      <c r="AI1148" s="44">
        <f t="shared" si="377"/>
        <v>1021.3871337677379</v>
      </c>
    </row>
    <row r="1149" spans="1:35" ht="18" customHeight="1" x14ac:dyDescent="0.25">
      <c r="A1149" s="36">
        <f t="shared" si="372"/>
        <v>0.75276623842592594</v>
      </c>
      <c r="B1149" s="42">
        <f t="shared" si="357"/>
        <v>42.092147023498661</v>
      </c>
      <c r="C1149" s="43">
        <f t="shared" si="358"/>
        <v>111.46019020216087</v>
      </c>
      <c r="D1149" s="18">
        <f t="shared" si="359"/>
        <v>2.3146134974585948</v>
      </c>
      <c r="E1149" s="21" t="str">
        <f t="shared" si="360"/>
        <v>Umbra</v>
      </c>
      <c r="F1149" s="23">
        <f>IF($E1149&lt;&gt;"Umbra",fracil2($S$2,$S$3,$S$4,$A1149,$Q$2,$O$3,$Q$4,$U1149,$V1149,$W1149),0)</f>
        <v>0</v>
      </c>
      <c r="G1149" s="19">
        <f t="shared" si="361"/>
        <v>69.301950744506428</v>
      </c>
      <c r="H1149" s="19">
        <f t="shared" si="362"/>
        <v>-4.7242164552262178</v>
      </c>
      <c r="I1149" s="19">
        <f t="shared" si="363"/>
        <v>-3.5161985058313228</v>
      </c>
      <c r="J1149" s="28">
        <f t="shared" si="364"/>
        <v>4.7189781116203523E-3</v>
      </c>
      <c r="K1149" s="24">
        <f t="shared" si="365"/>
        <v>1047.9918249898528</v>
      </c>
      <c r="L1149" s="32">
        <f t="shared" si="366"/>
        <v>0.56449688059601111</v>
      </c>
      <c r="M1149" s="35">
        <f t="shared" si="367"/>
        <v>12.882276147306463</v>
      </c>
      <c r="O1149" s="29">
        <f t="shared" si="368"/>
        <v>1046.5864820686813</v>
      </c>
      <c r="T1149" s="48">
        <v>0.75276623842592594</v>
      </c>
      <c r="U1149" s="29">
        <v>-1488.6253921336017</v>
      </c>
      <c r="V1149" s="29">
        <v>4502.1365647680514</v>
      </c>
      <c r="W1149" s="29">
        <v>4254.7547428097187</v>
      </c>
      <c r="X1149" s="4">
        <v>-0.32477678321657877</v>
      </c>
      <c r="Y1149" s="4">
        <v>-0.11922110678954295</v>
      </c>
      <c r="Z1149" s="4">
        <v>-1.0149836137896185E-2</v>
      </c>
      <c r="AA1149" s="3">
        <f t="shared" si="373"/>
        <v>0.34611652719027786</v>
      </c>
      <c r="AB1149" s="3">
        <f t="shared" si="376"/>
        <v>1.2111849246987899E-3</v>
      </c>
      <c r="AC1149" s="3">
        <f t="shared" si="374"/>
        <v>1.5177181547147377E-2</v>
      </c>
      <c r="AD1149" s="48"/>
      <c r="AE1149" s="46">
        <f t="shared" si="369"/>
        <v>42.092147023498661</v>
      </c>
      <c r="AF1149" s="46">
        <f t="shared" si="370"/>
        <v>-248.53980979783913</v>
      </c>
      <c r="AG1149" s="47">
        <f t="shared" si="371"/>
        <v>2314.6134974585948</v>
      </c>
      <c r="AH1149" s="45" t="str">
        <f t="shared" si="375"/>
        <v>-248.53981,42.09215,02315</v>
      </c>
      <c r="AI1149" s="44">
        <f t="shared" si="377"/>
        <v>1021.3873236383338</v>
      </c>
    </row>
    <row r="1150" spans="1:35" ht="18" customHeight="1" x14ac:dyDescent="0.25">
      <c r="A1150" s="36">
        <f t="shared" si="372"/>
        <v>0.75277782407407401</v>
      </c>
      <c r="B1150" s="42">
        <f t="shared" si="357"/>
        <v>42.092147021610067</v>
      </c>
      <c r="C1150" s="43">
        <f t="shared" si="358"/>
        <v>111.4601895837157</v>
      </c>
      <c r="D1150" s="18">
        <f t="shared" si="359"/>
        <v>2.2994652579918693</v>
      </c>
      <c r="E1150" s="21" t="str">
        <f t="shared" si="360"/>
        <v>Umbra</v>
      </c>
      <c r="F1150" s="23">
        <f>IF($E1150&lt;&gt;"Umbra",fracil2($S$2,$S$3,$S$4,$A1150,$Q$2,$O$3,$Q$4,$U1150,$V1150,$W1150),0)</f>
        <v>0</v>
      </c>
      <c r="G1150" s="19">
        <f t="shared" si="361"/>
        <v>69.30195283034098</v>
      </c>
      <c r="H1150" s="19">
        <f t="shared" si="362"/>
        <v>-4.7250415623141029</v>
      </c>
      <c r="I1150" s="19">
        <f t="shared" si="363"/>
        <v>-3.5170236129192078</v>
      </c>
      <c r="J1150" s="28">
        <f t="shared" si="364"/>
        <v>4.7184594076411669E-3</v>
      </c>
      <c r="K1150" s="24">
        <f t="shared" si="365"/>
        <v>1047.9905198352797</v>
      </c>
      <c r="L1150" s="32">
        <f t="shared" si="366"/>
        <v>0.5645102463583701</v>
      </c>
      <c r="M1150" s="35">
        <f t="shared" si="367"/>
        <v>12.88171919080167</v>
      </c>
      <c r="O1150" s="29">
        <f t="shared" si="368"/>
        <v>1046.5864322963953</v>
      </c>
      <c r="T1150" s="48">
        <v>0.75277782407407401</v>
      </c>
      <c r="U1150" s="29">
        <v>-1488.9504392292456</v>
      </c>
      <c r="V1150" s="29">
        <v>4502.017235664598</v>
      </c>
      <c r="W1150" s="29">
        <v>4254.7445884111185</v>
      </c>
      <c r="X1150" s="4">
        <v>-0.32477006917030465</v>
      </c>
      <c r="Y1150" s="4">
        <v>-0.11923617393717491</v>
      </c>
      <c r="Z1150" s="4">
        <v>-1.0141865516941368E-2</v>
      </c>
      <c r="AA1150" s="3">
        <f t="shared" si="373"/>
        <v>0.34611518377589912</v>
      </c>
      <c r="AB1150" s="3">
        <f t="shared" si="376"/>
        <v>1.2085248991622155E-3</v>
      </c>
      <c r="AC1150" s="3">
        <f t="shared" si="374"/>
        <v>1.516531890119111E-2</v>
      </c>
      <c r="AD1150" s="48"/>
      <c r="AE1150" s="46">
        <f t="shared" si="369"/>
        <v>42.092147021610067</v>
      </c>
      <c r="AF1150" s="46">
        <f t="shared" si="370"/>
        <v>-248.5398104162843</v>
      </c>
      <c r="AG1150" s="47">
        <f t="shared" si="371"/>
        <v>2299.4652579918693</v>
      </c>
      <c r="AH1150" s="45" t="str">
        <f t="shared" si="375"/>
        <v>-248.53981,42.09215,02299</v>
      </c>
      <c r="AI1150" s="44">
        <f t="shared" si="377"/>
        <v>1021.3873236383338</v>
      </c>
    </row>
    <row r="1151" spans="1:35" ht="18" customHeight="1" x14ac:dyDescent="0.25">
      <c r="A1151" s="36">
        <f t="shared" si="372"/>
        <v>0.75278938657407402</v>
      </c>
      <c r="B1151" s="42">
        <f t="shared" si="357"/>
        <v>42.092147019726511</v>
      </c>
      <c r="C1151" s="43">
        <f t="shared" si="358"/>
        <v>111.46019156334134</v>
      </c>
      <c r="D1151" s="18">
        <f t="shared" si="359"/>
        <v>2.2843497461662992</v>
      </c>
      <c r="E1151" s="21" t="str">
        <f t="shared" si="360"/>
        <v>Umbra</v>
      </c>
      <c r="F1151" s="23">
        <f>IF($E1151&lt;&gt;"Umbra",fracil2($S$2,$S$3,$S$4,$A1151,$Q$2,$O$3,$Q$4,$U1151,$V1151,$W1151),0)</f>
        <v>0</v>
      </c>
      <c r="G1151" s="19">
        <f t="shared" si="361"/>
        <v>69.301957554303343</v>
      </c>
      <c r="H1151" s="19">
        <f t="shared" si="362"/>
        <v>-4.7258658289802167</v>
      </c>
      <c r="I1151" s="19">
        <f t="shared" si="363"/>
        <v>-3.5178478795853216</v>
      </c>
      <c r="J1151" s="28">
        <f t="shared" si="364"/>
        <v>4.7179419325818484E-3</v>
      </c>
      <c r="K1151" s="24">
        <f t="shared" si="365"/>
        <v>1047.98942644933</v>
      </c>
      <c r="L1151" s="32">
        <f t="shared" si="366"/>
        <v>0.5645235820987945</v>
      </c>
      <c r="M1151" s="35">
        <f t="shared" si="367"/>
        <v>12.881160847058613</v>
      </c>
      <c r="O1151" s="29">
        <f t="shared" si="368"/>
        <v>1046.5865914177491</v>
      </c>
      <c r="T1151" s="48">
        <v>0.75278938657407402</v>
      </c>
      <c r="U1151" s="29">
        <v>-1489.2750320343616</v>
      </c>
      <c r="V1151" s="29">
        <v>4501.8980558213098</v>
      </c>
      <c r="W1151" s="29">
        <v>4254.7344559510902</v>
      </c>
      <c r="X1151" s="4">
        <v>-0.32476336145886681</v>
      </c>
      <c r="Y1151" s="4">
        <v>-0.11925122944950449</v>
      </c>
      <c r="Z1151" s="4">
        <v>-1.0133914680662135E-2</v>
      </c>
      <c r="AA1151" s="3">
        <f t="shared" si="373"/>
        <v>0.34611384384048532</v>
      </c>
      <c r="AB1151" s="3">
        <f t="shared" si="376"/>
        <v>1.2079346277025114E-3</v>
      </c>
      <c r="AC1151" s="3">
        <f t="shared" si="374"/>
        <v>1.5153485739238812E-2</v>
      </c>
      <c r="AD1151" s="48"/>
      <c r="AE1151" s="46">
        <f t="shared" si="369"/>
        <v>42.092147019726511</v>
      </c>
      <c r="AF1151" s="46">
        <f t="shared" si="370"/>
        <v>-248.53980843665866</v>
      </c>
      <c r="AG1151" s="47">
        <f t="shared" si="371"/>
        <v>2284.3497461662992</v>
      </c>
      <c r="AH1151" s="45" t="str">
        <f t="shared" si="375"/>
        <v>-248.53981,42.09215,02284</v>
      </c>
      <c r="AI1151" s="44">
        <f t="shared" si="377"/>
        <v>1021.3874578971188</v>
      </c>
    </row>
    <row r="1152" spans="1:35" ht="18" customHeight="1" x14ac:dyDescent="0.25">
      <c r="A1152" s="36">
        <f t="shared" si="372"/>
        <v>0.75280099537037037</v>
      </c>
      <c r="B1152" s="42">
        <f t="shared" si="357"/>
        <v>42.09214701783867</v>
      </c>
      <c r="C1152" s="43">
        <f t="shared" si="358"/>
        <v>111.46019217530988</v>
      </c>
      <c r="D1152" s="18">
        <f t="shared" si="359"/>
        <v>2.2691906029785969</v>
      </c>
      <c r="E1152" s="21" t="str">
        <f t="shared" si="360"/>
        <v>Umbra</v>
      </c>
      <c r="F1152" s="23">
        <f>IF($E1152&lt;&gt;"Umbra",fracil2($S$2,$S$3,$S$4,$A1152,$Q$2,$O$3,$Q$4,$U1152,$V1152,$W1152),0)</f>
        <v>0</v>
      </c>
      <c r="G1152" s="19">
        <f t="shared" si="361"/>
        <v>69.301960894263985</v>
      </c>
      <c r="H1152" s="19">
        <f t="shared" si="362"/>
        <v>-4.7266919794892459</v>
      </c>
      <c r="I1152" s="19">
        <f t="shared" si="363"/>
        <v>-3.5186740300943509</v>
      </c>
      <c r="J1152" s="28">
        <f t="shared" si="364"/>
        <v>4.7174233189317882E-3</v>
      </c>
      <c r="K1152" s="24">
        <f t="shared" si="365"/>
        <v>1047.9882197295467</v>
      </c>
      <c r="L1152" s="32">
        <f t="shared" si="366"/>
        <v>0.56453697089281552</v>
      </c>
      <c r="M1152" s="35">
        <f t="shared" si="367"/>
        <v>12.880602252330201</v>
      </c>
      <c r="O1152" s="29">
        <f t="shared" si="368"/>
        <v>1046.58664057483</v>
      </c>
      <c r="T1152" s="48">
        <v>0.75280099537037037</v>
      </c>
      <c r="U1152" s="29">
        <v>-1489.600810846965</v>
      </c>
      <c r="V1152" s="29">
        <v>4501.7784229032904</v>
      </c>
      <c r="W1152" s="29">
        <v>4254.7242942435187</v>
      </c>
      <c r="X1152" s="4">
        <v>-0.32475662560239599</v>
      </c>
      <c r="Y1152" s="4">
        <v>-0.11926635116186599</v>
      </c>
      <c r="Z1152" s="4">
        <v>-1.0125945115613839E-2</v>
      </c>
      <c r="AA1152" s="3">
        <f t="shared" si="373"/>
        <v>0.34611250072282096</v>
      </c>
      <c r="AB1152" s="3">
        <f t="shared" si="376"/>
        <v>1.2059472035139032E-3</v>
      </c>
      <c r="AC1152" s="3">
        <f t="shared" si="374"/>
        <v>1.5141624744406258E-2</v>
      </c>
      <c r="AD1152" s="48"/>
      <c r="AE1152" s="46">
        <f t="shared" si="369"/>
        <v>42.09214701783867</v>
      </c>
      <c r="AF1152" s="46">
        <f t="shared" si="370"/>
        <v>-248.53980782469012</v>
      </c>
      <c r="AG1152" s="47">
        <f t="shared" si="371"/>
        <v>2269.1906029785969</v>
      </c>
      <c r="AH1152" s="45" t="str">
        <f t="shared" si="375"/>
        <v>-248.53981,42.09215,02269</v>
      </c>
      <c r="AI1152" s="44">
        <f t="shared" si="377"/>
        <v>1021.3874578971188</v>
      </c>
    </row>
    <row r="1153" spans="1:35" ht="18" customHeight="1" x14ac:dyDescent="0.25">
      <c r="A1153" s="36">
        <f t="shared" si="372"/>
        <v>0.75281255787037038</v>
      </c>
      <c r="B1153" s="42">
        <f t="shared" si="357"/>
        <v>42.092147015961231</v>
      </c>
      <c r="C1153" s="43">
        <f t="shared" si="358"/>
        <v>111.46019181162464</v>
      </c>
      <c r="D1153" s="18">
        <f t="shared" si="359"/>
        <v>2.2541072773447013</v>
      </c>
      <c r="E1153" s="21" t="str">
        <f t="shared" si="360"/>
        <v>Umbra</v>
      </c>
      <c r="F1153" s="23">
        <f>IF($E1153&lt;&gt;"Umbra",fracil2($S$2,$S$3,$S$4,$A1153,$Q$2,$O$3,$Q$4,$U1153,$V1153,$W1153),0)</f>
        <v>0</v>
      </c>
      <c r="G1153" s="19">
        <f t="shared" si="361"/>
        <v>69.301963227745915</v>
      </c>
      <c r="H1153" s="19">
        <f t="shared" si="362"/>
        <v>-4.727513647932601</v>
      </c>
      <c r="I1153" s="19">
        <f t="shared" si="363"/>
        <v>-3.5194956985377059</v>
      </c>
      <c r="J1153" s="28">
        <f t="shared" si="364"/>
        <v>4.7169076789196083E-3</v>
      </c>
      <c r="K1153" s="24">
        <f t="shared" si="365"/>
        <v>1047.9869410819001</v>
      </c>
      <c r="L1153" s="32">
        <f t="shared" si="366"/>
        <v>0.5645503056559763</v>
      </c>
      <c r="M1153" s="35">
        <f t="shared" si="367"/>
        <v>12.880047413096142</v>
      </c>
      <c r="O1153" s="29">
        <f t="shared" si="368"/>
        <v>1046.5866112863739</v>
      </c>
      <c r="T1153" s="48">
        <v>0.75281255787037038</v>
      </c>
      <c r="U1153" s="29">
        <v>-1489.9252080834208</v>
      </c>
      <c r="V1153" s="29">
        <v>4501.6592797842395</v>
      </c>
      <c r="W1153" s="29">
        <v>4254.7141833592032</v>
      </c>
      <c r="X1153" s="4">
        <v>-0.32474991448190949</v>
      </c>
      <c r="Y1153" s="4">
        <v>-0.11928142050844832</v>
      </c>
      <c r="Z1153" s="4">
        <v>-1.0118020216558797E-2</v>
      </c>
      <c r="AA1153" s="3">
        <f t="shared" si="373"/>
        <v>0.34611116504328993</v>
      </c>
      <c r="AB1153" s="3">
        <f t="shared" si="376"/>
        <v>1.2039856568136801E-3</v>
      </c>
      <c r="AC1153" s="3">
        <f t="shared" si="374"/>
        <v>1.5129830267338888E-2</v>
      </c>
      <c r="AD1153" s="48"/>
      <c r="AE1153" s="46">
        <f t="shared" si="369"/>
        <v>42.092147015961231</v>
      </c>
      <c r="AF1153" s="46">
        <f t="shared" si="370"/>
        <v>-248.53980818837536</v>
      </c>
      <c r="AG1153" s="47">
        <f t="shared" si="371"/>
        <v>2254.1072773447013</v>
      </c>
      <c r="AH1153" s="45" t="str">
        <f t="shared" si="375"/>
        <v>-248.53981,42.09215,02254</v>
      </c>
      <c r="AI1153" s="44">
        <f t="shared" si="377"/>
        <v>1021.3874578971188</v>
      </c>
    </row>
    <row r="1154" spans="1:35" ht="18" customHeight="1" x14ac:dyDescent="0.25">
      <c r="A1154" s="36">
        <f t="shared" si="372"/>
        <v>0.75282414351851845</v>
      </c>
      <c r="B1154" s="42">
        <f t="shared" si="357"/>
        <v>42.092147014082855</v>
      </c>
      <c r="C1154" s="43">
        <f t="shared" si="358"/>
        <v>111.46019112211341</v>
      </c>
      <c r="D1154" s="18">
        <f t="shared" si="359"/>
        <v>2.2390067651494974</v>
      </c>
      <c r="E1154" s="21" t="str">
        <f t="shared" si="360"/>
        <v>Umbra</v>
      </c>
      <c r="F1154" s="23">
        <f>IF($E1154&lt;&gt;"Umbra",fracil2($S$2,$S$3,$S$4,$A1154,$Q$2,$O$3,$Q$4,$U1154,$V1154,$W1154),0)</f>
        <v>0</v>
      </c>
      <c r="G1154" s="19">
        <f t="shared" si="361"/>
        <v>69.301965232730183</v>
      </c>
      <c r="H1154" s="19">
        <f t="shared" si="362"/>
        <v>-4.7283361368723851</v>
      </c>
      <c r="I1154" s="19">
        <f t="shared" si="363"/>
        <v>-3.52031818747749</v>
      </c>
      <c r="J1154" s="28">
        <f t="shared" si="364"/>
        <v>4.7163917462146945E-3</v>
      </c>
      <c r="K1154" s="24">
        <f t="shared" si="365"/>
        <v>1047.9856350360833</v>
      </c>
      <c r="L1154" s="32">
        <f t="shared" si="366"/>
        <v>0.56456366599400643</v>
      </c>
      <c r="M1154" s="35">
        <f t="shared" si="367"/>
        <v>12.879492259250194</v>
      </c>
      <c r="O1154" s="29">
        <f t="shared" si="368"/>
        <v>1046.5865558003993</v>
      </c>
      <c r="T1154" s="48">
        <v>0.75282414351851845</v>
      </c>
      <c r="U1154" s="29">
        <v>-1490.2502227740988</v>
      </c>
      <c r="V1154" s="29">
        <v>4501.5398923178809</v>
      </c>
      <c r="W1154" s="29">
        <v>4254.704060954231</v>
      </c>
      <c r="X1154" s="4">
        <v>-0.32474318708527594</v>
      </c>
      <c r="Y1154" s="4">
        <v>-0.11929652929947253</v>
      </c>
      <c r="Z1154" s="4">
        <v>-1.0110090148560475E-2</v>
      </c>
      <c r="AA1154" s="3">
        <f t="shared" si="373"/>
        <v>0.34610982849958838</v>
      </c>
      <c r="AB1154" s="3">
        <f t="shared" si="376"/>
        <v>1.2023594696690771E-3</v>
      </c>
      <c r="AC1154" s="3">
        <f t="shared" si="374"/>
        <v>1.5118028140042431E-2</v>
      </c>
      <c r="AD1154" s="48"/>
      <c r="AE1154" s="46">
        <f t="shared" si="369"/>
        <v>42.092147014082855</v>
      </c>
      <c r="AF1154" s="46">
        <f t="shared" si="370"/>
        <v>-248.53980887788657</v>
      </c>
      <c r="AG1154" s="47">
        <f t="shared" si="371"/>
        <v>2239.0067651494974</v>
      </c>
      <c r="AH1154" s="45" t="str">
        <f t="shared" si="375"/>
        <v>-248.53981,42.09215,02239</v>
      </c>
      <c r="AI1154" s="44">
        <f t="shared" si="377"/>
        <v>1021.3874578971188</v>
      </c>
    </row>
    <row r="1155" spans="1:35" ht="18" customHeight="1" x14ac:dyDescent="0.25">
      <c r="A1155" s="36">
        <f t="shared" si="372"/>
        <v>0.75283563657407404</v>
      </c>
      <c r="B1155" s="42">
        <f t="shared" si="357"/>
        <v>42.092147012222561</v>
      </c>
      <c r="C1155" s="43">
        <f t="shared" si="358"/>
        <v>111.46018864126962</v>
      </c>
      <c r="D1155" s="18">
        <f t="shared" si="359"/>
        <v>2.2240451089564885</v>
      </c>
      <c r="E1155" s="21" t="str">
        <f t="shared" si="360"/>
        <v>Umbra</v>
      </c>
      <c r="F1155" s="23">
        <f>IF($E1155&lt;&gt;"Umbra",fracil2($S$2,$S$3,$S$4,$A1155,$Q$2,$O$3,$Q$4,$U1155,$V1155,$W1155),0)</f>
        <v>0</v>
      </c>
      <c r="G1155" s="19">
        <f t="shared" si="361"/>
        <v>69.301965389843303</v>
      </c>
      <c r="H1155" s="19">
        <f t="shared" si="362"/>
        <v>-4.7291504142758303</v>
      </c>
      <c r="I1155" s="19">
        <f t="shared" si="363"/>
        <v>-3.5211324648809352</v>
      </c>
      <c r="J1155" s="28">
        <f t="shared" si="364"/>
        <v>4.7158808714278019E-3</v>
      </c>
      <c r="K1155" s="24">
        <f t="shared" si="365"/>
        <v>1047.9841967124862</v>
      </c>
      <c r="L1155" s="32">
        <f t="shared" si="366"/>
        <v>0.56457691955906952</v>
      </c>
      <c r="M1155" s="35">
        <f t="shared" si="367"/>
        <v>12.878943992864251</v>
      </c>
      <c r="O1155" s="29">
        <f t="shared" si="368"/>
        <v>1046.586356285799</v>
      </c>
      <c r="T1155" s="48">
        <v>0.75283563657407404</v>
      </c>
      <c r="U1155" s="29">
        <v>-1490.5724936386978</v>
      </c>
      <c r="V1155" s="29">
        <v>4501.4214953617784</v>
      </c>
      <c r="W1155" s="29">
        <v>4254.6940316293922</v>
      </c>
      <c r="X1155" s="4">
        <v>-0.32473651316904317</v>
      </c>
      <c r="Y1155" s="4">
        <v>-0.11931152071747592</v>
      </c>
      <c r="Z1155" s="4">
        <v>-1.0102236391255806E-2</v>
      </c>
      <c r="AA1155" s="3">
        <f t="shared" si="373"/>
        <v>0.34610850486691258</v>
      </c>
      <c r="AB1155" s="3">
        <f t="shared" si="376"/>
        <v>1.2003783298376947E-3</v>
      </c>
      <c r="AC1155" s="3">
        <f t="shared" si="374"/>
        <v>1.5106339626509325E-2</v>
      </c>
      <c r="AD1155" s="48"/>
      <c r="AE1155" s="46">
        <f t="shared" si="369"/>
        <v>42.092147012222561</v>
      </c>
      <c r="AF1155" s="46">
        <f t="shared" si="370"/>
        <v>-248.53981135873039</v>
      </c>
      <c r="AG1155" s="47">
        <f t="shared" si="371"/>
        <v>2224.0451089564885</v>
      </c>
      <c r="AH1155" s="45" t="str">
        <f t="shared" si="375"/>
        <v>-248.53981,42.09215,02224</v>
      </c>
      <c r="AI1155" s="44">
        <f t="shared" si="377"/>
        <v>1021.3876477677147</v>
      </c>
    </row>
    <row r="1156" spans="1:35" ht="18" customHeight="1" x14ac:dyDescent="0.25">
      <c r="A1156" s="36">
        <f t="shared" si="372"/>
        <v>0.75284729166666675</v>
      </c>
      <c r="B1156" s="42">
        <f t="shared" si="357"/>
        <v>42.092147010336355</v>
      </c>
      <c r="C1156" s="43">
        <f t="shared" si="358"/>
        <v>111.46019093414503</v>
      </c>
      <c r="D1156" s="18">
        <f t="shared" si="359"/>
        <v>2.2088670480352448</v>
      </c>
      <c r="E1156" s="21" t="str">
        <f t="shared" si="360"/>
        <v>Umbra</v>
      </c>
      <c r="F1156" s="23">
        <f>IF($E1156&lt;&gt;"Umbra",fracil2($S$2,$S$3,$S$4,$A1156,$Q$2,$O$3,$Q$4,$U1156,$V1156,$W1156),0)</f>
        <v>0</v>
      </c>
      <c r="G1156" s="19">
        <f t="shared" si="361"/>
        <v>69.301970443835401</v>
      </c>
      <c r="H1156" s="19">
        <f t="shared" si="362"/>
        <v>-4.729978211461602</v>
      </c>
      <c r="I1156" s="19">
        <f t="shared" si="363"/>
        <v>-3.521960262066707</v>
      </c>
      <c r="J1156" s="28">
        <f t="shared" si="364"/>
        <v>4.7153627215982871E-3</v>
      </c>
      <c r="K1156" s="24">
        <f t="shared" si="365"/>
        <v>1047.9831244077511</v>
      </c>
      <c r="L1156" s="32">
        <f t="shared" si="366"/>
        <v>0.56459035499327948</v>
      </c>
      <c r="M1156" s="35">
        <f t="shared" si="367"/>
        <v>12.878383004462513</v>
      </c>
      <c r="O1156" s="29">
        <f t="shared" si="368"/>
        <v>1046.5865405934007</v>
      </c>
      <c r="T1156" s="48">
        <v>0.75284729166666675</v>
      </c>
      <c r="U1156" s="29">
        <v>-1490.8996750788656</v>
      </c>
      <c r="V1156" s="29">
        <v>4501.3012766271368</v>
      </c>
      <c r="W1156" s="29">
        <v>4254.6838572409288</v>
      </c>
      <c r="X1156" s="4">
        <v>-0.32472973406824157</v>
      </c>
      <c r="Y1156" s="4">
        <v>-0.11932675127457029</v>
      </c>
      <c r="Z1156" s="4">
        <v>-1.0094272826176287E-2</v>
      </c>
      <c r="AA1156" s="3">
        <f t="shared" si="373"/>
        <v>0.34610716274249997</v>
      </c>
      <c r="AB1156" s="3">
        <f t="shared" si="376"/>
        <v>1.2002352893899094E-3</v>
      </c>
      <c r="AC1156" s="3">
        <f t="shared" si="374"/>
        <v>1.5094487732710713E-2</v>
      </c>
      <c r="AD1156" s="48"/>
      <c r="AE1156" s="46">
        <f t="shared" si="369"/>
        <v>42.092147010336355</v>
      </c>
      <c r="AF1156" s="46">
        <f t="shared" si="370"/>
        <v>-248.53980906585497</v>
      </c>
      <c r="AG1156" s="47">
        <f t="shared" si="371"/>
        <v>2208.8670480352448</v>
      </c>
      <c r="AH1156" s="45" t="str">
        <f t="shared" si="375"/>
        <v>-248.53981,42.09215,02209</v>
      </c>
      <c r="AI1156" s="44">
        <f t="shared" si="377"/>
        <v>1021.3878376383107</v>
      </c>
    </row>
    <row r="1157" spans="1:35" ht="18" customHeight="1" x14ac:dyDescent="0.25">
      <c r="A1157" s="36">
        <f t="shared" si="372"/>
        <v>0.75285886574074068</v>
      </c>
      <c r="B1157" s="42">
        <f t="shared" si="357"/>
        <v>42.09214700846664</v>
      </c>
      <c r="C1157" s="43">
        <f t="shared" si="358"/>
        <v>111.46019128654936</v>
      </c>
      <c r="D1157" s="18">
        <f t="shared" si="359"/>
        <v>2.1938132633549685</v>
      </c>
      <c r="E1157" s="21" t="str">
        <f t="shared" si="360"/>
        <v>Umbra</v>
      </c>
      <c r="F1157" s="23">
        <f>IF($E1157&lt;&gt;"Umbra",fracil2($S$2,$S$3,$S$4,$A1157,$Q$2,$O$3,$Q$4,$U1157,$V1157,$W1157),0)</f>
        <v>0</v>
      </c>
      <c r="G1157" s="19">
        <f t="shared" si="361"/>
        <v>69.301973500793792</v>
      </c>
      <c r="H1157" s="19">
        <f t="shared" si="362"/>
        <v>-4.7307985373758807</v>
      </c>
      <c r="I1157" s="19">
        <f t="shared" si="363"/>
        <v>-3.5227805879809857</v>
      </c>
      <c r="J1157" s="28">
        <f t="shared" si="364"/>
        <v>4.7148490474705554E-3</v>
      </c>
      <c r="K1157" s="24">
        <f t="shared" si="365"/>
        <v>1047.9819066284645</v>
      </c>
      <c r="L1157" s="32">
        <f t="shared" si="366"/>
        <v>0.56460369711636116</v>
      </c>
      <c r="M1157" s="35">
        <f t="shared" si="367"/>
        <v>12.87782851536168</v>
      </c>
      <c r="O1157" s="29">
        <f t="shared" si="368"/>
        <v>1046.5865688811089</v>
      </c>
      <c r="T1157" s="48">
        <v>0.75285886574074068</v>
      </c>
      <c r="U1157" s="29">
        <v>-1491.2244258381629</v>
      </c>
      <c r="V1157" s="29">
        <v>4501.1819333531002</v>
      </c>
      <c r="W1157" s="29">
        <v>4254.6737661592924</v>
      </c>
      <c r="X1157" s="4">
        <v>-0.3247230024331767</v>
      </c>
      <c r="Y1157" s="4">
        <v>-0.11934187758414501</v>
      </c>
      <c r="Z1157" s="4">
        <v>-1.0086376570073842E-2</v>
      </c>
      <c r="AA1157" s="3">
        <f t="shared" si="373"/>
        <v>0.34610583214797069</v>
      </c>
      <c r="AB1157" s="3">
        <f t="shared" si="376"/>
        <v>1.1984169811840614E-3</v>
      </c>
      <c r="AC1157" s="3">
        <f t="shared" si="374"/>
        <v>1.5082736055793371E-2</v>
      </c>
      <c r="AD1157" s="48"/>
      <c r="AE1157" s="46">
        <f t="shared" si="369"/>
        <v>42.09214700846664</v>
      </c>
      <c r="AF1157" s="46">
        <f t="shared" si="370"/>
        <v>-248.53980871345064</v>
      </c>
      <c r="AG1157" s="47">
        <f t="shared" si="371"/>
        <v>2193.8132633549685</v>
      </c>
      <c r="AH1157" s="45" t="str">
        <f t="shared" si="375"/>
        <v>-248.53981,42.09215,02194</v>
      </c>
      <c r="AI1157" s="44">
        <f t="shared" si="377"/>
        <v>1021.3878376383107</v>
      </c>
    </row>
    <row r="1158" spans="1:35" ht="18" customHeight="1" x14ac:dyDescent="0.25">
      <c r="A1158" s="36">
        <f t="shared" si="372"/>
        <v>0.7528704282407408</v>
      </c>
      <c r="B1158" s="42">
        <f t="shared" ref="B1158:B1221" si="378">latitude($U1158,$V1158,$W1158)</f>
        <v>42.092147006601465</v>
      </c>
      <c r="C1158" s="43">
        <f t="shared" ref="C1158:C1221" si="379">longitude($S$2,$S$3,$S$4,$A1158,$U1158,$V1158)</f>
        <v>111.46019118325421</v>
      </c>
      <c r="D1158" s="18">
        <f t="shared" ref="D1158:D1221" si="380">altitude($U1158,$V1158,$W1158)</f>
        <v>2.1787879245748627</v>
      </c>
      <c r="E1158" s="21" t="str">
        <f t="shared" ref="E1158:E1221" si="381">illum2($S$2,$S$3,$S$4,$A1158,$U1158,$V1158,$W1158)</f>
        <v>Umbra</v>
      </c>
      <c r="F1158" s="23">
        <f>IF($E1158&lt;&gt;"Umbra",fracil2($S$2,$S$3,$S$4,$A1158,$Q$2,$O$3,$Q$4,$U1158,$V1158,$W1158),0)</f>
        <v>0</v>
      </c>
      <c r="G1158" s="19">
        <f t="shared" ref="G1158:G1221" si="382">azimuth($S$2,$S$3,$S$4,$A1158,$Q$2,$O$3,$Q$4,$U1158,$V1158,$W1158)</f>
        <v>69.301976088907693</v>
      </c>
      <c r="H1158" s="19">
        <f t="shared" ref="H1158:H1221" si="383">elev($S$2,$S$3,$S$4,$A1158,$Q$2,$O$3,$Q$4,$U1158,$V1158,$W1158)</f>
        <v>-4.7316171505422115</v>
      </c>
      <c r="I1158" s="19">
        <f t="shared" ref="I1158:I1221" si="384">elev($S$2,$S$3,$S$4,$A1158,$Q$2,$O$3,$Q$4,$U1158,$V1158,$W1158)+DEGREES(ACOS($Q$3/$Q$4))</f>
        <v>-3.5235992011473165</v>
      </c>
      <c r="J1158" s="28">
        <f t="shared" ref="J1158:J1221" si="385">vang($S$2,$S$3,$S$4,$A1158,$Q$2,$O$3,$Q$4,$U1158,$V1158,$W1158,$X1158,$Y1158,$Z1158)</f>
        <v>4.7143367641604645E-3</v>
      </c>
      <c r="K1158" s="24">
        <f t="shared" ref="K1158:K1221" si="386">slant_rng($S$2,$S$3,$S$4,$A1158,$Q$2,$O$3,$Q$4,$U1158,$V1158,$W1158)</f>
        <v>1047.9806547880075</v>
      </c>
      <c r="L1158" s="32">
        <f t="shared" ref="L1158:L1221" si="387">radec2("ra",$S$2,$S$3,$S$4,$A1158,$Q$2,$O$3,$Q$4,$U1158,$V1158,$W1158)/24</f>
        <v>0.56461702488416321</v>
      </c>
      <c r="M1158" s="35">
        <f t="shared" ref="M1158:M1221" si="388">radec2("dec",$S$2,$S$3,$S$4,$A1158,$Q$2,$O$3,$Q$4,$U1158,$V1158,$W1158)</f>
        <v>12.877275520628649</v>
      </c>
      <c r="O1158" s="29">
        <f t="shared" ref="O1158:O1221" si="389">DEGREES(ACOS(SIN(RADIANS($B1158))*SIN(RADIANS($O$2))+COS(RADIANS($B1158))*COS(RADIANS($O$2))*COS(RADIANS($C1158-$O$3))))*111.2</f>
        <v>1046.5865605291888</v>
      </c>
      <c r="T1158" s="48">
        <v>0.7528704282407408</v>
      </c>
      <c r="U1158" s="29">
        <v>-1491.5488097379709</v>
      </c>
      <c r="V1158" s="29">
        <v>4501.0627073178184</v>
      </c>
      <c r="W1158" s="29">
        <v>4254.6636941460274</v>
      </c>
      <c r="X1158" s="4">
        <v>-0.32471627426938643</v>
      </c>
      <c r="Y1158" s="4">
        <v>-0.11935699943235127</v>
      </c>
      <c r="Z1158" s="4">
        <v>-1.0078500925962111E-2</v>
      </c>
      <c r="AA1158" s="3">
        <f t="shared" si="373"/>
        <v>0.34610450483892913</v>
      </c>
      <c r="AB1158" s="3">
        <f t="shared" si="376"/>
        <v>1.1964807768357311E-3</v>
      </c>
      <c r="AC1158" s="3">
        <f t="shared" si="374"/>
        <v>1.5071015097986099E-2</v>
      </c>
      <c r="AD1158" s="48"/>
      <c r="AE1158" s="46">
        <f t="shared" ref="AE1158:AE1221" si="390">$B1158</f>
        <v>42.092147006601465</v>
      </c>
      <c r="AF1158" s="46">
        <f t="shared" ref="AF1158:AF1221" si="391">$C1158-360</f>
        <v>-248.53980881674579</v>
      </c>
      <c r="AG1158" s="47">
        <f t="shared" ref="AG1158:AG1221" si="392">$D1158*1000</f>
        <v>2178.7879245748627</v>
      </c>
      <c r="AH1158" s="45" t="str">
        <f t="shared" si="375"/>
        <v>-248.53981,42.09215,02179</v>
      </c>
      <c r="AI1158" s="44">
        <f t="shared" si="377"/>
        <v>1021.3878376383107</v>
      </c>
    </row>
    <row r="1159" spans="1:35" ht="18" customHeight="1" x14ac:dyDescent="0.25">
      <c r="A1159" s="36">
        <f t="shared" ref="A1159:A1222" si="393">$T1159+$S$5/86400</f>
        <v>0.75288201388888887</v>
      </c>
      <c r="B1159" s="42">
        <f t="shared" si="378"/>
        <v>42.092147004735082</v>
      </c>
      <c r="C1159" s="43">
        <f t="shared" si="379"/>
        <v>111.46019087530273</v>
      </c>
      <c r="D1159" s="18">
        <f t="shared" si="380"/>
        <v>2.163745004078919</v>
      </c>
      <c r="E1159" s="21" t="str">
        <f t="shared" si="381"/>
        <v>Umbra</v>
      </c>
      <c r="F1159" s="23">
        <f>IF($E1159&lt;&gt;"Umbra",fracil2($S$2,$S$3,$S$4,$A1159,$Q$2,$O$3,$Q$4,$U1159,$V1159,$W1159),0)</f>
        <v>0</v>
      </c>
      <c r="G1159" s="19">
        <f t="shared" si="382"/>
        <v>69.301978471907091</v>
      </c>
      <c r="H1159" s="19">
        <f t="shared" si="383"/>
        <v>-4.732436649608287</v>
      </c>
      <c r="I1159" s="19">
        <f t="shared" si="384"/>
        <v>-3.524418700213392</v>
      </c>
      <c r="J1159" s="28">
        <f t="shared" si="385"/>
        <v>4.7138242292624434E-3</v>
      </c>
      <c r="K1159" s="24">
        <f t="shared" si="386"/>
        <v>1047.9793852561784</v>
      </c>
      <c r="L1159" s="32">
        <f t="shared" si="387"/>
        <v>0.56463037813093264</v>
      </c>
      <c r="M1159" s="35">
        <f t="shared" si="388"/>
        <v>12.876722076133284</v>
      </c>
      <c r="O1159" s="29">
        <f t="shared" si="389"/>
        <v>1046.5865357221867</v>
      </c>
      <c r="T1159" s="48">
        <v>0.75288201388888887</v>
      </c>
      <c r="U1159" s="29">
        <v>-1491.8738204267822</v>
      </c>
      <c r="V1159" s="29">
        <v>4500.9432332745982</v>
      </c>
      <c r="W1159" s="29">
        <v>4254.6536103472008</v>
      </c>
      <c r="X1159" s="4">
        <v>-0.3247095293024288</v>
      </c>
      <c r="Y1159" s="4">
        <v>-0.11937216211661499</v>
      </c>
      <c r="Z1159" s="4">
        <v>-1.0070620795480337E-2</v>
      </c>
      <c r="AA1159" s="3">
        <f t="shared" ref="AA1159:AA1222" si="394">SQRT($X1159*$X1159+$Y1159*$Y1159+$Z1159*$Z1159)</f>
        <v>0.34610317668493978</v>
      </c>
      <c r="AB1159" s="3">
        <f t="shared" si="376"/>
        <v>1.1947660167984475E-3</v>
      </c>
      <c r="AC1159" s="3">
        <f t="shared" ref="AC1159:AC1222" si="395">vrel($S$2,$S$3,$S$4,$A1159,$B1159,$C1159,$U1159,$V1159,$W1159,$X1159,$Y1159,$Z1159)</f>
        <v>1.505928750654989E-2</v>
      </c>
      <c r="AD1159" s="48"/>
      <c r="AE1159" s="46">
        <f t="shared" si="390"/>
        <v>42.092147004735082</v>
      </c>
      <c r="AF1159" s="46">
        <f t="shared" si="391"/>
        <v>-248.53980912469729</v>
      </c>
      <c r="AG1159" s="47">
        <f t="shared" si="392"/>
        <v>2163.745004078919</v>
      </c>
      <c r="AH1159" s="45" t="str">
        <f t="shared" ref="AH1159:AH1222" si="396">CONCATENATE(TEXT($AF1159,"00.00000"),",",TEXT($AE1159,"00.00000"),",",TEXT($AG1159,"00000"))</f>
        <v>-248.53981,42.09215,02164</v>
      </c>
      <c r="AI1159" s="44">
        <f t="shared" si="377"/>
        <v>1021.3878376383107</v>
      </c>
    </row>
    <row r="1160" spans="1:35" ht="18" customHeight="1" x14ac:dyDescent="0.25">
      <c r="A1160" s="36">
        <f t="shared" si="393"/>
        <v>0.75289351851851849</v>
      </c>
      <c r="B1160" s="42">
        <f t="shared" si="378"/>
        <v>42.092147002883493</v>
      </c>
      <c r="C1160" s="43">
        <f t="shared" si="379"/>
        <v>111.46019206468891</v>
      </c>
      <c r="D1160" s="18">
        <f t="shared" si="380"/>
        <v>2.148813544067707</v>
      </c>
      <c r="E1160" s="21" t="str">
        <f t="shared" si="381"/>
        <v>Umbra</v>
      </c>
      <c r="F1160" s="23">
        <f>IF($E1160&lt;&gt;"Umbra",fracil2($S$2,$S$3,$S$4,$A1160,$Q$2,$O$3,$Q$4,$U1160,$V1160,$W1160),0)</f>
        <v>0</v>
      </c>
      <c r="G1160" s="19">
        <f t="shared" si="382"/>
        <v>69.301982358731919</v>
      </c>
      <c r="H1160" s="19">
        <f t="shared" si="383"/>
        <v>-4.7332506190044787</v>
      </c>
      <c r="I1160" s="19">
        <f t="shared" si="384"/>
        <v>-3.5252326696095837</v>
      </c>
      <c r="J1160" s="28">
        <f t="shared" si="385"/>
        <v>4.7133156321934617E-3</v>
      </c>
      <c r="K1160" s="24">
        <f t="shared" si="386"/>
        <v>1047.9782455181339</v>
      </c>
      <c r="L1160" s="32">
        <f t="shared" si="387"/>
        <v>0.5646436355272032</v>
      </c>
      <c r="M1160" s="35">
        <f t="shared" si="388"/>
        <v>12.876171238971377</v>
      </c>
      <c r="O1160" s="29">
        <f t="shared" si="389"/>
        <v>1046.586631306466</v>
      </c>
      <c r="T1160" s="48">
        <v>0.75289351851851849</v>
      </c>
      <c r="U1160" s="29">
        <v>-1492.1966678346494</v>
      </c>
      <c r="V1160" s="29">
        <v>4500.824536966993</v>
      </c>
      <c r="W1160" s="29">
        <v>4254.6436012643408</v>
      </c>
      <c r="X1160" s="4">
        <v>-0.32470282623258923</v>
      </c>
      <c r="Y1160" s="4">
        <v>-0.11938723305139606</v>
      </c>
      <c r="Z1160" s="4">
        <v>-1.006280152536043E-2</v>
      </c>
      <c r="AA1160" s="3">
        <f t="shared" si="394"/>
        <v>0.34610185892831918</v>
      </c>
      <c r="AB1160" s="3">
        <f t="shared" ref="AB1160:AB1223" si="397">-($AC1160-$AC1159)/(($A1160-$A1159)*86400)*1000/9.806</f>
        <v>1.1938829868305921E-3</v>
      </c>
      <c r="AC1160" s="3">
        <f t="shared" si="395"/>
        <v>1.504765053328045E-2</v>
      </c>
      <c r="AD1160" s="48"/>
      <c r="AE1160" s="46">
        <f t="shared" si="390"/>
        <v>42.092147002883493</v>
      </c>
      <c r="AF1160" s="46">
        <f t="shared" si="391"/>
        <v>-248.5398079353111</v>
      </c>
      <c r="AG1160" s="47">
        <f t="shared" si="392"/>
        <v>2148.813544067707</v>
      </c>
      <c r="AH1160" s="45" t="str">
        <f t="shared" si="396"/>
        <v>-248.53981,42.09215,02149</v>
      </c>
      <c r="AI1160" s="44">
        <f t="shared" ref="AI1160:AI1223" si="398">IFERROR(ACOS(SIN(RADIANS($B1159))*SIN(RADIANS($B1160))+COS(RADIANS($B1159))*COS(RADIANS($B1160))*COS(RADIANS($C1159-$C1160)))*6371,0)+AI1159</f>
        <v>1021.3879718970957</v>
      </c>
    </row>
    <row r="1161" spans="1:35" ht="18" customHeight="1" x14ac:dyDescent="0.25">
      <c r="A1161" s="36">
        <f t="shared" si="393"/>
        <v>0.75290515046296302</v>
      </c>
      <c r="B1161" s="42">
        <f t="shared" si="378"/>
        <v>42.092147001015093</v>
      </c>
      <c r="C1161" s="43">
        <f t="shared" si="379"/>
        <v>111.46019064519912</v>
      </c>
      <c r="D1161" s="18">
        <f t="shared" si="380"/>
        <v>2.1337380419809051</v>
      </c>
      <c r="E1161" s="21" t="str">
        <f t="shared" si="381"/>
        <v>Umbra</v>
      </c>
      <c r="F1161" s="23">
        <f>IF($E1161&lt;&gt;"Umbra",fracil2($S$2,$S$3,$S$4,$A1161,$Q$2,$O$3,$Q$4,$U1161,$V1161,$W1161),0)</f>
        <v>0</v>
      </c>
      <c r="G1161" s="19">
        <f t="shared" si="382"/>
        <v>69.301983616404527</v>
      </c>
      <c r="H1161" s="19">
        <f t="shared" si="383"/>
        <v>-4.7340714954089123</v>
      </c>
      <c r="I1161" s="19">
        <f t="shared" si="384"/>
        <v>-3.5260535460140172</v>
      </c>
      <c r="J1161" s="28">
        <f t="shared" si="385"/>
        <v>4.7128025484553405E-3</v>
      </c>
      <c r="K1161" s="24">
        <f t="shared" si="386"/>
        <v>1047.9768843715663</v>
      </c>
      <c r="L1161" s="32">
        <f t="shared" si="387"/>
        <v>0.56465704025520769</v>
      </c>
      <c r="M1161" s="35">
        <f t="shared" si="388"/>
        <v>12.875617688512033</v>
      </c>
      <c r="O1161" s="29">
        <f t="shared" si="389"/>
        <v>1046.5865171280466</v>
      </c>
      <c r="T1161" s="48">
        <v>0.75290515046296302</v>
      </c>
      <c r="U1161" s="29">
        <v>-1492.5228774589989</v>
      </c>
      <c r="V1161" s="29">
        <v>4500.7045868096257</v>
      </c>
      <c r="W1161" s="29">
        <v>4254.6334956250948</v>
      </c>
      <c r="X1161" s="4">
        <v>-0.32469604960078735</v>
      </c>
      <c r="Y1161" s="4">
        <v>-0.11940247238960819</v>
      </c>
      <c r="Z1161" s="4">
        <v>-1.0054911396677432E-2</v>
      </c>
      <c r="AA1161" s="3">
        <f t="shared" si="394"/>
        <v>0.34610052915634665</v>
      </c>
      <c r="AB1161" s="3">
        <f t="shared" si="397"/>
        <v>1.1915118113568662E-3</v>
      </c>
      <c r="AC1161" s="3">
        <f t="shared" si="395"/>
        <v>1.5035908148634083E-2</v>
      </c>
      <c r="AD1161" s="48"/>
      <c r="AE1161" s="46">
        <f t="shared" si="390"/>
        <v>42.092147001015093</v>
      </c>
      <c r="AF1161" s="46">
        <f t="shared" si="391"/>
        <v>-248.53980935480087</v>
      </c>
      <c r="AG1161" s="47">
        <f t="shared" si="392"/>
        <v>2133.7380419809051</v>
      </c>
      <c r="AH1161" s="45" t="str">
        <f t="shared" si="396"/>
        <v>-248.53981,42.09215,02134</v>
      </c>
      <c r="AI1161" s="44">
        <f t="shared" si="398"/>
        <v>1021.3881061558807</v>
      </c>
    </row>
    <row r="1162" spans="1:35" ht="18" customHeight="1" x14ac:dyDescent="0.25">
      <c r="A1162" s="36">
        <f t="shared" si="393"/>
        <v>0.75291672453703706</v>
      </c>
      <c r="B1162" s="42">
        <f t="shared" si="378"/>
        <v>42.092146999158381</v>
      </c>
      <c r="C1162" s="43">
        <f t="shared" si="379"/>
        <v>111.46018912109024</v>
      </c>
      <c r="D1162" s="18">
        <f t="shared" si="380"/>
        <v>2.1187496732318323</v>
      </c>
      <c r="E1162" s="21" t="str">
        <f t="shared" si="381"/>
        <v>Umbra</v>
      </c>
      <c r="F1162" s="23">
        <f>IF($E1162&lt;&gt;"Umbra",fracil2($S$2,$S$3,$S$4,$A1162,$Q$2,$O$3,$Q$4,$U1162,$V1162,$W1162),0)</f>
        <v>0</v>
      </c>
      <c r="G1162" s="19">
        <f t="shared" si="382"/>
        <v>69.30198475199839</v>
      </c>
      <c r="H1162" s="19">
        <f t="shared" si="383"/>
        <v>-4.7348875886610191</v>
      </c>
      <c r="I1162" s="19">
        <f t="shared" si="384"/>
        <v>-3.5268696392661241</v>
      </c>
      <c r="J1162" s="28">
        <f t="shared" si="385"/>
        <v>4.7122926427637189E-3</v>
      </c>
      <c r="K1162" s="24">
        <f t="shared" si="386"/>
        <v>1047.9755222370552</v>
      </c>
      <c r="L1162" s="32">
        <f t="shared" si="387"/>
        <v>0.56467037702421219</v>
      </c>
      <c r="M1162" s="35">
        <f t="shared" si="388"/>
        <v>12.875067443419054</v>
      </c>
      <c r="O1162" s="29">
        <f t="shared" si="389"/>
        <v>1046.5863945381948</v>
      </c>
      <c r="T1162" s="48">
        <v>0.75291672453703706</v>
      </c>
      <c r="U1162" s="29">
        <v>-1492.8474487161207</v>
      </c>
      <c r="V1162" s="29">
        <v>4500.585221409071</v>
      </c>
      <c r="W1162" s="29">
        <v>4254.6234483944663</v>
      </c>
      <c r="X1162" s="4">
        <v>-0.32468930389425871</v>
      </c>
      <c r="Y1162" s="4">
        <v>-0.11941764468366199</v>
      </c>
      <c r="Z1162" s="4">
        <v>-1.0047069608692961E-2</v>
      </c>
      <c r="AA1162" s="3">
        <f t="shared" si="394"/>
        <v>0.34609920764551533</v>
      </c>
      <c r="AB1162" s="3">
        <f t="shared" si="397"/>
        <v>1.1901283861746265E-3</v>
      </c>
      <c r="AC1162" s="3">
        <f t="shared" si="395"/>
        <v>1.502423774967929E-2</v>
      </c>
      <c r="AD1162" s="48"/>
      <c r="AE1162" s="46">
        <f t="shared" si="390"/>
        <v>42.092146999158381</v>
      </c>
      <c r="AF1162" s="46">
        <f t="shared" si="391"/>
        <v>-248.53981087890975</v>
      </c>
      <c r="AG1162" s="47">
        <f t="shared" si="392"/>
        <v>2118.7496732318323</v>
      </c>
      <c r="AH1162" s="45" t="str">
        <f t="shared" si="396"/>
        <v>-248.53981,42.09215,02119</v>
      </c>
      <c r="AI1162" s="44">
        <f t="shared" si="398"/>
        <v>1021.3882404146657</v>
      </c>
    </row>
    <row r="1163" spans="1:35" ht="18" customHeight="1" x14ac:dyDescent="0.25">
      <c r="A1163" s="36">
        <f t="shared" si="393"/>
        <v>0.75292831018518525</v>
      </c>
      <c r="B1163" s="42">
        <f t="shared" si="378"/>
        <v>42.092146997300013</v>
      </c>
      <c r="C1163" s="43">
        <f t="shared" si="379"/>
        <v>111.46019280980261</v>
      </c>
      <c r="D1163" s="18">
        <f t="shared" si="380"/>
        <v>2.1037393271735709</v>
      </c>
      <c r="E1163" s="21" t="str">
        <f t="shared" si="381"/>
        <v>Umbra</v>
      </c>
      <c r="F1163" s="23">
        <f>IF($E1163&lt;&gt;"Umbra",fracil2($S$2,$S$3,$S$4,$A1163,$Q$2,$O$3,$Q$4,$U1163,$V1163,$W1163),0)</f>
        <v>0</v>
      </c>
      <c r="G1163" s="19">
        <f t="shared" si="382"/>
        <v>69.30199119647429</v>
      </c>
      <c r="H1163" s="19">
        <f t="shared" si="383"/>
        <v>-4.7357067648558271</v>
      </c>
      <c r="I1163" s="19">
        <f t="shared" si="384"/>
        <v>-3.527688815460932</v>
      </c>
      <c r="J1163" s="28">
        <f t="shared" si="385"/>
        <v>4.7117822037610951E-3</v>
      </c>
      <c r="K1163" s="24">
        <f t="shared" si="386"/>
        <v>1047.9745775121637</v>
      </c>
      <c r="L1163" s="32">
        <f t="shared" si="387"/>
        <v>0.56468372183778281</v>
      </c>
      <c r="M1163" s="35">
        <f t="shared" si="388"/>
        <v>12.874511197955453</v>
      </c>
      <c r="O1163" s="29">
        <f t="shared" si="389"/>
        <v>1046.586691076418</v>
      </c>
      <c r="T1163" s="48">
        <v>0.75292831018518525</v>
      </c>
      <c r="U1163" s="29">
        <v>-1493.1727430019057</v>
      </c>
      <c r="V1163" s="29">
        <v>4500.4655723917504</v>
      </c>
      <c r="W1163" s="29">
        <v>4254.6133864317617</v>
      </c>
      <c r="X1163" s="4">
        <v>-0.32468253908867767</v>
      </c>
      <c r="Y1163" s="4">
        <v>-0.11943286316404683</v>
      </c>
      <c r="Z1163" s="4">
        <v>-1.0039221818809261E-2</v>
      </c>
      <c r="AA1163" s="3">
        <f t="shared" si="394"/>
        <v>0.34609788495071725</v>
      </c>
      <c r="AB1163" s="3">
        <f t="shared" si="397"/>
        <v>1.1898450177132661E-3</v>
      </c>
      <c r="AC1163" s="3">
        <f t="shared" si="395"/>
        <v>1.5012558461815316E-2</v>
      </c>
      <c r="AD1163" s="48"/>
      <c r="AE1163" s="46">
        <f t="shared" si="390"/>
        <v>42.092146997300013</v>
      </c>
      <c r="AF1163" s="46">
        <f t="shared" si="391"/>
        <v>-248.53980719019739</v>
      </c>
      <c r="AG1163" s="47">
        <f t="shared" si="392"/>
        <v>2103.7393271735709</v>
      </c>
      <c r="AH1163" s="45" t="str">
        <f t="shared" si="396"/>
        <v>-248.53981,42.09215,02104</v>
      </c>
      <c r="AI1163" s="44">
        <f t="shared" si="398"/>
        <v>1021.3885252205596</v>
      </c>
    </row>
    <row r="1164" spans="1:35" ht="18" customHeight="1" x14ac:dyDescent="0.25">
      <c r="A1164" s="36">
        <f t="shared" si="393"/>
        <v>0.75293980324074072</v>
      </c>
      <c r="B1164" s="42">
        <f t="shared" si="378"/>
        <v>42.092146995461839</v>
      </c>
      <c r="C1164" s="43">
        <f t="shared" si="379"/>
        <v>111.46018980032736</v>
      </c>
      <c r="D1164" s="18">
        <f t="shared" si="380"/>
        <v>2.0888844133560269</v>
      </c>
      <c r="E1164" s="21" t="str">
        <f t="shared" si="381"/>
        <v>Umbra</v>
      </c>
      <c r="F1164" s="23">
        <f>IF($E1164&lt;&gt;"Umbra",fracil2($S$2,$S$3,$S$4,$A1164,$Q$2,$O$3,$Q$4,$U1164,$V1164,$W1164),0)</f>
        <v>0</v>
      </c>
      <c r="G1164" s="19">
        <f t="shared" si="382"/>
        <v>69.301990796547031</v>
      </c>
      <c r="H1164" s="19">
        <f t="shared" si="383"/>
        <v>-4.7365150541058636</v>
      </c>
      <c r="I1164" s="19">
        <f t="shared" si="384"/>
        <v>-3.5284971047109686</v>
      </c>
      <c r="J1164" s="28">
        <f t="shared" si="385"/>
        <v>4.7112774536347806E-3</v>
      </c>
      <c r="K1164" s="24">
        <f t="shared" si="386"/>
        <v>1047.9731074410454</v>
      </c>
      <c r="L1164" s="32">
        <f t="shared" si="387"/>
        <v>0.56469696370673628</v>
      </c>
      <c r="M1164" s="35">
        <f t="shared" si="388"/>
        <v>12.873967330898127</v>
      </c>
      <c r="O1164" s="29">
        <f t="shared" si="389"/>
        <v>1046.5864490586505</v>
      </c>
      <c r="T1164" s="48">
        <v>0.75293980324074072</v>
      </c>
      <c r="U1164" s="29">
        <v>-1493.4949126230156</v>
      </c>
      <c r="V1164" s="29">
        <v>4500.3470551924129</v>
      </c>
      <c r="W1164" s="29">
        <v>4254.6034286608319</v>
      </c>
      <c r="X1164" s="4">
        <v>-0.32467583634466818</v>
      </c>
      <c r="Y1164" s="4">
        <v>-0.11944794435743387</v>
      </c>
      <c r="Z1164" s="4">
        <v>-1.0031457561192104E-2</v>
      </c>
      <c r="AA1164" s="3">
        <f t="shared" si="394"/>
        <v>0.34609657649004327</v>
      </c>
      <c r="AB1164" s="3">
        <f t="shared" si="397"/>
        <v>1.1866596928024656E-3</v>
      </c>
      <c r="AC1164" s="3">
        <f t="shared" si="395"/>
        <v>1.5001003531562406E-2</v>
      </c>
      <c r="AD1164" s="48"/>
      <c r="AE1164" s="46">
        <f t="shared" si="390"/>
        <v>42.092146995461839</v>
      </c>
      <c r="AF1164" s="46">
        <f t="shared" si="391"/>
        <v>-248.53981019967264</v>
      </c>
      <c r="AG1164" s="47">
        <f t="shared" si="392"/>
        <v>2088.8844133560269</v>
      </c>
      <c r="AH1164" s="45" t="str">
        <f t="shared" si="396"/>
        <v>-248.53981,42.09215,02089</v>
      </c>
      <c r="AI1164" s="44">
        <f t="shared" si="398"/>
        <v>1021.3887577635982</v>
      </c>
    </row>
    <row r="1165" spans="1:35" ht="18" customHeight="1" x14ac:dyDescent="0.25">
      <c r="A1165" s="36">
        <f t="shared" si="393"/>
        <v>0.75295148148148139</v>
      </c>
      <c r="B1165" s="42">
        <f t="shared" si="378"/>
        <v>42.092146993594056</v>
      </c>
      <c r="C1165" s="43">
        <f t="shared" si="379"/>
        <v>111.46019268184456</v>
      </c>
      <c r="D1165" s="18">
        <f t="shared" si="380"/>
        <v>2.0737806533225012</v>
      </c>
      <c r="E1165" s="21" t="str">
        <f t="shared" si="381"/>
        <v>Umbra</v>
      </c>
      <c r="F1165" s="23">
        <f>IF($E1165&lt;&gt;"Umbra",fracil2($S$2,$S$3,$S$4,$A1165,$Q$2,$O$3,$Q$4,$U1165,$V1165,$W1165),0)</f>
        <v>0</v>
      </c>
      <c r="G1165" s="19">
        <f t="shared" si="382"/>
        <v>69.301996436319513</v>
      </c>
      <c r="H1165" s="19">
        <f t="shared" si="383"/>
        <v>-4.7373390318315289</v>
      </c>
      <c r="I1165" s="19">
        <f t="shared" si="384"/>
        <v>-3.5293210824366339</v>
      </c>
      <c r="J1165" s="28">
        <f t="shared" si="385"/>
        <v>4.7107642555933044E-3</v>
      </c>
      <c r="K1165" s="24">
        <f t="shared" si="386"/>
        <v>1047.972090535779</v>
      </c>
      <c r="L1165" s="32">
        <f t="shared" si="387"/>
        <v>0.56471041308641123</v>
      </c>
      <c r="M1165" s="35">
        <f t="shared" si="388"/>
        <v>12.873408437423006</v>
      </c>
      <c r="O1165" s="29">
        <f t="shared" si="389"/>
        <v>1046.5866806954743</v>
      </c>
      <c r="T1165" s="48">
        <v>0.75295148148148139</v>
      </c>
      <c r="U1165" s="29">
        <v>-1493.8227280252961</v>
      </c>
      <c r="V1165" s="29">
        <v>4500.2264431900066</v>
      </c>
      <c r="W1165" s="29">
        <v>4254.5933040796363</v>
      </c>
      <c r="X1165" s="4">
        <v>-0.32466901301233664</v>
      </c>
      <c r="Y1165" s="4">
        <v>-0.11946329935707531</v>
      </c>
      <c r="Z1165" s="4">
        <v>-1.0023565976565996E-2</v>
      </c>
      <c r="AA1165" s="3">
        <f t="shared" si="394"/>
        <v>0.34609524668589364</v>
      </c>
      <c r="AB1165" s="3">
        <f t="shared" si="397"/>
        <v>1.1869896743256832E-3</v>
      </c>
      <c r="AC1165" s="3">
        <f t="shared" si="395"/>
        <v>1.4989259154229327E-2</v>
      </c>
      <c r="AD1165" s="48"/>
      <c r="AE1165" s="46">
        <f t="shared" si="390"/>
        <v>42.092146993594056</v>
      </c>
      <c r="AF1165" s="46">
        <f t="shared" si="391"/>
        <v>-248.53980731815545</v>
      </c>
      <c r="AG1165" s="47">
        <f t="shared" si="392"/>
        <v>2073.7806533225012</v>
      </c>
      <c r="AH1165" s="45" t="str">
        <f t="shared" si="396"/>
        <v>-248.53981,42.09215,02074</v>
      </c>
      <c r="AI1165" s="44">
        <f t="shared" si="398"/>
        <v>1021.3889903066367</v>
      </c>
    </row>
    <row r="1166" spans="1:35" ht="18" customHeight="1" x14ac:dyDescent="0.25">
      <c r="A1166" s="36">
        <f t="shared" si="393"/>
        <v>0.75296299768518515</v>
      </c>
      <c r="B1166" s="42">
        <f t="shared" si="378"/>
        <v>42.0921469917566</v>
      </c>
      <c r="C1166" s="43">
        <f t="shared" si="379"/>
        <v>111.46019050291841</v>
      </c>
      <c r="D1166" s="18">
        <f t="shared" si="380"/>
        <v>2.0589160456729587</v>
      </c>
      <c r="E1166" s="21" t="str">
        <f t="shared" si="381"/>
        <v>Umbra</v>
      </c>
      <c r="F1166" s="23">
        <f>IF($E1166&lt;&gt;"Umbra",fracil2($S$2,$S$3,$S$4,$A1166,$Q$2,$O$3,$Q$4,$U1166,$V1166,$W1166),0)</f>
        <v>0</v>
      </c>
      <c r="G1166" s="19">
        <f t="shared" si="382"/>
        <v>69.301996883369597</v>
      </c>
      <c r="H1166" s="19">
        <f t="shared" si="383"/>
        <v>-4.7381481533884662</v>
      </c>
      <c r="I1166" s="19">
        <f t="shared" si="384"/>
        <v>-3.5301302039935711</v>
      </c>
      <c r="J1166" s="28">
        <f t="shared" si="385"/>
        <v>4.7102596617329094E-3</v>
      </c>
      <c r="K1166" s="24">
        <f t="shared" si="386"/>
        <v>1047.9706868463463</v>
      </c>
      <c r="L1166" s="32">
        <f t="shared" si="387"/>
        <v>0.56472367831389014</v>
      </c>
      <c r="M1166" s="35">
        <f t="shared" si="388"/>
        <v>12.872863375040422</v>
      </c>
      <c r="O1166" s="29">
        <f t="shared" si="389"/>
        <v>1046.5865054566239</v>
      </c>
      <c r="T1166" s="48">
        <v>0.75296299768518515</v>
      </c>
      <c r="U1166" s="29">
        <v>-1494.1455980866197</v>
      </c>
      <c r="V1166" s="29">
        <v>4500.1076330709993</v>
      </c>
      <c r="W1166" s="29">
        <v>4254.5833398107516</v>
      </c>
      <c r="X1166" s="4">
        <v>-0.32466228899149341</v>
      </c>
      <c r="Y1166" s="4">
        <v>-0.11947843371893392</v>
      </c>
      <c r="Z1166" s="4">
        <v>-1.0015803595872433E-2</v>
      </c>
      <c r="AA1166" s="3">
        <f t="shared" si="394"/>
        <v>0.34609393860453086</v>
      </c>
      <c r="AB1166" s="3">
        <f t="shared" si="397"/>
        <v>1.1839793546319607E-3</v>
      </c>
      <c r="AC1166" s="3">
        <f t="shared" si="395"/>
        <v>1.4977707103185502E-2</v>
      </c>
      <c r="AD1166" s="48"/>
      <c r="AE1166" s="46">
        <f t="shared" si="390"/>
        <v>42.0921469917566</v>
      </c>
      <c r="AF1166" s="46">
        <f t="shared" si="391"/>
        <v>-248.53980949708159</v>
      </c>
      <c r="AG1166" s="47">
        <f t="shared" si="392"/>
        <v>2058.9160456729587</v>
      </c>
      <c r="AH1166" s="45" t="str">
        <f t="shared" si="396"/>
        <v>-248.53981,42.09215,02059</v>
      </c>
      <c r="AI1166" s="44">
        <f t="shared" si="398"/>
        <v>1021.3891801772327</v>
      </c>
    </row>
    <row r="1167" spans="1:35" ht="18" customHeight="1" x14ac:dyDescent="0.25">
      <c r="A1167" s="36">
        <f t="shared" si="393"/>
        <v>0.75297459490740737</v>
      </c>
      <c r="B1167" s="42">
        <f t="shared" si="378"/>
        <v>42.092146989907278</v>
      </c>
      <c r="C1167" s="43">
        <f t="shared" si="379"/>
        <v>111.46019144878096</v>
      </c>
      <c r="D1167" s="18">
        <f t="shared" si="380"/>
        <v>2.0439472718271645</v>
      </c>
      <c r="E1167" s="21" t="str">
        <f t="shared" si="381"/>
        <v>Umbra</v>
      </c>
      <c r="F1167" s="23">
        <f>IF($E1167&lt;&gt;"Umbra",fracil2($S$2,$S$3,$S$4,$A1167,$Q$2,$O$3,$Q$4,$U1167,$V1167,$W1167),0)</f>
        <v>0</v>
      </c>
      <c r="G1167" s="19">
        <f t="shared" si="382"/>
        <v>69.302000529102187</v>
      </c>
      <c r="H1167" s="19">
        <f t="shared" si="383"/>
        <v>-4.7389640808962179</v>
      </c>
      <c r="I1167" s="19">
        <f t="shared" si="384"/>
        <v>-3.5309461315013229</v>
      </c>
      <c r="J1167" s="28">
        <f t="shared" si="385"/>
        <v>4.7097516780432091E-3</v>
      </c>
      <c r="K1167" s="24">
        <f t="shared" si="386"/>
        <v>1047.9695259332821</v>
      </c>
      <c r="L1167" s="32">
        <f t="shared" si="387"/>
        <v>0.56473703314337464</v>
      </c>
      <c r="M1167" s="35">
        <f t="shared" si="388"/>
        <v>12.872311363967448</v>
      </c>
      <c r="O1167" s="29">
        <f t="shared" si="389"/>
        <v>1046.5865814608553</v>
      </c>
      <c r="T1167" s="48">
        <v>0.75297459490740737</v>
      </c>
      <c r="U1167" s="29">
        <v>-1494.4709768395933</v>
      </c>
      <c r="V1167" s="29">
        <v>4499.9878820781523</v>
      </c>
      <c r="W1167" s="29">
        <v>4254.5733057156867</v>
      </c>
      <c r="X1167" s="4">
        <v>-0.32465550938895416</v>
      </c>
      <c r="Y1167" s="4">
        <v>-0.11949369580212749</v>
      </c>
      <c r="Z1167" s="4">
        <v>-1.0007990220588583E-2</v>
      </c>
      <c r="AA1167" s="3">
        <f t="shared" si="394"/>
        <v>0.34609262196890023</v>
      </c>
      <c r="AB1167" s="3">
        <f t="shared" si="397"/>
        <v>1.1834274045016992E-3</v>
      </c>
      <c r="AC1167" s="3">
        <f t="shared" si="395"/>
        <v>1.4966079204678708E-2</v>
      </c>
      <c r="AD1167" s="48"/>
      <c r="AE1167" s="46">
        <f t="shared" si="390"/>
        <v>42.092146989907278</v>
      </c>
      <c r="AF1167" s="46">
        <f t="shared" si="391"/>
        <v>-248.53980855121904</v>
      </c>
      <c r="AG1167" s="47">
        <f t="shared" si="392"/>
        <v>2043.9472718271645</v>
      </c>
      <c r="AH1167" s="45" t="str">
        <f t="shared" si="396"/>
        <v>-248.53981,42.09215,02044</v>
      </c>
      <c r="AI1167" s="44">
        <f t="shared" si="398"/>
        <v>1021.3891801772327</v>
      </c>
    </row>
    <row r="1168" spans="1:35" ht="18" customHeight="1" x14ac:dyDescent="0.25">
      <c r="A1168" s="36">
        <f t="shared" si="393"/>
        <v>0.75298618055555566</v>
      </c>
      <c r="B1168" s="42">
        <f t="shared" si="378"/>
        <v>42.092146988062936</v>
      </c>
      <c r="C1168" s="43">
        <f t="shared" si="379"/>
        <v>111.46019071669177</v>
      </c>
      <c r="D1168" s="18">
        <f t="shared" si="380"/>
        <v>2.029011083091973</v>
      </c>
      <c r="E1168" s="21" t="str">
        <f t="shared" si="381"/>
        <v>Umbra</v>
      </c>
      <c r="F1168" s="23">
        <f>IF($E1168&lt;&gt;"Umbra",fracil2($S$2,$S$3,$S$4,$A1168,$Q$2,$O$3,$Q$4,$U1168,$V1168,$W1168),0)</f>
        <v>0</v>
      </c>
      <c r="G1168" s="19">
        <f t="shared" si="382"/>
        <v>69.302002461399567</v>
      </c>
      <c r="H1168" s="19">
        <f t="shared" si="383"/>
        <v>-4.7397776290661815</v>
      </c>
      <c r="I1168" s="19">
        <f t="shared" si="384"/>
        <v>-3.5317596796712865</v>
      </c>
      <c r="J1168" s="28">
        <f t="shared" si="385"/>
        <v>4.7092449701201054E-3</v>
      </c>
      <c r="K1168" s="24">
        <f t="shared" si="386"/>
        <v>1047.9682330491435</v>
      </c>
      <c r="L1168" s="32">
        <f t="shared" si="387"/>
        <v>0.56475037457090482</v>
      </c>
      <c r="M1168" s="35">
        <f t="shared" si="388"/>
        <v>12.87176221511297</v>
      </c>
      <c r="O1168" s="29">
        <f t="shared" si="389"/>
        <v>1046.5865225523207</v>
      </c>
      <c r="T1168" s="48">
        <v>0.75298618055555566</v>
      </c>
      <c r="U1168" s="29">
        <v>-1494.7958937745163</v>
      </c>
      <c r="V1168" s="29">
        <v>4499.8682832872219</v>
      </c>
      <c r="W1168" s="29">
        <v>4254.5632934636469</v>
      </c>
      <c r="X1168" s="4">
        <v>-0.32464873680122924</v>
      </c>
      <c r="Y1168" s="4">
        <v>-0.11950894414583081</v>
      </c>
      <c r="Z1168" s="4">
        <v>-1.0000195154925775E-2</v>
      </c>
      <c r="AA1168" s="3">
        <f t="shared" si="394"/>
        <v>0.3460913086753577</v>
      </c>
      <c r="AB1168" s="3">
        <f t="shared" si="397"/>
        <v>1.1818292669165252E-3</v>
      </c>
      <c r="AC1168" s="3">
        <f t="shared" si="395"/>
        <v>1.4954478597869388E-2</v>
      </c>
      <c r="AD1168" s="48"/>
      <c r="AE1168" s="46">
        <f t="shared" si="390"/>
        <v>42.092146988062936</v>
      </c>
      <c r="AF1168" s="46">
        <f t="shared" si="391"/>
        <v>-248.53980928330822</v>
      </c>
      <c r="AG1168" s="47">
        <f t="shared" si="392"/>
        <v>2029.011083091973</v>
      </c>
      <c r="AH1168" s="45" t="str">
        <f t="shared" si="396"/>
        <v>-248.53981,42.09215,02029</v>
      </c>
      <c r="AI1168" s="44">
        <f t="shared" si="398"/>
        <v>1021.3891801772327</v>
      </c>
    </row>
    <row r="1169" spans="1:35" ht="18" customHeight="1" x14ac:dyDescent="0.25">
      <c r="A1169" s="36">
        <f t="shared" si="393"/>
        <v>0.75299777777777777</v>
      </c>
      <c r="B1169" s="42">
        <f t="shared" si="378"/>
        <v>42.092146986218559</v>
      </c>
      <c r="C1169" s="43">
        <f t="shared" si="379"/>
        <v>111.46019150678869</v>
      </c>
      <c r="D1169" s="18">
        <f t="shared" si="380"/>
        <v>2.0140661880668631</v>
      </c>
      <c r="E1169" s="21" t="str">
        <f t="shared" si="381"/>
        <v>Umbra</v>
      </c>
      <c r="F1169" s="23">
        <f>IF($E1169&lt;&gt;"Umbra",fracil2($S$2,$S$3,$S$4,$A1169,$Q$2,$O$3,$Q$4,$U1169,$V1169,$W1169),0)</f>
        <v>0</v>
      </c>
      <c r="G1169" s="19">
        <f t="shared" si="382"/>
        <v>69.302005944346718</v>
      </c>
      <c r="H1169" s="19">
        <f t="shared" si="383"/>
        <v>-4.7405922030036507</v>
      </c>
      <c r="I1169" s="19">
        <f t="shared" si="384"/>
        <v>-3.5325742536087557</v>
      </c>
      <c r="J1169" s="28">
        <f t="shared" si="385"/>
        <v>4.7087382636039257E-3</v>
      </c>
      <c r="K1169" s="24">
        <f t="shared" si="386"/>
        <v>1047.9670620119796</v>
      </c>
      <c r="L1169" s="32">
        <f t="shared" si="387"/>
        <v>0.56476372682703646</v>
      </c>
      <c r="M1169" s="35">
        <f t="shared" si="388"/>
        <v>12.871211225880524</v>
      </c>
      <c r="O1169" s="29">
        <f t="shared" si="389"/>
        <v>1046.5865860326048</v>
      </c>
      <c r="T1169" s="48">
        <v>0.75299777777777777</v>
      </c>
      <c r="U1169" s="29">
        <v>-1495.1212468476099</v>
      </c>
      <c r="V1169" s="29">
        <v>4499.7485061606703</v>
      </c>
      <c r="W1169" s="29">
        <v>4254.5532753755633</v>
      </c>
      <c r="X1169" s="4">
        <v>-0.32464195127490897</v>
      </c>
      <c r="Y1169" s="4">
        <v>-0.11952422460760509</v>
      </c>
      <c r="Z1169" s="4">
        <v>-9.9924003938902575E-3</v>
      </c>
      <c r="AA1169" s="3">
        <f t="shared" si="394"/>
        <v>0.34608999532095902</v>
      </c>
      <c r="AB1169" s="3">
        <f t="shared" si="397"/>
        <v>1.1805992489742629E-3</v>
      </c>
      <c r="AC1169" s="3">
        <f t="shared" si="395"/>
        <v>1.4942878487721594E-2</v>
      </c>
      <c r="AD1169" s="48"/>
      <c r="AE1169" s="46">
        <f t="shared" si="390"/>
        <v>42.092146986218559</v>
      </c>
      <c r="AF1169" s="46">
        <f t="shared" si="391"/>
        <v>-248.5398084932113</v>
      </c>
      <c r="AG1169" s="47">
        <f t="shared" si="392"/>
        <v>2014.0661880668631</v>
      </c>
      <c r="AH1169" s="45" t="str">
        <f t="shared" si="396"/>
        <v>-248.53981,42.09215,02014</v>
      </c>
      <c r="AI1169" s="44">
        <f t="shared" si="398"/>
        <v>1021.3891801772327</v>
      </c>
    </row>
    <row r="1170" spans="1:35" ht="18" customHeight="1" x14ac:dyDescent="0.25">
      <c r="A1170" s="36">
        <f t="shared" si="393"/>
        <v>0.75300925925925932</v>
      </c>
      <c r="B1170" s="42">
        <f t="shared" si="378"/>
        <v>42.092146984395065</v>
      </c>
      <c r="C1170" s="43">
        <f t="shared" si="379"/>
        <v>111.46019186426898</v>
      </c>
      <c r="D1170" s="18">
        <f t="shared" si="380"/>
        <v>1.9992834296836008</v>
      </c>
      <c r="E1170" s="21" t="str">
        <f t="shared" si="381"/>
        <v>Umbra</v>
      </c>
      <c r="F1170" s="23">
        <f>IF($E1170&lt;&gt;"Umbra",fracil2($S$2,$S$3,$S$4,$A1170,$Q$2,$O$3,$Q$4,$U1170,$V1170,$W1170),0)</f>
        <v>0</v>
      </c>
      <c r="G1170" s="19">
        <f t="shared" si="382"/>
        <v>69.302008957976881</v>
      </c>
      <c r="H1170" s="19">
        <f t="shared" si="383"/>
        <v>-4.7413977884270242</v>
      </c>
      <c r="I1170" s="19">
        <f t="shared" si="384"/>
        <v>-3.5333798390321292</v>
      </c>
      <c r="J1170" s="28">
        <f t="shared" si="385"/>
        <v>4.7082373171829341E-3</v>
      </c>
      <c r="K1170" s="24">
        <f t="shared" si="386"/>
        <v>1047.9658698024512</v>
      </c>
      <c r="L1170" s="32">
        <f t="shared" si="387"/>
        <v>0.56477694482565133</v>
      </c>
      <c r="M1170" s="35">
        <f t="shared" si="388"/>
        <v>12.87066663000879</v>
      </c>
      <c r="O1170" s="29">
        <f t="shared" si="389"/>
        <v>1046.5866147295985</v>
      </c>
      <c r="T1170" s="48">
        <v>0.75300925925925932</v>
      </c>
      <c r="U1170" s="29">
        <v>-1495.443313186423</v>
      </c>
      <c r="V1170" s="29">
        <v>4499.6299214745331</v>
      </c>
      <c r="W1170" s="29">
        <v>4254.5433659734372</v>
      </c>
      <c r="X1170" s="4">
        <v>-0.32463523100328723</v>
      </c>
      <c r="Y1170" s="4">
        <v>-0.11953936067387945</v>
      </c>
      <c r="Z1170" s="4">
        <v>-9.9846935485658657E-3</v>
      </c>
      <c r="AA1170" s="3">
        <f t="shared" si="394"/>
        <v>0.3460886968164899</v>
      </c>
      <c r="AB1170" s="3">
        <f t="shared" si="397"/>
        <v>1.1790460635067253E-3</v>
      </c>
      <c r="AC1170" s="3">
        <f t="shared" si="395"/>
        <v>1.4931409255828362E-2</v>
      </c>
      <c r="AD1170" s="48"/>
      <c r="AE1170" s="46">
        <f t="shared" si="390"/>
        <v>42.092146984395065</v>
      </c>
      <c r="AF1170" s="46">
        <f t="shared" si="391"/>
        <v>-248.53980813573102</v>
      </c>
      <c r="AG1170" s="47">
        <f t="shared" si="392"/>
        <v>1999.2834296836008</v>
      </c>
      <c r="AH1170" s="45" t="str">
        <f t="shared" si="396"/>
        <v>-248.53981,42.09215,01999</v>
      </c>
      <c r="AI1170" s="44">
        <f t="shared" si="398"/>
        <v>1021.3891801772327</v>
      </c>
    </row>
    <row r="1171" spans="1:35" ht="18" customHeight="1" x14ac:dyDescent="0.25">
      <c r="A1171" s="36">
        <f t="shared" si="393"/>
        <v>0.75302092592592595</v>
      </c>
      <c r="B1171" s="42">
        <f t="shared" si="378"/>
        <v>42.092146982545543</v>
      </c>
      <c r="C1171" s="43">
        <f t="shared" si="379"/>
        <v>111.46019038544256</v>
      </c>
      <c r="D1171" s="18">
        <f t="shared" si="380"/>
        <v>1.9842804766767586</v>
      </c>
      <c r="E1171" s="21" t="str">
        <f t="shared" si="381"/>
        <v>Umbra</v>
      </c>
      <c r="F1171" s="23">
        <f>IF($E1171&lt;&gt;"Umbra",fracil2($S$2,$S$3,$S$4,$A1171,$Q$2,$O$3,$Q$4,$U1171,$V1171,$W1171),0)</f>
        <v>0</v>
      </c>
      <c r="G1171" s="19">
        <f t="shared" si="382"/>
        <v>69.302010142330204</v>
      </c>
      <c r="H1171" s="19">
        <f t="shared" si="383"/>
        <v>-4.7422147107648867</v>
      </c>
      <c r="I1171" s="19">
        <f t="shared" si="384"/>
        <v>-3.5341967613699916</v>
      </c>
      <c r="J1171" s="28">
        <f t="shared" si="385"/>
        <v>4.7077292986364757E-3</v>
      </c>
      <c r="K1171" s="24">
        <f t="shared" si="386"/>
        <v>1047.9645120147859</v>
      </c>
      <c r="L1171" s="32">
        <f t="shared" si="387"/>
        <v>0.56479037606993632</v>
      </c>
      <c r="M1171" s="35">
        <f t="shared" si="388"/>
        <v>12.870115747250891</v>
      </c>
      <c r="O1171" s="29">
        <f t="shared" si="389"/>
        <v>1046.5864957807805</v>
      </c>
      <c r="T1171" s="48">
        <v>0.75302092592592595</v>
      </c>
      <c r="U1171" s="29">
        <v>-1495.7704241925123</v>
      </c>
      <c r="V1171" s="29">
        <v>4499.5094614537766</v>
      </c>
      <c r="W1171" s="29">
        <v>4254.5333089672158</v>
      </c>
      <c r="X1171" s="4">
        <v>-0.32462840172179125</v>
      </c>
      <c r="Y1171" s="4">
        <v>-0.11955474515036008</v>
      </c>
      <c r="Z1171" s="4">
        <v>-9.9768764482188813E-3</v>
      </c>
      <c r="AA1171" s="3">
        <f t="shared" si="394"/>
        <v>0.3460873796544382</v>
      </c>
      <c r="AB1171" s="3">
        <f t="shared" si="397"/>
        <v>1.1769264789928792E-3</v>
      </c>
      <c r="AC1171" s="3">
        <f t="shared" si="395"/>
        <v>1.4919775987246968E-2</v>
      </c>
      <c r="AD1171" s="48"/>
      <c r="AE1171" s="46">
        <f t="shared" si="390"/>
        <v>42.092146982545543</v>
      </c>
      <c r="AF1171" s="46">
        <f t="shared" si="391"/>
        <v>-248.53980961455744</v>
      </c>
      <c r="AG1171" s="47">
        <f t="shared" si="392"/>
        <v>1984.2804766767586</v>
      </c>
      <c r="AH1171" s="45" t="str">
        <f t="shared" si="396"/>
        <v>-248.53981,42.09215,01984</v>
      </c>
      <c r="AI1171" s="44">
        <f t="shared" si="398"/>
        <v>1021.3893144360177</v>
      </c>
    </row>
    <row r="1172" spans="1:35" ht="18" customHeight="1" x14ac:dyDescent="0.25">
      <c r="A1172" s="36">
        <f t="shared" si="393"/>
        <v>0.7530324074074074</v>
      </c>
      <c r="B1172" s="42">
        <f t="shared" si="378"/>
        <v>42.092146980727037</v>
      </c>
      <c r="C1172" s="43">
        <f t="shared" si="379"/>
        <v>111.46019020138401</v>
      </c>
      <c r="D1172" s="18">
        <f t="shared" si="380"/>
        <v>1.9695226063367954</v>
      </c>
      <c r="E1172" s="21" t="str">
        <f t="shared" si="381"/>
        <v>Umbra</v>
      </c>
      <c r="F1172" s="23">
        <f>IF($E1172&lt;&gt;"Umbra",fracil2($S$2,$S$3,$S$4,$A1172,$Q$2,$O$3,$Q$4,$U1172,$V1172,$W1172),0)</f>
        <v>0</v>
      </c>
      <c r="G1172" s="19">
        <f t="shared" si="382"/>
        <v>69.302012600405376</v>
      </c>
      <c r="H1172" s="19">
        <f t="shared" si="383"/>
        <v>-4.7430187485807878</v>
      </c>
      <c r="I1172" s="19">
        <f t="shared" si="384"/>
        <v>-3.5350007991858927</v>
      </c>
      <c r="J1172" s="28">
        <f t="shared" si="385"/>
        <v>4.7072296488698288E-3</v>
      </c>
      <c r="K1172" s="24">
        <f t="shared" si="386"/>
        <v>1047.9632787481637</v>
      </c>
      <c r="L1172" s="32">
        <f t="shared" si="387"/>
        <v>0.56480359183085582</v>
      </c>
      <c r="M1172" s="35">
        <f t="shared" si="388"/>
        <v>12.869572594014867</v>
      </c>
      <c r="O1172" s="29">
        <f t="shared" si="389"/>
        <v>1046.5864809363809</v>
      </c>
      <c r="T1172" s="48">
        <v>0.7530324074074074</v>
      </c>
      <c r="U1172" s="29">
        <v>-1496.092435018795</v>
      </c>
      <c r="V1172" s="29">
        <v>4499.3908619741278</v>
      </c>
      <c r="W1172" s="29">
        <v>4254.5234162485785</v>
      </c>
      <c r="X1172" s="4">
        <v>-0.32462167633781447</v>
      </c>
      <c r="Y1172" s="4">
        <v>-0.11956989756595798</v>
      </c>
      <c r="Z1172" s="4">
        <v>-9.9691883448503726E-3</v>
      </c>
      <c r="AA1172" s="3">
        <f t="shared" si="394"/>
        <v>0.34608608447691386</v>
      </c>
      <c r="AB1172" s="3">
        <f t="shared" si="397"/>
        <v>1.1761699977967321E-3</v>
      </c>
      <c r="AC1172" s="3">
        <f t="shared" si="395"/>
        <v>1.4908334732432596E-2</v>
      </c>
      <c r="AD1172" s="48"/>
      <c r="AE1172" s="46">
        <f t="shared" si="390"/>
        <v>42.092146980727037</v>
      </c>
      <c r="AF1172" s="46">
        <f t="shared" si="391"/>
        <v>-248.53980979861598</v>
      </c>
      <c r="AG1172" s="47">
        <f t="shared" si="392"/>
        <v>1969.5226063367954</v>
      </c>
      <c r="AH1172" s="45" t="str">
        <f t="shared" si="396"/>
        <v>-248.53981,42.09215,01970</v>
      </c>
      <c r="AI1172" s="44">
        <f t="shared" si="398"/>
        <v>1021.3893144360177</v>
      </c>
    </row>
    <row r="1173" spans="1:35" ht="18" customHeight="1" x14ac:dyDescent="0.25">
      <c r="A1173" s="36">
        <f t="shared" si="393"/>
        <v>0.75304400462962962</v>
      </c>
      <c r="B1173" s="42">
        <f t="shared" si="378"/>
        <v>42.092146978891009</v>
      </c>
      <c r="C1173" s="43">
        <f t="shared" si="379"/>
        <v>111.46019334699061</v>
      </c>
      <c r="D1173" s="18">
        <f t="shared" si="380"/>
        <v>1.9546156596170476</v>
      </c>
      <c r="E1173" s="21" t="str">
        <f t="shared" si="381"/>
        <v>Umbra</v>
      </c>
      <c r="F1173" s="23">
        <f>IF($E1173&lt;&gt;"Umbra",fracil2($S$2,$S$3,$S$4,$A1173,$Q$2,$O$3,$Q$4,$U1173,$V1173,$W1173),0)</f>
        <v>0</v>
      </c>
      <c r="G1173" s="19">
        <f t="shared" si="382"/>
        <v>69.302018473706028</v>
      </c>
      <c r="H1173" s="19">
        <f t="shared" si="383"/>
        <v>-4.7438321118718871</v>
      </c>
      <c r="I1173" s="19">
        <f t="shared" si="384"/>
        <v>-3.5358141624769921</v>
      </c>
      <c r="J1173" s="28">
        <f t="shared" si="385"/>
        <v>4.7067251821506636E-3</v>
      </c>
      <c r="K1173" s="24">
        <f t="shared" si="386"/>
        <v>1047.9623010226342</v>
      </c>
      <c r="L1173" s="32">
        <f t="shared" si="387"/>
        <v>0.56481693694945012</v>
      </c>
      <c r="M1173" s="35">
        <f t="shared" si="388"/>
        <v>12.86902063573114</v>
      </c>
      <c r="O1173" s="29">
        <f t="shared" si="389"/>
        <v>1046.5867338076578</v>
      </c>
      <c r="T1173" s="48">
        <v>0.75304400462962962</v>
      </c>
      <c r="U1173" s="29">
        <v>-1496.4179439915099</v>
      </c>
      <c r="V1173" s="29">
        <v>4499.2709563160979</v>
      </c>
      <c r="W1173" s="29">
        <v>4254.5134235988817</v>
      </c>
      <c r="X1173" s="4">
        <v>-0.32461487408492756</v>
      </c>
      <c r="Y1173" s="4">
        <v>-0.11958522607908074</v>
      </c>
      <c r="Z1173" s="4">
        <v>-9.9614273414170701E-3</v>
      </c>
      <c r="AA1173" s="3">
        <f t="shared" si="394"/>
        <v>0.34608477690912176</v>
      </c>
      <c r="AB1173" s="3">
        <f t="shared" si="397"/>
        <v>1.1754687475987022E-3</v>
      </c>
      <c r="AC1173" s="3">
        <f t="shared" si="395"/>
        <v>1.4896785032600572E-2</v>
      </c>
      <c r="AD1173" s="48"/>
      <c r="AE1173" s="46">
        <f t="shared" si="390"/>
        <v>42.092146978891009</v>
      </c>
      <c r="AF1173" s="46">
        <f t="shared" si="391"/>
        <v>-248.53980665300941</v>
      </c>
      <c r="AG1173" s="47">
        <f t="shared" si="392"/>
        <v>1954.6156596170476</v>
      </c>
      <c r="AH1173" s="45" t="str">
        <f t="shared" si="396"/>
        <v>-248.53981,42.09215,01955</v>
      </c>
      <c r="AI1173" s="44">
        <f t="shared" si="398"/>
        <v>1021.3895829535892</v>
      </c>
    </row>
    <row r="1174" spans="1:35" ht="18" customHeight="1" x14ac:dyDescent="0.25">
      <c r="A1174" s="36">
        <f t="shared" si="393"/>
        <v>0.75305562500000001</v>
      </c>
      <c r="B1174" s="42">
        <f t="shared" si="378"/>
        <v>42.092146977056416</v>
      </c>
      <c r="C1174" s="43">
        <f t="shared" si="379"/>
        <v>111.46019054312117</v>
      </c>
      <c r="D1174" s="18">
        <f t="shared" si="380"/>
        <v>1.939711763021478</v>
      </c>
      <c r="E1174" s="21" t="str">
        <f t="shared" si="381"/>
        <v>Umbra</v>
      </c>
      <c r="F1174" s="23">
        <f>IF($E1174&lt;&gt;"Umbra",fracil2($S$2,$S$3,$S$4,$A1174,$Q$2,$O$3,$Q$4,$U1174,$V1174,$W1174),0)</f>
        <v>0</v>
      </c>
      <c r="G1174" s="19">
        <f t="shared" si="382"/>
        <v>69.302018291870937</v>
      </c>
      <c r="H1174" s="19">
        <f t="shared" si="383"/>
        <v>-4.744643165062989</v>
      </c>
      <c r="I1174" s="19">
        <f t="shared" si="384"/>
        <v>-3.536625215668094</v>
      </c>
      <c r="J1174" s="28">
        <f t="shared" si="385"/>
        <v>4.7062211296052267E-3</v>
      </c>
      <c r="K1174" s="24">
        <f t="shared" si="386"/>
        <v>1047.9608455380662</v>
      </c>
      <c r="L1174" s="32">
        <f t="shared" si="387"/>
        <v>0.56483031189394084</v>
      </c>
      <c r="M1174" s="35">
        <f t="shared" si="388"/>
        <v>12.868474698799822</v>
      </c>
      <c r="O1174" s="29">
        <f t="shared" si="389"/>
        <v>1046.5865083213732</v>
      </c>
      <c r="T1174" s="48">
        <v>0.75305562500000001</v>
      </c>
      <c r="U1174" s="29">
        <v>-1496.7436331265881</v>
      </c>
      <c r="V1174" s="29">
        <v>4499.1509663896422</v>
      </c>
      <c r="W1174" s="29">
        <v>4254.503432993879</v>
      </c>
      <c r="X1174" s="4">
        <v>-0.32460806546272802</v>
      </c>
      <c r="Y1174" s="4">
        <v>-0.11960057093428839</v>
      </c>
      <c r="Z1174" s="4">
        <v>-9.9536692028794078E-3</v>
      </c>
      <c r="AA1174" s="3">
        <f t="shared" si="394"/>
        <v>0.34608347007891438</v>
      </c>
      <c r="AB1174" s="3">
        <f t="shared" si="397"/>
        <v>1.1726897206883735E-3</v>
      </c>
      <c r="AC1174" s="3">
        <f t="shared" si="395"/>
        <v>1.4885239639617878E-2</v>
      </c>
      <c r="AD1174" s="48"/>
      <c r="AE1174" s="46">
        <f t="shared" si="390"/>
        <v>42.092146977056416</v>
      </c>
      <c r="AF1174" s="46">
        <f t="shared" si="391"/>
        <v>-248.53980945687883</v>
      </c>
      <c r="AG1174" s="47">
        <f t="shared" si="392"/>
        <v>1939.711763021478</v>
      </c>
      <c r="AH1174" s="45" t="str">
        <f t="shared" si="396"/>
        <v>-248.53981,42.09215,01940</v>
      </c>
      <c r="AI1174" s="44">
        <f t="shared" si="398"/>
        <v>1021.3898154966278</v>
      </c>
    </row>
    <row r="1175" spans="1:35" ht="18" customHeight="1" x14ac:dyDescent="0.25">
      <c r="A1175" s="36">
        <f t="shared" si="393"/>
        <v>0.75306716435185184</v>
      </c>
      <c r="B1175" s="42">
        <f t="shared" si="378"/>
        <v>42.092146975236176</v>
      </c>
      <c r="C1175" s="43">
        <f t="shared" si="379"/>
        <v>111.46018949757122</v>
      </c>
      <c r="D1175" s="18">
        <f t="shared" si="380"/>
        <v>1.9249170874672927</v>
      </c>
      <c r="E1175" s="21" t="str">
        <f t="shared" si="381"/>
        <v>Umbra</v>
      </c>
      <c r="F1175" s="23">
        <f>IF($E1175&lt;&gt;"Umbra",fracil2($S$2,$S$3,$S$4,$A1175,$Q$2,$O$3,$Q$4,$U1175,$V1175,$W1175),0)</f>
        <v>0</v>
      </c>
      <c r="G1175" s="19">
        <f t="shared" si="382"/>
        <v>69.302019879851215</v>
      </c>
      <c r="H1175" s="19">
        <f t="shared" si="383"/>
        <v>-4.7454489033459835</v>
      </c>
      <c r="I1175" s="19">
        <f t="shared" si="384"/>
        <v>-3.5374309539510884</v>
      </c>
      <c r="J1175" s="28">
        <f t="shared" si="385"/>
        <v>4.7057209685951564E-3</v>
      </c>
      <c r="K1175" s="24">
        <f t="shared" si="386"/>
        <v>1047.9595406110491</v>
      </c>
      <c r="L1175" s="32">
        <f t="shared" si="387"/>
        <v>0.56484359093834324</v>
      </c>
      <c r="M1175" s="35">
        <f t="shared" si="388"/>
        <v>12.86793102880547</v>
      </c>
      <c r="O1175" s="29">
        <f t="shared" si="389"/>
        <v>1046.5864242101507</v>
      </c>
      <c r="T1175" s="48">
        <v>0.75306716435185184</v>
      </c>
      <c r="U1175" s="29">
        <v>-1497.0671798500089</v>
      </c>
      <c r="V1175" s="29">
        <v>4499.0317480257681</v>
      </c>
      <c r="W1175" s="29">
        <v>4254.4935156036481</v>
      </c>
      <c r="X1175" s="4">
        <v>-0.32460129827995693</v>
      </c>
      <c r="Y1175" s="4">
        <v>-0.11961582493710719</v>
      </c>
      <c r="Z1175" s="4">
        <v>-9.9459713841972188E-3</v>
      </c>
      <c r="AA1175" s="3">
        <f t="shared" si="394"/>
        <v>0.34608217343167724</v>
      </c>
      <c r="AB1175" s="3">
        <f t="shared" si="397"/>
        <v>1.1717371232272691E-3</v>
      </c>
      <c r="AC1175" s="3">
        <f t="shared" si="395"/>
        <v>1.4873784055550223E-2</v>
      </c>
      <c r="AD1175" s="48"/>
      <c r="AE1175" s="46">
        <f t="shared" si="390"/>
        <v>42.092146975236176</v>
      </c>
      <c r="AF1175" s="46">
        <f t="shared" si="391"/>
        <v>-248.53981050242879</v>
      </c>
      <c r="AG1175" s="47">
        <f t="shared" si="392"/>
        <v>1924.9170874672927</v>
      </c>
      <c r="AH1175" s="45" t="str">
        <f t="shared" si="396"/>
        <v>-248.53981,42.09215,01925</v>
      </c>
      <c r="AI1175" s="44">
        <f t="shared" si="398"/>
        <v>1021.3899104319257</v>
      </c>
    </row>
    <row r="1176" spans="1:35" ht="18" customHeight="1" x14ac:dyDescent="0.25">
      <c r="A1176" s="36">
        <f t="shared" si="393"/>
        <v>0.75307876157407405</v>
      </c>
      <c r="B1176" s="42">
        <f t="shared" si="378"/>
        <v>42.092146973408717</v>
      </c>
      <c r="C1176" s="43">
        <f t="shared" si="379"/>
        <v>111.46018960461943</v>
      </c>
      <c r="D1176" s="18">
        <f t="shared" si="380"/>
        <v>1.9100556304492784</v>
      </c>
      <c r="E1176" s="21" t="str">
        <f t="shared" si="381"/>
        <v>Umbra</v>
      </c>
      <c r="F1176" s="23">
        <f>IF($E1176&lt;&gt;"Umbra",fracil2($S$2,$S$3,$S$4,$A1176,$Q$2,$O$3,$Q$4,$U1176,$V1176,$W1176),0)</f>
        <v>0</v>
      </c>
      <c r="G1176" s="19">
        <f t="shared" si="382"/>
        <v>69.30202265277201</v>
      </c>
      <c r="H1176" s="19">
        <f t="shared" si="383"/>
        <v>-4.7462586978531851</v>
      </c>
      <c r="I1176" s="19">
        <f t="shared" si="384"/>
        <v>-3.5382407484582901</v>
      </c>
      <c r="J1176" s="28">
        <f t="shared" si="385"/>
        <v>4.7052188920014212E-3</v>
      </c>
      <c r="K1176" s="24">
        <f t="shared" si="386"/>
        <v>1047.9583230281651</v>
      </c>
      <c r="L1176" s="32">
        <f t="shared" si="387"/>
        <v>0.56485693436617868</v>
      </c>
      <c r="M1176" s="35">
        <f t="shared" si="388"/>
        <v>12.867383748099947</v>
      </c>
      <c r="O1176" s="29">
        <f t="shared" si="389"/>
        <v>1046.5864327714792</v>
      </c>
      <c r="T1176" s="48">
        <v>0.75307876157407405</v>
      </c>
      <c r="U1176" s="29">
        <v>-1497.3924323328426</v>
      </c>
      <c r="V1176" s="29">
        <v>4498.9118832974891</v>
      </c>
      <c r="W1176" s="29">
        <v>4254.4835534475415</v>
      </c>
      <c r="X1176" s="4">
        <v>-0.3245944914042298</v>
      </c>
      <c r="Y1176" s="4">
        <v>-0.11963117144617427</v>
      </c>
      <c r="Z1176" s="4">
        <v>-9.9382441699815173E-3</v>
      </c>
      <c r="AA1176" s="3">
        <f t="shared" si="394"/>
        <v>0.34608087165969853</v>
      </c>
      <c r="AB1176" s="3">
        <f t="shared" si="397"/>
        <v>1.1703378991295102E-3</v>
      </c>
      <c r="AC1176" s="3">
        <f t="shared" si="395"/>
        <v>1.4862284769444489E-2</v>
      </c>
      <c r="AD1176" s="48"/>
      <c r="AE1176" s="46">
        <f t="shared" si="390"/>
        <v>42.092146973408717</v>
      </c>
      <c r="AF1176" s="46">
        <f t="shared" si="391"/>
        <v>-248.53981039538058</v>
      </c>
      <c r="AG1176" s="47">
        <f t="shared" si="392"/>
        <v>1910.0556304492784</v>
      </c>
      <c r="AH1176" s="45" t="str">
        <f t="shared" si="396"/>
        <v>-248.53981,42.09215,01910</v>
      </c>
      <c r="AI1176" s="44">
        <f t="shared" si="398"/>
        <v>1021.3899104319257</v>
      </c>
    </row>
    <row r="1177" spans="1:35" ht="18" customHeight="1" x14ac:dyDescent="0.25">
      <c r="A1177" s="36">
        <f t="shared" si="393"/>
        <v>0.7530903356481482</v>
      </c>
      <c r="B1177" s="42">
        <f t="shared" si="378"/>
        <v>42.09214697158685</v>
      </c>
      <c r="C1177" s="43">
        <f t="shared" si="379"/>
        <v>111.46019068328343</v>
      </c>
      <c r="D1177" s="18">
        <f t="shared" si="380"/>
        <v>1.8952319010086285</v>
      </c>
      <c r="E1177" s="21" t="str">
        <f t="shared" si="381"/>
        <v>Umbra</v>
      </c>
      <c r="F1177" s="23">
        <f>IF($E1177&lt;&gt;"Umbra",fracil2($S$2,$S$3,$S$4,$A1177,$Q$2,$O$3,$Q$4,$U1177,$V1177,$W1177),0)</f>
        <v>0</v>
      </c>
      <c r="G1177" s="19">
        <f t="shared" si="382"/>
        <v>69.30202640771904</v>
      </c>
      <c r="H1177" s="19">
        <f t="shared" si="383"/>
        <v>-4.7470667887623392</v>
      </c>
      <c r="I1177" s="19">
        <f t="shared" si="384"/>
        <v>-3.5390488393674442</v>
      </c>
      <c r="J1177" s="28">
        <f t="shared" si="385"/>
        <v>4.7047182062817843E-3</v>
      </c>
      <c r="K1177" s="24">
        <f t="shared" si="386"/>
        <v>1047.9571868651472</v>
      </c>
      <c r="L1177" s="32">
        <f t="shared" si="387"/>
        <v>0.56487024909136341</v>
      </c>
      <c r="M1177" s="35">
        <f t="shared" si="388"/>
        <v>12.86683688456977</v>
      </c>
      <c r="O1177" s="29">
        <f t="shared" si="389"/>
        <v>1046.5865194540688</v>
      </c>
      <c r="T1177" s="48">
        <v>0.7530903356481482</v>
      </c>
      <c r="U1177" s="29">
        <v>-1497.7171043107321</v>
      </c>
      <c r="V1177" s="29">
        <v>4498.7922146533192</v>
      </c>
      <c r="W1177" s="29">
        <v>4254.4736165816339</v>
      </c>
      <c r="X1177" s="4">
        <v>-0.32458769388721992</v>
      </c>
      <c r="Y1177" s="4">
        <v>-0.11964649895415902</v>
      </c>
      <c r="Z1177" s="4">
        <v>-9.930538416206303E-3</v>
      </c>
      <c r="AA1177" s="3">
        <f t="shared" si="394"/>
        <v>0.34607957369403775</v>
      </c>
      <c r="AB1177" s="3">
        <f t="shared" si="397"/>
        <v>1.169417344796085E-3</v>
      </c>
      <c r="AC1177" s="3">
        <f t="shared" si="395"/>
        <v>1.4850817462961343E-2</v>
      </c>
      <c r="AD1177" s="48"/>
      <c r="AE1177" s="46">
        <f t="shared" si="390"/>
        <v>42.09214697158685</v>
      </c>
      <c r="AF1177" s="46">
        <f t="shared" si="391"/>
        <v>-248.53980931671657</v>
      </c>
      <c r="AG1177" s="47">
        <f t="shared" si="392"/>
        <v>1895.2319010086285</v>
      </c>
      <c r="AH1177" s="45" t="str">
        <f t="shared" si="396"/>
        <v>-248.53981,42.09215,01895</v>
      </c>
      <c r="AI1177" s="44">
        <f t="shared" si="398"/>
        <v>1021.3900446907107</v>
      </c>
    </row>
    <row r="1178" spans="1:35" ht="18" customHeight="1" x14ac:dyDescent="0.25">
      <c r="A1178" s="36">
        <f t="shared" si="393"/>
        <v>0.75310193287037031</v>
      </c>
      <c r="B1178" s="42">
        <f t="shared" si="378"/>
        <v>42.09214696976445</v>
      </c>
      <c r="C1178" s="43">
        <f t="shared" si="379"/>
        <v>111.46019048009627</v>
      </c>
      <c r="D1178" s="18">
        <f t="shared" si="380"/>
        <v>1.8803945997915434</v>
      </c>
      <c r="E1178" s="21" t="str">
        <f t="shared" si="381"/>
        <v>Umbra</v>
      </c>
      <c r="F1178" s="23">
        <f>IF($E1178&lt;&gt;"Umbra",fracil2($S$2,$S$3,$S$4,$A1178,$Q$2,$O$3,$Q$4,$U1178,$V1178,$W1178),0)</f>
        <v>0</v>
      </c>
      <c r="G1178" s="19">
        <f t="shared" si="382"/>
        <v>69.302028860605219</v>
      </c>
      <c r="H1178" s="19">
        <f t="shared" si="383"/>
        <v>-4.747875158986905</v>
      </c>
      <c r="I1178" s="19">
        <f t="shared" si="384"/>
        <v>-3.53985720959201</v>
      </c>
      <c r="J1178" s="28">
        <f t="shared" si="385"/>
        <v>4.7042172833866242E-3</v>
      </c>
      <c r="K1178" s="24">
        <f t="shared" si="386"/>
        <v>1047.9559467557838</v>
      </c>
      <c r="L1178" s="32">
        <f t="shared" si="387"/>
        <v>0.56488359009521416</v>
      </c>
      <c r="M1178" s="35">
        <f t="shared" si="388"/>
        <v>12.866290789545037</v>
      </c>
      <c r="O1178" s="29">
        <f t="shared" si="389"/>
        <v>1046.5865030715659</v>
      </c>
      <c r="T1178" s="48">
        <v>0.75310193287037031</v>
      </c>
      <c r="U1178" s="29">
        <v>-1498.0423190660531</v>
      </c>
      <c r="V1178" s="29">
        <v>4498.6723280631704</v>
      </c>
      <c r="W1178" s="29">
        <v>4254.4636706181827</v>
      </c>
      <c r="X1178" s="4">
        <v>-0.32458088205572799</v>
      </c>
      <c r="Y1178" s="4">
        <v>-0.11966186094911535</v>
      </c>
      <c r="Z1178" s="4">
        <v>-9.9228279002358689E-3</v>
      </c>
      <c r="AA1178" s="3">
        <f t="shared" si="394"/>
        <v>0.3460782750699869</v>
      </c>
      <c r="AB1178" s="3">
        <f t="shared" si="397"/>
        <v>1.1678000402069323E-3</v>
      </c>
      <c r="AC1178" s="3">
        <f t="shared" si="395"/>
        <v>1.4839343112872803E-2</v>
      </c>
      <c r="AD1178" s="48"/>
      <c r="AE1178" s="46">
        <f t="shared" si="390"/>
        <v>42.09214696976445</v>
      </c>
      <c r="AF1178" s="46">
        <f t="shared" si="391"/>
        <v>-248.53980951990371</v>
      </c>
      <c r="AG1178" s="47">
        <f t="shared" si="392"/>
        <v>1880.3945997915434</v>
      </c>
      <c r="AH1178" s="45" t="str">
        <f t="shared" si="396"/>
        <v>-248.53981,42.09215,01880</v>
      </c>
      <c r="AI1178" s="44">
        <f t="shared" si="398"/>
        <v>1021.3901396260087</v>
      </c>
    </row>
    <row r="1179" spans="1:35" ht="18" customHeight="1" x14ac:dyDescent="0.25">
      <c r="A1179" s="36">
        <f t="shared" si="393"/>
        <v>0.75311341435185186</v>
      </c>
      <c r="B1179" s="42">
        <f t="shared" si="378"/>
        <v>42.092146967962378</v>
      </c>
      <c r="C1179" s="43">
        <f t="shared" si="379"/>
        <v>111.46019007124848</v>
      </c>
      <c r="D1179" s="18">
        <f t="shared" si="380"/>
        <v>1.8657174562422369</v>
      </c>
      <c r="E1179" s="21" t="str">
        <f t="shared" si="381"/>
        <v>Umbra</v>
      </c>
      <c r="F1179" s="23">
        <f>IF($E1179&lt;&gt;"Umbra",fracil2($S$2,$S$3,$S$4,$A1179,$Q$2,$O$3,$Q$4,$U1179,$V1179,$W1179),0)</f>
        <v>0</v>
      </c>
      <c r="G1179" s="19">
        <f t="shared" si="382"/>
        <v>69.302031075496402</v>
      </c>
      <c r="H1179" s="19">
        <f t="shared" si="383"/>
        <v>-4.7486747304479682</v>
      </c>
      <c r="I1179" s="19">
        <f t="shared" si="384"/>
        <v>-3.5406567810530731</v>
      </c>
      <c r="J1179" s="28">
        <f t="shared" si="385"/>
        <v>4.7037220276368412E-3</v>
      </c>
      <c r="K1179" s="24">
        <f t="shared" si="386"/>
        <v>1047.9547035305427</v>
      </c>
      <c r="L1179" s="32">
        <f t="shared" si="387"/>
        <v>0.5648967968047639</v>
      </c>
      <c r="M1179" s="35">
        <f t="shared" si="388"/>
        <v>12.865750789815714</v>
      </c>
      <c r="O1179" s="29">
        <f t="shared" si="389"/>
        <v>1046.5864701537712</v>
      </c>
      <c r="T1179" s="48">
        <v>0.75311341435185186</v>
      </c>
      <c r="U1179" s="29">
        <v>-1498.3642653102304</v>
      </c>
      <c r="V1179" s="29">
        <v>4498.5536287264376</v>
      </c>
      <c r="W1179" s="29">
        <v>4254.4538320140882</v>
      </c>
      <c r="X1179" s="4">
        <v>-0.32457413536815455</v>
      </c>
      <c r="Y1179" s="4">
        <v>-0.11967707850724994</v>
      </c>
      <c r="Z1179" s="4">
        <v>-9.9152040431803642E-3</v>
      </c>
      <c r="AA1179" s="3">
        <f t="shared" si="394"/>
        <v>0.34607699106013023</v>
      </c>
      <c r="AB1179" s="3">
        <f t="shared" si="397"/>
        <v>1.1663105565204613E-3</v>
      </c>
      <c r="AC1179" s="3">
        <f t="shared" si="395"/>
        <v>1.4827997766286027E-2</v>
      </c>
      <c r="AD1179" s="48"/>
      <c r="AE1179" s="46">
        <f t="shared" si="390"/>
        <v>42.092146967962378</v>
      </c>
      <c r="AF1179" s="46">
        <f t="shared" si="391"/>
        <v>-248.53980992875154</v>
      </c>
      <c r="AG1179" s="47">
        <f t="shared" si="392"/>
        <v>1865.7174562422369</v>
      </c>
      <c r="AH1179" s="45" t="str">
        <f t="shared" si="396"/>
        <v>-248.53981,42.09215,01866</v>
      </c>
      <c r="AI1179" s="44">
        <f t="shared" si="398"/>
        <v>1021.3902345613067</v>
      </c>
    </row>
    <row r="1180" spans="1:35" ht="18" customHeight="1" x14ac:dyDescent="0.25">
      <c r="A1180" s="36">
        <f t="shared" si="393"/>
        <v>0.75312499999999993</v>
      </c>
      <c r="B1180" s="42">
        <f t="shared" si="378"/>
        <v>42.092146966145776</v>
      </c>
      <c r="C1180" s="43">
        <f t="shared" si="379"/>
        <v>111.46019107481307</v>
      </c>
      <c r="D1180" s="18">
        <f t="shared" si="380"/>
        <v>1.8509135714575677</v>
      </c>
      <c r="E1180" s="21" t="str">
        <f t="shared" si="381"/>
        <v>Umbra</v>
      </c>
      <c r="F1180" s="23">
        <f>IF($E1180&lt;&gt;"Umbra",fracil2($S$2,$S$3,$S$4,$A1180,$Q$2,$O$3,$Q$4,$U1180,$V1180,$W1180),0)</f>
        <v>0</v>
      </c>
      <c r="G1180" s="19">
        <f t="shared" si="382"/>
        <v>69.302034750479365</v>
      </c>
      <c r="H1180" s="19">
        <f t="shared" si="383"/>
        <v>-4.7494817184240645</v>
      </c>
      <c r="I1180" s="19">
        <f t="shared" si="384"/>
        <v>-3.5414637690291695</v>
      </c>
      <c r="J1180" s="28">
        <f t="shared" si="385"/>
        <v>4.7032226941745494E-3</v>
      </c>
      <c r="K1180" s="24">
        <f t="shared" si="386"/>
        <v>1047.9535635897892</v>
      </c>
      <c r="L1180" s="32">
        <f t="shared" si="387"/>
        <v>0.56491012093314941</v>
      </c>
      <c r="M1180" s="35">
        <f t="shared" si="388"/>
        <v>12.865204713638446</v>
      </c>
      <c r="O1180" s="29">
        <f t="shared" si="389"/>
        <v>1046.5865507982496</v>
      </c>
      <c r="T1180" s="48">
        <v>0.75312499999999993</v>
      </c>
      <c r="U1180" s="29">
        <v>-1498.6892356649232</v>
      </c>
      <c r="V1180" s="29">
        <v>4498.4337966056301</v>
      </c>
      <c r="W1180" s="29">
        <v>4254.443908450985</v>
      </c>
      <c r="X1180" s="4">
        <v>-0.32456732200998423</v>
      </c>
      <c r="Y1180" s="4">
        <v>-0.11969244889475393</v>
      </c>
      <c r="Z1180" s="4">
        <v>-9.9075176718489335E-3</v>
      </c>
      <c r="AA1180" s="3">
        <f t="shared" si="394"/>
        <v>0.34607569655434356</v>
      </c>
      <c r="AB1180" s="3">
        <f t="shared" si="397"/>
        <v>1.165297417563502E-3</v>
      </c>
      <c r="AC1180" s="3">
        <f t="shared" si="395"/>
        <v>1.4816559432902998E-2</v>
      </c>
      <c r="AD1180" s="48"/>
      <c r="AE1180" s="46">
        <f t="shared" si="390"/>
        <v>42.092146966145776</v>
      </c>
      <c r="AF1180" s="46">
        <f t="shared" si="391"/>
        <v>-248.53980892518695</v>
      </c>
      <c r="AG1180" s="47">
        <f t="shared" si="392"/>
        <v>1850.9135714575677</v>
      </c>
      <c r="AH1180" s="45" t="str">
        <f t="shared" si="396"/>
        <v>-248.53981,42.09215,01851</v>
      </c>
      <c r="AI1180" s="44">
        <f t="shared" si="398"/>
        <v>1021.3903294966046</v>
      </c>
    </row>
    <row r="1181" spans="1:35" ht="18" customHeight="1" x14ac:dyDescent="0.25">
      <c r="A1181" s="36">
        <f t="shared" si="393"/>
        <v>0.75313657407407408</v>
      </c>
      <c r="B1181" s="42">
        <f t="shared" si="378"/>
        <v>42.09214696433407</v>
      </c>
      <c r="C1181" s="43">
        <f t="shared" si="379"/>
        <v>111.46019027042804</v>
      </c>
      <c r="D1181" s="18">
        <f t="shared" si="380"/>
        <v>1.8361423213118542</v>
      </c>
      <c r="E1181" s="21" t="str">
        <f t="shared" si="381"/>
        <v>Umbra</v>
      </c>
      <c r="F1181" s="23">
        <f>IF($E1181&lt;&gt;"Umbra",fracil2($S$2,$S$3,$S$4,$A1181,$Q$2,$O$3,$Q$4,$U1181,$V1181,$W1181),0)</f>
        <v>0</v>
      </c>
      <c r="G1181" s="19">
        <f t="shared" si="382"/>
        <v>69.302036579727471</v>
      </c>
      <c r="H1181" s="19">
        <f t="shared" si="383"/>
        <v>-4.7502862787975815</v>
      </c>
      <c r="I1181" s="19">
        <f t="shared" si="384"/>
        <v>-3.5422683294026864</v>
      </c>
      <c r="J1181" s="28">
        <f t="shared" si="385"/>
        <v>4.7027246223651335E-3</v>
      </c>
      <c r="K1181" s="24">
        <f t="shared" si="386"/>
        <v>1047.9522812242662</v>
      </c>
      <c r="L1181" s="32">
        <f t="shared" si="387"/>
        <v>0.56492343180918836</v>
      </c>
      <c r="M1181" s="35">
        <f t="shared" si="388"/>
        <v>12.864661630002956</v>
      </c>
      <c r="O1181" s="29">
        <f t="shared" si="389"/>
        <v>1046.5864860777112</v>
      </c>
      <c r="T1181" s="48">
        <v>0.75313657407407408</v>
      </c>
      <c r="U1181" s="29">
        <v>-1499.0137341997545</v>
      </c>
      <c r="V1181" s="29">
        <v>4498.3141205974453</v>
      </c>
      <c r="W1181" s="29">
        <v>4254.4340067641006</v>
      </c>
      <c r="X1181" s="4">
        <v>-0.3245605160088314</v>
      </c>
      <c r="Y1181" s="4">
        <v>-0.11970780455437904</v>
      </c>
      <c r="Z1181" s="4">
        <v>-9.8998493691028252E-3</v>
      </c>
      <c r="AA1181" s="3">
        <f t="shared" si="394"/>
        <v>0.34607440535335643</v>
      </c>
      <c r="AB1181" s="3">
        <f t="shared" si="397"/>
        <v>1.1637162780353681E-3</v>
      </c>
      <c r="AC1181" s="3">
        <f t="shared" si="395"/>
        <v>1.4805148031080509E-2</v>
      </c>
      <c r="AD1181" s="48"/>
      <c r="AE1181" s="46">
        <f t="shared" si="390"/>
        <v>42.09214696433407</v>
      </c>
      <c r="AF1181" s="46">
        <f t="shared" si="391"/>
        <v>-248.53980972957197</v>
      </c>
      <c r="AG1181" s="47">
        <f t="shared" si="392"/>
        <v>1836.1423213118542</v>
      </c>
      <c r="AH1181" s="45" t="str">
        <f t="shared" si="396"/>
        <v>-248.53981,42.09215,01836</v>
      </c>
      <c r="AI1181" s="44">
        <f t="shared" si="398"/>
        <v>1021.3903294966046</v>
      </c>
    </row>
    <row r="1182" spans="1:35" ht="18" customHeight="1" x14ac:dyDescent="0.25">
      <c r="A1182" s="36">
        <f t="shared" si="393"/>
        <v>0.75314820601851851</v>
      </c>
      <c r="B1182" s="42">
        <f t="shared" si="378"/>
        <v>42.092146962514299</v>
      </c>
      <c r="C1182" s="43">
        <f t="shared" si="379"/>
        <v>111.46019295668529</v>
      </c>
      <c r="D1182" s="18">
        <f t="shared" si="380"/>
        <v>1.8212963870064414</v>
      </c>
      <c r="E1182" s="21" t="str">
        <f t="shared" si="381"/>
        <v>Umbra</v>
      </c>
      <c r="F1182" s="23">
        <f>IF($E1182&lt;&gt;"Umbra",fracil2($S$2,$S$3,$S$4,$A1182,$Q$2,$O$3,$Q$4,$U1182,$V1182,$W1182),0)</f>
        <v>0</v>
      </c>
      <c r="G1182" s="19">
        <f t="shared" si="382"/>
        <v>69.302041974681245</v>
      </c>
      <c r="H1182" s="19">
        <f t="shared" si="383"/>
        <v>-4.7510961675277112</v>
      </c>
      <c r="I1182" s="19">
        <f t="shared" si="384"/>
        <v>-3.5430782181328162</v>
      </c>
      <c r="J1182" s="28">
        <f t="shared" si="385"/>
        <v>4.7022241500926367E-3</v>
      </c>
      <c r="K1182" s="24">
        <f t="shared" si="386"/>
        <v>1047.9512734868592</v>
      </c>
      <c r="L1182" s="32">
        <f t="shared" si="387"/>
        <v>0.56493680523887868</v>
      </c>
      <c r="M1182" s="35">
        <f t="shared" si="388"/>
        <v>12.864112321195652</v>
      </c>
      <c r="O1182" s="29">
        <f t="shared" si="389"/>
        <v>1046.5867020161907</v>
      </c>
      <c r="T1182" s="48">
        <v>0.75314820601851851</v>
      </c>
      <c r="U1182" s="29">
        <v>-1499.3401198375416</v>
      </c>
      <c r="V1182" s="29">
        <v>4498.1937305953952</v>
      </c>
      <c r="W1182" s="29">
        <v>4254.4240550138938</v>
      </c>
      <c r="X1182" s="4">
        <v>-0.32455366717360973</v>
      </c>
      <c r="Y1182" s="4">
        <v>-0.11972325925335538</v>
      </c>
      <c r="Z1182" s="4">
        <v>-9.892145426618185E-3</v>
      </c>
      <c r="AA1182" s="3">
        <f t="shared" si="394"/>
        <v>0.34607310820580345</v>
      </c>
      <c r="AB1182" s="3">
        <f t="shared" si="397"/>
        <v>1.163303891211388E-3</v>
      </c>
      <c r="AC1182" s="3">
        <f t="shared" si="395"/>
        <v>1.4793683636333524E-2</v>
      </c>
      <c r="AD1182" s="48"/>
      <c r="AE1182" s="46">
        <f t="shared" si="390"/>
        <v>42.092146962514299</v>
      </c>
      <c r="AF1182" s="46">
        <f t="shared" si="391"/>
        <v>-248.53980704331471</v>
      </c>
      <c r="AG1182" s="47">
        <f t="shared" si="392"/>
        <v>1821.2963870064414</v>
      </c>
      <c r="AH1182" s="45" t="str">
        <f t="shared" si="396"/>
        <v>-248.53981,42.09215,01821</v>
      </c>
      <c r="AI1182" s="44">
        <f t="shared" si="398"/>
        <v>1021.3905620396432</v>
      </c>
    </row>
    <row r="1183" spans="1:35" ht="18" customHeight="1" x14ac:dyDescent="0.25">
      <c r="A1183" s="36">
        <f t="shared" si="393"/>
        <v>0.75315980324074072</v>
      </c>
      <c r="B1183" s="42">
        <f t="shared" si="378"/>
        <v>42.092146960703424</v>
      </c>
      <c r="C1183" s="43">
        <f t="shared" si="379"/>
        <v>111.46019311813092</v>
      </c>
      <c r="D1183" s="18">
        <f t="shared" si="380"/>
        <v>1.8065151503888046</v>
      </c>
      <c r="E1183" s="21" t="str">
        <f t="shared" si="381"/>
        <v>Umbra</v>
      </c>
      <c r="F1183" s="23">
        <f>IF($E1183&lt;&gt;"Umbra",fracil2($S$2,$S$3,$S$4,$A1183,$Q$2,$O$3,$Q$4,$U1183,$V1183,$W1183),0)</f>
        <v>0</v>
      </c>
      <c r="G1183" s="19">
        <f t="shared" si="382"/>
        <v>69.302044788625878</v>
      </c>
      <c r="H1183" s="19">
        <f t="shared" si="383"/>
        <v>-4.7519016235205278</v>
      </c>
      <c r="I1183" s="19">
        <f t="shared" si="384"/>
        <v>-3.5438836741256328</v>
      </c>
      <c r="J1183" s="28">
        <f t="shared" si="385"/>
        <v>4.7017261547674053E-3</v>
      </c>
      <c r="K1183" s="24">
        <f t="shared" si="386"/>
        <v>1047.9500683460528</v>
      </c>
      <c r="L1183" s="32">
        <f t="shared" si="387"/>
        <v>0.56495013934596594</v>
      </c>
      <c r="M1183" s="35">
        <f t="shared" si="388"/>
        <v>12.863567897920074</v>
      </c>
      <c r="O1183" s="29">
        <f t="shared" si="389"/>
        <v>1046.5867149516589</v>
      </c>
      <c r="T1183" s="48">
        <v>0.75315980324074072</v>
      </c>
      <c r="U1183" s="29">
        <v>-1499.6653288367643</v>
      </c>
      <c r="V1183" s="29">
        <v>4498.0737566160087</v>
      </c>
      <c r="W1183" s="29">
        <v>4254.4141466328956</v>
      </c>
      <c r="X1183" s="4">
        <v>-0.32454683989218702</v>
      </c>
      <c r="Y1183" s="4">
        <v>-0.11973866761456245</v>
      </c>
      <c r="Z1183" s="4">
        <v>-9.8844778687215522E-3</v>
      </c>
      <c r="AA1183" s="3">
        <f t="shared" si="394"/>
        <v>0.34607181727042263</v>
      </c>
      <c r="AB1183" s="3">
        <f t="shared" si="397"/>
        <v>1.1612718589099941E-3</v>
      </c>
      <c r="AC1183" s="3">
        <f t="shared" si="395"/>
        <v>1.4782273429621363E-2</v>
      </c>
      <c r="AD1183" s="48"/>
      <c r="AE1183" s="46">
        <f t="shared" si="390"/>
        <v>42.092146960703424</v>
      </c>
      <c r="AF1183" s="46">
        <f t="shared" si="391"/>
        <v>-248.53980688186908</v>
      </c>
      <c r="AG1183" s="47">
        <f t="shared" si="392"/>
        <v>1806.5151503888046</v>
      </c>
      <c r="AH1183" s="45" t="str">
        <f t="shared" si="396"/>
        <v>-248.53981,42.09215,01807</v>
      </c>
      <c r="AI1183" s="44">
        <f t="shared" si="398"/>
        <v>1021.3905620396432</v>
      </c>
    </row>
    <row r="1184" spans="1:35" ht="18" customHeight="1" x14ac:dyDescent="0.25">
      <c r="A1184" s="36">
        <f t="shared" si="393"/>
        <v>0.7531713541666667</v>
      </c>
      <c r="B1184" s="42">
        <f t="shared" si="378"/>
        <v>42.092146958902632</v>
      </c>
      <c r="C1184" s="43">
        <f t="shared" si="379"/>
        <v>111.46019191252711</v>
      </c>
      <c r="D1184" s="18">
        <f t="shared" si="380"/>
        <v>1.7918091250166981</v>
      </c>
      <c r="E1184" s="21" t="str">
        <f t="shared" si="381"/>
        <v>Umbra</v>
      </c>
      <c r="F1184" s="23">
        <f>IF($E1184&lt;&gt;"Umbra",fracil2($S$2,$S$3,$S$4,$A1184,$Q$2,$O$3,$Q$4,$U1184,$V1184,$W1184),0)</f>
        <v>0</v>
      </c>
      <c r="G1184" s="19">
        <f t="shared" si="382"/>
        <v>69.302046197895024</v>
      </c>
      <c r="H1184" s="19">
        <f t="shared" si="383"/>
        <v>-4.7527024911352562</v>
      </c>
      <c r="I1184" s="19">
        <f t="shared" si="384"/>
        <v>-3.5446845417403612</v>
      </c>
      <c r="J1184" s="28">
        <f t="shared" si="385"/>
        <v>4.7012309672299591E-3</v>
      </c>
      <c r="K1184" s="24">
        <f t="shared" si="386"/>
        <v>1047.9487597262676</v>
      </c>
      <c r="L1184" s="32">
        <f t="shared" si="387"/>
        <v>0.56496341995535826</v>
      </c>
      <c r="M1184" s="35">
        <f t="shared" si="388"/>
        <v>12.863027596523828</v>
      </c>
      <c r="O1184" s="29">
        <f t="shared" si="389"/>
        <v>1046.5866179720745</v>
      </c>
      <c r="T1184" s="48">
        <v>0.7531713541666667</v>
      </c>
      <c r="U1184" s="29">
        <v>-1499.9891266613261</v>
      </c>
      <c r="V1184" s="29">
        <v>4497.9542853852072</v>
      </c>
      <c r="W1184" s="29">
        <v>4254.4042886687066</v>
      </c>
      <c r="X1184" s="4">
        <v>-0.32454003903088563</v>
      </c>
      <c r="Y1184" s="4">
        <v>-0.11975401868976765</v>
      </c>
      <c r="Z1184" s="4">
        <v>-9.8768523855917861E-3</v>
      </c>
      <c r="AA1184" s="3">
        <f t="shared" si="394"/>
        <v>0.3460705334748464</v>
      </c>
      <c r="AB1184" s="3">
        <f t="shared" si="397"/>
        <v>1.1595239827427617E-3</v>
      </c>
      <c r="AC1184" s="3">
        <f t="shared" si="395"/>
        <v>1.477092587803089E-2</v>
      </c>
      <c r="AD1184" s="48"/>
      <c r="AE1184" s="46">
        <f t="shared" si="390"/>
        <v>42.092146958902632</v>
      </c>
      <c r="AF1184" s="46">
        <f t="shared" si="391"/>
        <v>-248.53980808747289</v>
      </c>
      <c r="AG1184" s="47">
        <f t="shared" si="392"/>
        <v>1791.8091250166981</v>
      </c>
      <c r="AH1184" s="45" t="str">
        <f t="shared" si="396"/>
        <v>-248.53981,42.09215,01792</v>
      </c>
      <c r="AI1184" s="44">
        <f t="shared" si="398"/>
        <v>1021.3905620396432</v>
      </c>
    </row>
    <row r="1185" spans="1:35" ht="18" customHeight="1" x14ac:dyDescent="0.25">
      <c r="A1185" s="36">
        <f t="shared" si="393"/>
        <v>0.75318285879629621</v>
      </c>
      <c r="B1185" s="42">
        <f t="shared" si="378"/>
        <v>42.092146957111204</v>
      </c>
      <c r="C1185" s="43">
        <f t="shared" si="379"/>
        <v>111.46019076635825</v>
      </c>
      <c r="D1185" s="18">
        <f t="shared" si="380"/>
        <v>1.7771731243328759</v>
      </c>
      <c r="E1185" s="21" t="str">
        <f t="shared" si="381"/>
        <v>Umbra</v>
      </c>
      <c r="F1185" s="23">
        <f>IF($E1185&lt;&gt;"Umbra",fracil2($S$2,$S$3,$S$4,$A1185,$Q$2,$O$3,$Q$4,$U1185,$V1185,$W1185),0)</f>
        <v>0</v>
      </c>
      <c r="G1185" s="19">
        <f t="shared" si="382"/>
        <v>69.302047655104104</v>
      </c>
      <c r="H1185" s="19">
        <f t="shared" si="383"/>
        <v>-4.7534995666266076</v>
      </c>
      <c r="I1185" s="19">
        <f t="shared" si="384"/>
        <v>-3.5454816172317125</v>
      </c>
      <c r="J1185" s="28">
        <f t="shared" si="385"/>
        <v>4.7007383401728485E-3</v>
      </c>
      <c r="K1185" s="24">
        <f t="shared" si="386"/>
        <v>1047.9474618573047</v>
      </c>
      <c r="L1185" s="32">
        <f t="shared" si="387"/>
        <v>0.56497664599335684</v>
      </c>
      <c r="M1185" s="35">
        <f t="shared" si="388"/>
        <v>12.862489808432343</v>
      </c>
      <c r="O1185" s="29">
        <f t="shared" si="389"/>
        <v>1046.5865257714863</v>
      </c>
      <c r="T1185" s="48">
        <v>0.75318285879629621</v>
      </c>
      <c r="U1185" s="29">
        <v>-1500.3116241982862</v>
      </c>
      <c r="V1185" s="29">
        <v>4497.8352762023978</v>
      </c>
      <c r="W1185" s="29">
        <v>4254.3944776445842</v>
      </c>
      <c r="X1185" s="4">
        <v>-0.3245332624186803</v>
      </c>
      <c r="Y1185" s="4">
        <v>-0.11976931725337372</v>
      </c>
      <c r="Z1185" s="4">
        <v>-9.8692659106886134E-3</v>
      </c>
      <c r="AA1185" s="3">
        <f t="shared" si="394"/>
        <v>0.34606925633616631</v>
      </c>
      <c r="AB1185" s="3">
        <f t="shared" si="397"/>
        <v>1.1582302718519486E-3</v>
      </c>
      <c r="AC1185" s="3">
        <f t="shared" si="395"/>
        <v>1.4759636417621501E-2</v>
      </c>
      <c r="AD1185" s="48"/>
      <c r="AE1185" s="46">
        <f t="shared" si="390"/>
        <v>42.092146957111204</v>
      </c>
      <c r="AF1185" s="46">
        <f t="shared" si="391"/>
        <v>-248.53980923364173</v>
      </c>
      <c r="AG1185" s="47">
        <f t="shared" si="392"/>
        <v>1777.1731243328759</v>
      </c>
      <c r="AH1185" s="45" t="str">
        <f t="shared" si="396"/>
        <v>-248.53981,42.09215,01777</v>
      </c>
      <c r="AI1185" s="44">
        <f t="shared" si="398"/>
        <v>1021.3905620396432</v>
      </c>
    </row>
    <row r="1186" spans="1:35" ht="18" customHeight="1" x14ac:dyDescent="0.25">
      <c r="A1186" s="36">
        <f t="shared" si="393"/>
        <v>0.75319449074074074</v>
      </c>
      <c r="B1186" s="42">
        <f t="shared" si="378"/>
        <v>42.092146955301743</v>
      </c>
      <c r="C1186" s="43">
        <f t="shared" si="379"/>
        <v>111.46019124848459</v>
      </c>
      <c r="D1186" s="18">
        <f t="shared" si="380"/>
        <v>1.7623808048565479</v>
      </c>
      <c r="E1186" s="21" t="str">
        <f t="shared" si="381"/>
        <v>Umbra</v>
      </c>
      <c r="F1186" s="23">
        <f>IF($E1186&lt;&gt;"Umbra",fracil2($S$2,$S$3,$S$4,$A1186,$Q$2,$O$3,$Q$4,$U1186,$V1186,$W1186),0)</f>
        <v>0</v>
      </c>
      <c r="G1186" s="19">
        <f t="shared" si="382"/>
        <v>69.302050797402103</v>
      </c>
      <c r="H1186" s="19">
        <f t="shared" si="383"/>
        <v>-4.7543057476003554</v>
      </c>
      <c r="I1186" s="19">
        <f t="shared" si="384"/>
        <v>-3.5462877982054604</v>
      </c>
      <c r="J1186" s="28">
        <f t="shared" si="385"/>
        <v>4.700240617627801E-3</v>
      </c>
      <c r="K1186" s="24">
        <f t="shared" si="386"/>
        <v>1047.9462821981285</v>
      </c>
      <c r="L1186" s="32">
        <f t="shared" si="387"/>
        <v>0.56499001582002173</v>
      </c>
      <c r="M1186" s="35">
        <f t="shared" si="388"/>
        <v>12.861944640259154</v>
      </c>
      <c r="O1186" s="29">
        <f t="shared" si="389"/>
        <v>1046.5865644907833</v>
      </c>
      <c r="T1186" s="48">
        <v>0.75319449074074074</v>
      </c>
      <c r="U1186" s="29">
        <v>-1500.6378112375819</v>
      </c>
      <c r="V1186" s="29">
        <v>4497.7148875087132</v>
      </c>
      <c r="W1186" s="29">
        <v>4254.3845618345877</v>
      </c>
      <c r="X1186" s="4">
        <v>-0.32452640510430225</v>
      </c>
      <c r="Y1186" s="4">
        <v>-0.11978480030428876</v>
      </c>
      <c r="Z1186" s="4">
        <v>-9.8616013408714016E-3</v>
      </c>
      <c r="AA1186" s="3">
        <f t="shared" si="394"/>
        <v>0.34606796612062535</v>
      </c>
      <c r="AB1186" s="3">
        <f t="shared" si="397"/>
        <v>1.1573410120159896E-3</v>
      </c>
      <c r="AC1186" s="3">
        <f t="shared" si="395"/>
        <v>1.4748230787227765E-2</v>
      </c>
      <c r="AD1186" s="48"/>
      <c r="AE1186" s="46">
        <f t="shared" si="390"/>
        <v>42.092146955301743</v>
      </c>
      <c r="AF1186" s="46">
        <f t="shared" si="391"/>
        <v>-248.53980875151541</v>
      </c>
      <c r="AG1186" s="47">
        <f t="shared" si="392"/>
        <v>1762.3808048565479</v>
      </c>
      <c r="AH1186" s="45" t="str">
        <f t="shared" si="396"/>
        <v>-248.53981,42.09215,01762</v>
      </c>
      <c r="AI1186" s="44">
        <f t="shared" si="398"/>
        <v>1021.3905620396432</v>
      </c>
    </row>
    <row r="1187" spans="1:35" ht="18" customHeight="1" x14ac:dyDescent="0.25">
      <c r="A1187" s="36">
        <f t="shared" si="393"/>
        <v>0.75320608796296307</v>
      </c>
      <c r="B1187" s="42">
        <f t="shared" si="378"/>
        <v>42.092146953500773</v>
      </c>
      <c r="C1187" s="43">
        <f t="shared" si="379"/>
        <v>111.46018985787902</v>
      </c>
      <c r="D1187" s="18">
        <f t="shared" si="380"/>
        <v>1.7476506597549815</v>
      </c>
      <c r="E1187" s="21" t="str">
        <f t="shared" si="381"/>
        <v>Umbra</v>
      </c>
      <c r="F1187" s="23">
        <f>IF($E1187&lt;&gt;"Umbra",fracil2($S$2,$S$3,$S$4,$A1187,$Q$2,$O$3,$Q$4,$U1187,$V1187,$W1187),0)</f>
        <v>0</v>
      </c>
      <c r="G1187" s="19">
        <f t="shared" si="382"/>
        <v>69.302052022745414</v>
      </c>
      <c r="H1187" s="19">
        <f t="shared" si="383"/>
        <v>-4.755107868797781</v>
      </c>
      <c r="I1187" s="19">
        <f t="shared" si="384"/>
        <v>-3.547089919402886</v>
      </c>
      <c r="J1187" s="28">
        <f t="shared" si="385"/>
        <v>4.6997452439638144E-3</v>
      </c>
      <c r="K1187" s="24">
        <f t="shared" si="386"/>
        <v>1047.9449573375925</v>
      </c>
      <c r="L1187" s="32">
        <f t="shared" si="387"/>
        <v>0.56500334585237832</v>
      </c>
      <c r="M1187" s="35">
        <f t="shared" si="388"/>
        <v>12.861403616282585</v>
      </c>
      <c r="O1187" s="29">
        <f t="shared" si="389"/>
        <v>1046.5864526364326</v>
      </c>
      <c r="T1187" s="48">
        <v>0.75320608796296307</v>
      </c>
      <c r="U1187" s="29">
        <v>-1500.9628723795281</v>
      </c>
      <c r="V1187" s="29">
        <v>4497.5948963420542</v>
      </c>
      <c r="W1187" s="29">
        <v>4254.3746877023286</v>
      </c>
      <c r="X1187" s="4">
        <v>-0.32451956841584212</v>
      </c>
      <c r="Y1187" s="4">
        <v>-0.11980023897436483</v>
      </c>
      <c r="Z1187" s="4">
        <v>-9.8539715402008975E-3</v>
      </c>
      <c r="AA1187" s="3">
        <f t="shared" si="394"/>
        <v>0.34606668186670969</v>
      </c>
      <c r="AB1187" s="3">
        <f t="shared" si="397"/>
        <v>1.1555358729535034E-3</v>
      </c>
      <c r="AC1187" s="3">
        <f t="shared" si="395"/>
        <v>1.4736876940087941E-2</v>
      </c>
      <c r="AD1187" s="48"/>
      <c r="AE1187" s="46">
        <f t="shared" si="390"/>
        <v>42.092146953500773</v>
      </c>
      <c r="AF1187" s="46">
        <f t="shared" si="391"/>
        <v>-248.53981014212098</v>
      </c>
      <c r="AG1187" s="47">
        <f t="shared" si="392"/>
        <v>1747.6506597549815</v>
      </c>
      <c r="AH1187" s="45" t="str">
        <f t="shared" si="396"/>
        <v>-248.53981,42.09215,01748</v>
      </c>
      <c r="AI1187" s="44">
        <f t="shared" si="398"/>
        <v>1021.3906962984282</v>
      </c>
    </row>
    <row r="1188" spans="1:35" ht="18" customHeight="1" x14ac:dyDescent="0.25">
      <c r="A1188" s="36">
        <f t="shared" si="393"/>
        <v>0.75321763888888882</v>
      </c>
      <c r="B1188" s="42">
        <f t="shared" si="378"/>
        <v>42.092146951708685</v>
      </c>
      <c r="C1188" s="43">
        <f t="shared" si="379"/>
        <v>111.46018984321167</v>
      </c>
      <c r="D1188" s="18">
        <f t="shared" si="380"/>
        <v>1.7329858266593874</v>
      </c>
      <c r="E1188" s="21" t="str">
        <f t="shared" si="381"/>
        <v>Umbra</v>
      </c>
      <c r="F1188" s="23">
        <f>IF($E1188&lt;&gt;"Umbra",fracil2($S$2,$S$3,$S$4,$A1188,$Q$2,$O$3,$Q$4,$U1188,$V1188,$W1188),0)</f>
        <v>0</v>
      </c>
      <c r="G1188" s="19">
        <f t="shared" si="382"/>
        <v>69.302054636634026</v>
      </c>
      <c r="H1188" s="19">
        <f t="shared" si="383"/>
        <v>-4.7559069282440731</v>
      </c>
      <c r="I1188" s="19">
        <f t="shared" si="384"/>
        <v>-3.5478889788491781</v>
      </c>
      <c r="J1188" s="28">
        <f t="shared" si="385"/>
        <v>4.6992521839582056E-3</v>
      </c>
      <c r="K1188" s="24">
        <f t="shared" si="386"/>
        <v>1047.943748656897</v>
      </c>
      <c r="L1188" s="32">
        <f t="shared" si="387"/>
        <v>0.56501662031289002</v>
      </c>
      <c r="M1188" s="35">
        <f t="shared" si="388"/>
        <v>12.860863624076252</v>
      </c>
      <c r="O1188" s="29">
        <f t="shared" si="389"/>
        <v>1046.5864514123102</v>
      </c>
      <c r="T1188" s="48">
        <v>0.75321763888888882</v>
      </c>
      <c r="U1188" s="29">
        <v>-1501.2867355052927</v>
      </c>
      <c r="V1188" s="29">
        <v>4497.4753295063647</v>
      </c>
      <c r="W1188" s="29">
        <v>4254.36485735107</v>
      </c>
      <c r="X1188" s="4">
        <v>-0.32451275406831287</v>
      </c>
      <c r="Y1188" s="4">
        <v>-0.11981562923585429</v>
      </c>
      <c r="Z1188" s="4">
        <v>-9.8463776316082725E-3</v>
      </c>
      <c r="AA1188" s="3">
        <f t="shared" si="394"/>
        <v>0.34606540381068035</v>
      </c>
      <c r="AB1188" s="3">
        <f t="shared" si="397"/>
        <v>1.1547052263269999E-3</v>
      </c>
      <c r="AC1188" s="3">
        <f t="shared" si="395"/>
        <v>1.4725576546717647E-2</v>
      </c>
      <c r="AD1188" s="48"/>
      <c r="AE1188" s="46">
        <f t="shared" si="390"/>
        <v>42.092146951708685</v>
      </c>
      <c r="AF1188" s="46">
        <f t="shared" si="391"/>
        <v>-248.53981015678835</v>
      </c>
      <c r="AG1188" s="47">
        <f t="shared" si="392"/>
        <v>1732.9858266593874</v>
      </c>
      <c r="AH1188" s="45" t="str">
        <f t="shared" si="396"/>
        <v>-248.53981,42.09215,01733</v>
      </c>
      <c r="AI1188" s="44">
        <f t="shared" si="398"/>
        <v>1021.3906962984282</v>
      </c>
    </row>
    <row r="1189" spans="1:35" ht="18" customHeight="1" x14ac:dyDescent="0.25">
      <c r="A1189" s="36">
        <f t="shared" si="393"/>
        <v>0.75322917824074065</v>
      </c>
      <c r="B1189" s="42">
        <f t="shared" si="378"/>
        <v>42.092146949920611</v>
      </c>
      <c r="C1189" s="43">
        <f t="shared" si="379"/>
        <v>111.46019038130498</v>
      </c>
      <c r="D1189" s="18">
        <f t="shared" si="380"/>
        <v>1.7183450283719139</v>
      </c>
      <c r="E1189" s="21" t="str">
        <f t="shared" si="381"/>
        <v>Umbra</v>
      </c>
      <c r="F1189" s="23">
        <f>IF($E1189&lt;&gt;"Umbra",fracil2($S$2,$S$3,$S$4,$A1189,$Q$2,$O$3,$Q$4,$U1189,$V1189,$W1189),0)</f>
        <v>0</v>
      </c>
      <c r="G1189" s="19">
        <f t="shared" si="382"/>
        <v>69.302057808745673</v>
      </c>
      <c r="H1189" s="19">
        <f t="shared" si="383"/>
        <v>-4.7567048787229318</v>
      </c>
      <c r="I1189" s="19">
        <f t="shared" si="384"/>
        <v>-3.5486869293280368</v>
      </c>
      <c r="J1189" s="28">
        <f t="shared" si="385"/>
        <v>4.6987600105502471E-3</v>
      </c>
      <c r="K1189" s="24">
        <f t="shared" si="386"/>
        <v>1047.9425865888991</v>
      </c>
      <c r="L1189" s="32">
        <f t="shared" si="387"/>
        <v>0.56502987974614061</v>
      </c>
      <c r="M1189" s="35">
        <f t="shared" si="388"/>
        <v>12.860323961761793</v>
      </c>
      <c r="O1189" s="29">
        <f t="shared" si="389"/>
        <v>1046.5864946320694</v>
      </c>
      <c r="T1189" s="48">
        <v>0.75322917824074065</v>
      </c>
      <c r="U1189" s="29">
        <v>-1501.6103102617208</v>
      </c>
      <c r="V1189" s="29">
        <v>4497.3558512821228</v>
      </c>
      <c r="W1189" s="29">
        <v>4254.3550431112735</v>
      </c>
      <c r="X1189" s="4">
        <v>-0.32450594328710508</v>
      </c>
      <c r="Y1189" s="4">
        <v>-0.11983101321369513</v>
      </c>
      <c r="Z1189" s="4">
        <v>-9.8387972387199239E-3</v>
      </c>
      <c r="AA1189" s="3">
        <f t="shared" si="394"/>
        <v>0.34606412828777744</v>
      </c>
      <c r="AB1189" s="3">
        <f t="shared" si="397"/>
        <v>1.1538018003190988E-3</v>
      </c>
      <c r="AC1189" s="3">
        <f t="shared" si="395"/>
        <v>1.4714296308805101E-2</v>
      </c>
      <c r="AD1189" s="48"/>
      <c r="AE1189" s="46">
        <f t="shared" si="390"/>
        <v>42.092146949920611</v>
      </c>
      <c r="AF1189" s="46">
        <f t="shared" si="391"/>
        <v>-248.53980961869502</v>
      </c>
      <c r="AG1189" s="47">
        <f t="shared" si="392"/>
        <v>1718.3450283719139</v>
      </c>
      <c r="AH1189" s="45" t="str">
        <f t="shared" si="396"/>
        <v>-248.53981,42.09215,01718</v>
      </c>
      <c r="AI1189" s="44">
        <f t="shared" si="398"/>
        <v>1021.3906962984282</v>
      </c>
    </row>
    <row r="1190" spans="1:35" ht="18" customHeight="1" x14ac:dyDescent="0.25">
      <c r="A1190" s="36">
        <f t="shared" si="393"/>
        <v>0.75324081018518518</v>
      </c>
      <c r="B1190" s="42">
        <f t="shared" si="378"/>
        <v>42.09214694812038</v>
      </c>
      <c r="C1190" s="43">
        <f t="shared" si="379"/>
        <v>111.46019063918125</v>
      </c>
      <c r="D1190" s="18">
        <f t="shared" si="380"/>
        <v>1.7035991541124531</v>
      </c>
      <c r="E1190" s="21" t="str">
        <f t="shared" si="381"/>
        <v>Umbra</v>
      </c>
      <c r="F1190" s="23">
        <f>IF($E1190&lt;&gt;"Umbra",fracil2($S$2,$S$3,$S$4,$A1190,$Q$2,$O$3,$Q$4,$U1190,$V1190,$W1190),0)</f>
        <v>0</v>
      </c>
      <c r="G1190" s="19">
        <f t="shared" si="382"/>
        <v>69.302060714533653</v>
      </c>
      <c r="H1190" s="19">
        <f t="shared" si="383"/>
        <v>-4.7575084556650769</v>
      </c>
      <c r="I1190" s="19">
        <f t="shared" si="384"/>
        <v>-3.5494905062701818</v>
      </c>
      <c r="J1190" s="28">
        <f t="shared" si="385"/>
        <v>4.6982646079713518E-3</v>
      </c>
      <c r="K1190" s="24">
        <f t="shared" si="386"/>
        <v>1047.9413935521482</v>
      </c>
      <c r="L1190" s="32">
        <f t="shared" si="387"/>
        <v>0.56504324447663601</v>
      </c>
      <c r="M1190" s="35">
        <f t="shared" si="388"/>
        <v>12.859780702577094</v>
      </c>
      <c r="O1190" s="29">
        <f t="shared" si="389"/>
        <v>1046.5865153211455</v>
      </c>
      <c r="T1190" s="48">
        <v>0.75324081018518518</v>
      </c>
      <c r="U1190" s="29">
        <v>-1501.9364524356865</v>
      </c>
      <c r="V1190" s="29">
        <v>4497.2354069862367</v>
      </c>
      <c r="W1190" s="29">
        <v>4254.3451584354316</v>
      </c>
      <c r="X1190" s="4">
        <v>-0.32449907489665275</v>
      </c>
      <c r="Y1190" s="4">
        <v>-0.11984652986768211</v>
      </c>
      <c r="Z1190" s="4">
        <v>-9.83116648887623E-3</v>
      </c>
      <c r="AA1190" s="3">
        <f t="shared" si="394"/>
        <v>0.34606284424167916</v>
      </c>
      <c r="AB1190" s="3">
        <f t="shared" si="397"/>
        <v>1.1522166551127364E-3</v>
      </c>
      <c r="AC1190" s="3">
        <f t="shared" si="395"/>
        <v>1.4702941179102378E-2</v>
      </c>
      <c r="AD1190" s="48"/>
      <c r="AE1190" s="46">
        <f t="shared" si="390"/>
        <v>42.09214694812038</v>
      </c>
      <c r="AF1190" s="46">
        <f t="shared" si="391"/>
        <v>-248.53980936081877</v>
      </c>
      <c r="AG1190" s="47">
        <f t="shared" si="392"/>
        <v>1703.5991541124531</v>
      </c>
      <c r="AH1190" s="45" t="str">
        <f t="shared" si="396"/>
        <v>-248.53981,42.09215,01704</v>
      </c>
      <c r="AI1190" s="44">
        <f t="shared" si="398"/>
        <v>1021.3906962984282</v>
      </c>
    </row>
    <row r="1191" spans="1:35" ht="18" customHeight="1" x14ac:dyDescent="0.25">
      <c r="A1191" s="36">
        <f t="shared" si="393"/>
        <v>0.75325230324074077</v>
      </c>
      <c r="B1191" s="42">
        <f t="shared" si="378"/>
        <v>42.092146946343718</v>
      </c>
      <c r="C1191" s="43">
        <f t="shared" si="379"/>
        <v>111.46019173023542</v>
      </c>
      <c r="D1191" s="18">
        <f t="shared" si="380"/>
        <v>1.6890376481951535</v>
      </c>
      <c r="E1191" s="21" t="str">
        <f t="shared" si="381"/>
        <v>Umbra</v>
      </c>
      <c r="F1191" s="23">
        <f>IF($E1191&lt;&gt;"Umbra",fracil2($S$2,$S$3,$S$4,$A1191,$Q$2,$O$3,$Q$4,$U1191,$V1191,$W1191),0)</f>
        <v>0</v>
      </c>
      <c r="G1191" s="19">
        <f t="shared" si="382"/>
        <v>69.30206443517379</v>
      </c>
      <c r="H1191" s="19">
        <f t="shared" si="383"/>
        <v>-4.7583022879730628</v>
      </c>
      <c r="I1191" s="19">
        <f t="shared" si="384"/>
        <v>-3.5502843385781677</v>
      </c>
      <c r="J1191" s="28">
        <f t="shared" si="385"/>
        <v>4.6977755051550562E-3</v>
      </c>
      <c r="K1191" s="24">
        <f t="shared" si="386"/>
        <v>1047.9402828631776</v>
      </c>
      <c r="L1191" s="32">
        <f t="shared" si="387"/>
        <v>0.56505644768945817</v>
      </c>
      <c r="M1191" s="35">
        <f t="shared" si="388"/>
        <v>12.859243398951934</v>
      </c>
      <c r="O1191" s="29">
        <f t="shared" si="389"/>
        <v>1046.5866030010809</v>
      </c>
      <c r="T1191" s="48">
        <v>0.75325230324074077</v>
      </c>
      <c r="U1191" s="29">
        <v>-1502.2587585453225</v>
      </c>
      <c r="V1191" s="29">
        <v>4497.1163615186888</v>
      </c>
      <c r="W1191" s="29">
        <v>4254.3353973482317</v>
      </c>
      <c r="X1191" s="4">
        <v>-0.32449228460181873</v>
      </c>
      <c r="Y1191" s="4">
        <v>-0.11986187198518984</v>
      </c>
      <c r="Z1191" s="4">
        <v>-9.8236327704449861E-3</v>
      </c>
      <c r="AA1191" s="3">
        <f t="shared" si="394"/>
        <v>0.34606157672112392</v>
      </c>
      <c r="AB1191" s="3">
        <f t="shared" si="397"/>
        <v>1.1513078631820502E-3</v>
      </c>
      <c r="AC1191" s="3">
        <f t="shared" si="395"/>
        <v>1.4691730482270326E-2</v>
      </c>
      <c r="AD1191" s="48"/>
      <c r="AE1191" s="46">
        <f t="shared" si="390"/>
        <v>42.092146946343718</v>
      </c>
      <c r="AF1191" s="46">
        <f t="shared" si="391"/>
        <v>-248.53980826976459</v>
      </c>
      <c r="AG1191" s="47">
        <f t="shared" si="392"/>
        <v>1689.0376481951535</v>
      </c>
      <c r="AH1191" s="45" t="str">
        <f t="shared" si="396"/>
        <v>-248.53981,42.09215,01689</v>
      </c>
      <c r="AI1191" s="44">
        <f t="shared" si="398"/>
        <v>1021.3908305572132</v>
      </c>
    </row>
    <row r="1192" spans="1:35" ht="18" customHeight="1" x14ac:dyDescent="0.25">
      <c r="A1192" s="36">
        <f t="shared" si="393"/>
        <v>0.75326391203703702</v>
      </c>
      <c r="B1192" s="42">
        <f t="shared" si="378"/>
        <v>42.092146944551899</v>
      </c>
      <c r="C1192" s="43">
        <f t="shared" si="379"/>
        <v>111.460191587748</v>
      </c>
      <c r="D1192" s="18">
        <f t="shared" si="380"/>
        <v>1.6743451889224161</v>
      </c>
      <c r="E1192" s="21" t="str">
        <f t="shared" si="381"/>
        <v>Umbra</v>
      </c>
      <c r="F1192" s="23">
        <f>IF($E1192&lt;&gt;"Umbra",fracil2($S$2,$S$3,$S$4,$A1192,$Q$2,$O$3,$Q$4,$U1192,$V1192,$W1192),0)</f>
        <v>0</v>
      </c>
      <c r="G1192" s="19">
        <f t="shared" si="382"/>
        <v>69.302066923963096</v>
      </c>
      <c r="H1192" s="19">
        <f t="shared" si="383"/>
        <v>-4.7591028140396894</v>
      </c>
      <c r="I1192" s="19">
        <f t="shared" si="384"/>
        <v>-3.5510848646447943</v>
      </c>
      <c r="J1192" s="28">
        <f t="shared" si="385"/>
        <v>4.6972822135047465E-3</v>
      </c>
      <c r="K1192" s="24">
        <f t="shared" si="386"/>
        <v>1047.9390624500531</v>
      </c>
      <c r="L1192" s="32">
        <f t="shared" si="387"/>
        <v>0.56506978351517956</v>
      </c>
      <c r="M1192" s="35">
        <f t="shared" si="388"/>
        <v>12.858702492546076</v>
      </c>
      <c r="O1192" s="29">
        <f t="shared" si="389"/>
        <v>1046.586591499801</v>
      </c>
      <c r="T1192" s="48">
        <v>0.75326391203703702</v>
      </c>
      <c r="U1192" s="29">
        <v>-1502.5842069383348</v>
      </c>
      <c r="V1192" s="29">
        <v>4496.9961374375544</v>
      </c>
      <c r="W1192" s="29">
        <v>4254.3255484784813</v>
      </c>
      <c r="X1192" s="4">
        <v>-0.32448542520870599</v>
      </c>
      <c r="Y1192" s="4">
        <v>-0.11987737226014004</v>
      </c>
      <c r="Z1192" s="4">
        <v>-9.8160334624500488E-3</v>
      </c>
      <c r="AA1192" s="3">
        <f t="shared" si="394"/>
        <v>0.34606029830913404</v>
      </c>
      <c r="AB1192" s="3">
        <f t="shared" si="397"/>
        <v>1.1497483332384396E-3</v>
      </c>
      <c r="AC1192" s="3">
        <f t="shared" si="395"/>
        <v>1.468042222681817E-2</v>
      </c>
      <c r="AD1192" s="48"/>
      <c r="AE1192" s="46">
        <f t="shared" si="390"/>
        <v>42.092146944551899</v>
      </c>
      <c r="AF1192" s="46">
        <f t="shared" si="391"/>
        <v>-248.539808412252</v>
      </c>
      <c r="AG1192" s="47">
        <f t="shared" si="392"/>
        <v>1674.3451889224161</v>
      </c>
      <c r="AH1192" s="45" t="str">
        <f t="shared" si="396"/>
        <v>-248.53981,42.09215,01674</v>
      </c>
      <c r="AI1192" s="44">
        <f t="shared" si="398"/>
        <v>1021.3908305572132</v>
      </c>
    </row>
    <row r="1193" spans="1:35" ht="18" customHeight="1" x14ac:dyDescent="0.25">
      <c r="A1193" s="36">
        <f t="shared" si="393"/>
        <v>0.75327546296296299</v>
      </c>
      <c r="B1193" s="42">
        <f t="shared" si="378"/>
        <v>42.092146942771102</v>
      </c>
      <c r="C1193" s="43">
        <f t="shared" si="379"/>
        <v>111.46019214190281</v>
      </c>
      <c r="D1193" s="18">
        <f t="shared" si="380"/>
        <v>1.6597348131981562</v>
      </c>
      <c r="E1193" s="21" t="str">
        <f t="shared" si="381"/>
        <v>Umbra</v>
      </c>
      <c r="F1193" s="23">
        <f>IF($E1193&lt;&gt;"Umbra",fracil2($S$2,$S$3,$S$4,$A1193,$Q$2,$O$3,$Q$4,$U1193,$V1193,$W1193),0)</f>
        <v>0</v>
      </c>
      <c r="G1193" s="19">
        <f t="shared" si="382"/>
        <v>69.302070106992474</v>
      </c>
      <c r="H1193" s="19">
        <f t="shared" si="383"/>
        <v>-4.7598991196989386</v>
      </c>
      <c r="I1193" s="19">
        <f t="shared" si="384"/>
        <v>-3.5518811703040436</v>
      </c>
      <c r="J1193" s="28">
        <f t="shared" si="385"/>
        <v>4.6967918684635802E-3</v>
      </c>
      <c r="K1193" s="24">
        <f t="shared" si="386"/>
        <v>1047.9379049891675</v>
      </c>
      <c r="L1193" s="32">
        <f t="shared" si="387"/>
        <v>0.56508305102436551</v>
      </c>
      <c r="M1193" s="35">
        <f t="shared" si="388"/>
        <v>12.858163910863231</v>
      </c>
      <c r="O1193" s="29">
        <f t="shared" si="389"/>
        <v>1046.5866360111445</v>
      </c>
      <c r="T1193" s="48">
        <v>0.75327546296296299</v>
      </c>
      <c r="U1193" s="29">
        <v>-1502.9080801777534</v>
      </c>
      <c r="V1193" s="29">
        <v>4496.8764772726008</v>
      </c>
      <c r="W1193" s="29">
        <v>4254.3157546322909</v>
      </c>
      <c r="X1193" s="4">
        <v>-0.3244785958859826</v>
      </c>
      <c r="Y1193" s="4">
        <v>-0.11989280678172005</v>
      </c>
      <c r="Z1193" s="4">
        <v>-9.8084794484948265E-3</v>
      </c>
      <c r="AA1193" s="3">
        <f t="shared" si="394"/>
        <v>0.34605902758811136</v>
      </c>
      <c r="AB1193" s="3">
        <f t="shared" si="397"/>
        <v>1.1486170282621929E-3</v>
      </c>
      <c r="AC1193" s="3">
        <f t="shared" si="395"/>
        <v>1.4669181414916143E-2</v>
      </c>
      <c r="AD1193" s="48"/>
      <c r="AE1193" s="46">
        <f t="shared" si="390"/>
        <v>42.092146942771102</v>
      </c>
      <c r="AF1193" s="46">
        <f t="shared" si="391"/>
        <v>-248.53980785809719</v>
      </c>
      <c r="AG1193" s="47">
        <f t="shared" si="392"/>
        <v>1659.7348131981562</v>
      </c>
      <c r="AH1193" s="45" t="str">
        <f t="shared" si="396"/>
        <v>-248.53981,42.09215,01660</v>
      </c>
      <c r="AI1193" s="44">
        <f t="shared" si="398"/>
        <v>1021.3908305572132</v>
      </c>
    </row>
    <row r="1194" spans="1:35" ht="18" customHeight="1" x14ac:dyDescent="0.25">
      <c r="A1194" s="36">
        <f t="shared" si="393"/>
        <v>0.75328706018518521</v>
      </c>
      <c r="B1194" s="42">
        <f t="shared" si="378"/>
        <v>42.092146940985629</v>
      </c>
      <c r="C1194" s="43">
        <f t="shared" si="379"/>
        <v>111.4601922178458</v>
      </c>
      <c r="D1194" s="18">
        <f t="shared" si="380"/>
        <v>1.6450788694055518</v>
      </c>
      <c r="E1194" s="21" t="str">
        <f t="shared" si="381"/>
        <v>Umbra</v>
      </c>
      <c r="F1194" s="23">
        <f>IF($E1194&lt;&gt;"Umbra",fracil2($S$2,$S$3,$S$4,$A1194,$Q$2,$O$3,$Q$4,$U1194,$V1194,$W1194),0)</f>
        <v>0</v>
      </c>
      <c r="G1194" s="19">
        <f t="shared" si="382"/>
        <v>69.302072811537784</v>
      </c>
      <c r="H1194" s="19">
        <f t="shared" si="383"/>
        <v>-4.7606977382348807</v>
      </c>
      <c r="I1194" s="19">
        <f t="shared" si="384"/>
        <v>-3.5526797888399857</v>
      </c>
      <c r="J1194" s="28">
        <f t="shared" si="385"/>
        <v>4.6963001360063308E-3</v>
      </c>
      <c r="K1194" s="24">
        <f t="shared" si="386"/>
        <v>1047.9367055446296</v>
      </c>
      <c r="L1194" s="32">
        <f t="shared" si="387"/>
        <v>0.5650963707748291</v>
      </c>
      <c r="M1194" s="35">
        <f t="shared" si="388"/>
        <v>12.857624120201889</v>
      </c>
      <c r="O1194" s="29">
        <f t="shared" si="389"/>
        <v>1046.5866420725588</v>
      </c>
      <c r="T1194" s="48">
        <v>0.75328706018518521</v>
      </c>
      <c r="U1194" s="29">
        <v>-1503.2332073408847</v>
      </c>
      <c r="V1194" s="29">
        <v>4496.7563357919589</v>
      </c>
      <c r="W1194" s="29">
        <v>4254.3059302403044</v>
      </c>
      <c r="X1194" s="4">
        <v>-0.32447173745002433</v>
      </c>
      <c r="Y1194" s="4">
        <v>-0.119908308952224</v>
      </c>
      <c r="Z1194" s="4">
        <v>-9.8009033914651031E-3</v>
      </c>
      <c r="AA1194" s="3">
        <f t="shared" si="394"/>
        <v>0.34605775336915712</v>
      </c>
      <c r="AB1194" s="3">
        <f t="shared" si="397"/>
        <v>1.1473656813255555E-3</v>
      </c>
      <c r="AC1194" s="3">
        <f t="shared" si="395"/>
        <v>1.465790784490933E-2</v>
      </c>
      <c r="AD1194" s="48"/>
      <c r="AE1194" s="46">
        <f t="shared" si="390"/>
        <v>42.092146940985629</v>
      </c>
      <c r="AF1194" s="46">
        <f t="shared" si="391"/>
        <v>-248.53980778215418</v>
      </c>
      <c r="AG1194" s="47">
        <f t="shared" si="392"/>
        <v>1645.0788694055518</v>
      </c>
      <c r="AH1194" s="45" t="str">
        <f t="shared" si="396"/>
        <v>-248.53981,42.09215,01645</v>
      </c>
      <c r="AI1194" s="44">
        <f t="shared" si="398"/>
        <v>1021.3908305572132</v>
      </c>
    </row>
    <row r="1195" spans="1:35" ht="18" customHeight="1" x14ac:dyDescent="0.25">
      <c r="A1195" s="36">
        <f t="shared" si="393"/>
        <v>0.75329871527777781</v>
      </c>
      <c r="B1195" s="42">
        <f t="shared" si="378"/>
        <v>42.09214693919364</v>
      </c>
      <c r="C1195" s="43">
        <f t="shared" si="379"/>
        <v>111.46019220855308</v>
      </c>
      <c r="D1195" s="18">
        <f t="shared" si="380"/>
        <v>1.630361495791476</v>
      </c>
      <c r="E1195" s="21" t="str">
        <f t="shared" si="381"/>
        <v>Umbra</v>
      </c>
      <c r="F1195" s="23">
        <f>IF($E1195&lt;&gt;"Umbra",fracil2($S$2,$S$3,$S$4,$A1195,$Q$2,$O$3,$Q$4,$U1195,$V1195,$W1195),0)</f>
        <v>0</v>
      </c>
      <c r="G1195" s="19">
        <f t="shared" si="382"/>
        <v>69.302075440360142</v>
      </c>
      <c r="H1195" s="19">
        <f t="shared" si="383"/>
        <v>-4.7614996752490528</v>
      </c>
      <c r="I1195" s="19">
        <f t="shared" si="384"/>
        <v>-3.5534817258541578</v>
      </c>
      <c r="J1195" s="28">
        <f t="shared" si="385"/>
        <v>4.6958064657330245E-3</v>
      </c>
      <c r="K1195" s="24">
        <f t="shared" si="386"/>
        <v>1047.9354944008419</v>
      </c>
      <c r="L1195" s="32">
        <f t="shared" si="387"/>
        <v>0.56510975574120648</v>
      </c>
      <c r="M1195" s="35">
        <f t="shared" si="388"/>
        <v>12.857082145978463</v>
      </c>
      <c r="O1195" s="29">
        <f t="shared" si="389"/>
        <v>1046.586641280571</v>
      </c>
      <c r="T1195" s="48">
        <v>0.75329871527777781</v>
      </c>
      <c r="U1195" s="29">
        <v>-1503.5599433255247</v>
      </c>
      <c r="V1195" s="29">
        <v>4496.635581605643</v>
      </c>
      <c r="W1195" s="29">
        <v>4254.2960646698384</v>
      </c>
      <c r="X1195" s="4">
        <v>-0.32446484241501294</v>
      </c>
      <c r="Y1195" s="4">
        <v>-0.11992389568202766</v>
      </c>
      <c r="Z1195" s="4">
        <v>-9.7932970071744115E-3</v>
      </c>
      <c r="AA1195" s="3">
        <f t="shared" si="394"/>
        <v>0.34605647427150349</v>
      </c>
      <c r="AB1195" s="3">
        <f t="shared" si="397"/>
        <v>1.1462344534844248E-3</v>
      </c>
      <c r="AC1195" s="3">
        <f t="shared" si="395"/>
        <v>1.4646589190033098E-2</v>
      </c>
      <c r="AD1195" s="48"/>
      <c r="AE1195" s="46">
        <f t="shared" si="390"/>
        <v>42.09214693919364</v>
      </c>
      <c r="AF1195" s="46">
        <f t="shared" si="391"/>
        <v>-248.53980779144692</v>
      </c>
      <c r="AG1195" s="47">
        <f t="shared" si="392"/>
        <v>1630.361495791476</v>
      </c>
      <c r="AH1195" s="45" t="str">
        <f t="shared" si="396"/>
        <v>-248.53981,42.09215,01630</v>
      </c>
      <c r="AI1195" s="44">
        <f t="shared" si="398"/>
        <v>1021.3908305572132</v>
      </c>
    </row>
    <row r="1196" spans="1:35" ht="18" customHeight="1" x14ac:dyDescent="0.25">
      <c r="A1196" s="36">
        <f t="shared" si="393"/>
        <v>0.75331019675925937</v>
      </c>
      <c r="B1196" s="42">
        <f t="shared" si="378"/>
        <v>42.092146937431401</v>
      </c>
      <c r="C1196" s="43">
        <f t="shared" si="379"/>
        <v>111.46019029959322</v>
      </c>
      <c r="D1196" s="18">
        <f t="shared" si="380"/>
        <v>1.6158811508385043</v>
      </c>
      <c r="E1196" s="21" t="str">
        <f t="shared" si="381"/>
        <v>Umbra</v>
      </c>
      <c r="F1196" s="23">
        <f>IF($E1196&lt;&gt;"Umbra",fracil2($S$2,$S$3,$S$4,$A1196,$Q$2,$O$3,$Q$4,$U1196,$V1196,$W1196),0)</f>
        <v>0</v>
      </c>
      <c r="G1196" s="19">
        <f t="shared" si="382"/>
        <v>69.30207609347471</v>
      </c>
      <c r="H1196" s="19">
        <f t="shared" si="383"/>
        <v>-4.7622880160864982</v>
      </c>
      <c r="I1196" s="19">
        <f t="shared" si="384"/>
        <v>-3.5542700666916032</v>
      </c>
      <c r="J1196" s="28">
        <f t="shared" si="385"/>
        <v>4.6953211193297558E-3</v>
      </c>
      <c r="K1196" s="24">
        <f t="shared" si="386"/>
        <v>1047.9341502593129</v>
      </c>
      <c r="L1196" s="32">
        <f t="shared" si="387"/>
        <v>0.5651229415050989</v>
      </c>
      <c r="M1196" s="35">
        <f t="shared" si="388"/>
        <v>12.856550781487051</v>
      </c>
      <c r="O1196" s="29">
        <f t="shared" si="389"/>
        <v>1046.5864877497834</v>
      </c>
      <c r="T1196" s="48">
        <v>0.75331019675925937</v>
      </c>
      <c r="U1196" s="29">
        <v>-1503.8816580199878</v>
      </c>
      <c r="V1196" s="29">
        <v>4496.5166653246897</v>
      </c>
      <c r="W1196" s="29">
        <v>4254.2863579880513</v>
      </c>
      <c r="X1196" s="4">
        <v>-0.32445804971075787</v>
      </c>
      <c r="Y1196" s="4">
        <v>-0.1199392536251527</v>
      </c>
      <c r="Z1196" s="4">
        <v>-9.7858174486919712E-3</v>
      </c>
      <c r="AA1196" s="3">
        <f t="shared" si="394"/>
        <v>0.34605521641120573</v>
      </c>
      <c r="AB1196" s="3">
        <f t="shared" si="397"/>
        <v>1.144161381809153E-3</v>
      </c>
      <c r="AC1196" s="3">
        <f t="shared" si="395"/>
        <v>1.4635459300695085E-2</v>
      </c>
      <c r="AD1196" s="48"/>
      <c r="AE1196" s="46">
        <f t="shared" si="390"/>
        <v>42.092146937431401</v>
      </c>
      <c r="AF1196" s="46">
        <f t="shared" si="391"/>
        <v>-248.53980970040678</v>
      </c>
      <c r="AG1196" s="47">
        <f t="shared" si="392"/>
        <v>1615.8811508385043</v>
      </c>
      <c r="AH1196" s="45" t="str">
        <f t="shared" si="396"/>
        <v>-248.53981,42.09215,01616</v>
      </c>
      <c r="AI1196" s="44">
        <f t="shared" si="398"/>
        <v>1021.3910204278092</v>
      </c>
    </row>
    <row r="1197" spans="1:35" ht="18" customHeight="1" x14ac:dyDescent="0.25">
      <c r="A1197" s="36">
        <f t="shared" si="393"/>
        <v>0.75332177083333329</v>
      </c>
      <c r="B1197" s="42">
        <f t="shared" si="378"/>
        <v>42.092146935654981</v>
      </c>
      <c r="C1197" s="43">
        <f t="shared" si="379"/>
        <v>111.46019350991307</v>
      </c>
      <c r="D1197" s="18">
        <f t="shared" si="380"/>
        <v>1.6012772929825587</v>
      </c>
      <c r="E1197" s="21" t="str">
        <f t="shared" si="381"/>
        <v>Umbra</v>
      </c>
      <c r="F1197" s="23">
        <f>IF($E1197&lt;&gt;"Umbra",fracil2($S$2,$S$3,$S$4,$A1197,$Q$2,$O$3,$Q$4,$U1197,$V1197,$W1197),0)</f>
        <v>0</v>
      </c>
      <c r="G1197" s="19">
        <f t="shared" si="382"/>
        <v>69.302081978446395</v>
      </c>
      <c r="H1197" s="19">
        <f t="shared" si="383"/>
        <v>-4.7630849278867755</v>
      </c>
      <c r="I1197" s="19">
        <f t="shared" si="384"/>
        <v>-3.5550669784918805</v>
      </c>
      <c r="J1197" s="28">
        <f t="shared" si="385"/>
        <v>4.6948316623710426E-3</v>
      </c>
      <c r="K1197" s="24">
        <f t="shared" si="386"/>
        <v>1047.9332076416297</v>
      </c>
      <c r="L1197" s="32">
        <f t="shared" si="387"/>
        <v>0.56513622835447375</v>
      </c>
      <c r="M1197" s="35">
        <f t="shared" si="388"/>
        <v>12.856009777963665</v>
      </c>
      <c r="O1197" s="29">
        <f t="shared" si="389"/>
        <v>1046.5867458257201</v>
      </c>
      <c r="T1197" s="48">
        <v>0.75332177083333329</v>
      </c>
      <c r="U1197" s="29">
        <v>-1504.2063591064184</v>
      </c>
      <c r="V1197" s="29">
        <v>4496.3966272049711</v>
      </c>
      <c r="W1197" s="29">
        <v>4254.2765685113163</v>
      </c>
      <c r="X1197" s="4">
        <v>-0.32445119091505764</v>
      </c>
      <c r="Y1197" s="4">
        <v>-0.1199547630895533</v>
      </c>
      <c r="Z1197" s="4">
        <v>-9.7782766808443573E-3</v>
      </c>
      <c r="AA1197" s="3">
        <f t="shared" si="394"/>
        <v>0.34605394835042291</v>
      </c>
      <c r="AB1197" s="3">
        <f t="shared" si="397"/>
        <v>1.1442920966995541E-3</v>
      </c>
      <c r="AC1197" s="3">
        <f t="shared" si="395"/>
        <v>1.4624238372394991E-2</v>
      </c>
      <c r="AD1197" s="48"/>
      <c r="AE1197" s="46">
        <f t="shared" si="390"/>
        <v>42.092146935654981</v>
      </c>
      <c r="AF1197" s="46">
        <f t="shared" si="391"/>
        <v>-248.53980649008693</v>
      </c>
      <c r="AG1197" s="47">
        <f t="shared" si="392"/>
        <v>1601.2772929825587</v>
      </c>
      <c r="AH1197" s="45" t="str">
        <f t="shared" si="396"/>
        <v>-248.53981,42.09215,01601</v>
      </c>
      <c r="AI1197" s="44">
        <f t="shared" si="398"/>
        <v>1021.3912889453807</v>
      </c>
    </row>
    <row r="1198" spans="1:35" ht="18" customHeight="1" x14ac:dyDescent="0.25">
      <c r="A1198" s="36">
        <f t="shared" si="393"/>
        <v>0.75333336805555551</v>
      </c>
      <c r="B1198" s="42">
        <f t="shared" si="378"/>
        <v>42.092146933879782</v>
      </c>
      <c r="C1198" s="43">
        <f t="shared" si="379"/>
        <v>111.46019073413251</v>
      </c>
      <c r="D1198" s="18">
        <f t="shared" si="380"/>
        <v>1.5866764193133349</v>
      </c>
      <c r="E1198" s="21" t="str">
        <f t="shared" si="381"/>
        <v>Umbra</v>
      </c>
      <c r="F1198" s="23">
        <f>IF($E1198&lt;&gt;"Umbra",fracil2($S$2,$S$3,$S$4,$A1198,$Q$2,$O$3,$Q$4,$U1198,$V1198,$W1198),0)</f>
        <v>0</v>
      </c>
      <c r="G1198" s="19">
        <f t="shared" si="382"/>
        <v>69.302081771049814</v>
      </c>
      <c r="H1198" s="19">
        <f t="shared" si="383"/>
        <v>-4.7638795287719748</v>
      </c>
      <c r="I1198" s="19">
        <f t="shared" si="384"/>
        <v>-3.5558615793770798</v>
      </c>
      <c r="J1198" s="28">
        <f t="shared" si="385"/>
        <v>4.6943425785047673E-3</v>
      </c>
      <c r="K1198" s="24">
        <f t="shared" si="386"/>
        <v>1047.9317843193535</v>
      </c>
      <c r="L1198" s="32">
        <f t="shared" si="387"/>
        <v>0.56514954509942095</v>
      </c>
      <c r="M1198" s="35">
        <f t="shared" si="388"/>
        <v>12.855474823681659</v>
      </c>
      <c r="O1198" s="29">
        <f t="shared" si="389"/>
        <v>1046.5865225993484</v>
      </c>
      <c r="T1198" s="48">
        <v>0.75333336805555551</v>
      </c>
      <c r="U1198" s="29">
        <v>-1504.5312373737074</v>
      </c>
      <c r="V1198" s="29">
        <v>4496.2765055055252</v>
      </c>
      <c r="W1198" s="29">
        <v>4254.2667810350558</v>
      </c>
      <c r="X1198" s="4">
        <v>-0.32444432595886991</v>
      </c>
      <c r="Y1198" s="4">
        <v>-0.11997028811417106</v>
      </c>
      <c r="Z1198" s="4">
        <v>-9.770738246390711E-3</v>
      </c>
      <c r="AA1198" s="3">
        <f t="shared" si="394"/>
        <v>0.34605268096488156</v>
      </c>
      <c r="AB1198" s="3">
        <f t="shared" si="397"/>
        <v>1.1416502939416728E-3</v>
      </c>
      <c r="AC1198" s="3">
        <f t="shared" si="395"/>
        <v>1.4613020959567041E-2</v>
      </c>
      <c r="AD1198" s="48"/>
      <c r="AE1198" s="46">
        <f t="shared" si="390"/>
        <v>42.092146933879782</v>
      </c>
      <c r="AF1198" s="46">
        <f t="shared" si="391"/>
        <v>-248.53980926586749</v>
      </c>
      <c r="AG1198" s="47">
        <f t="shared" si="392"/>
        <v>1586.6764193133349</v>
      </c>
      <c r="AH1198" s="45" t="str">
        <f t="shared" si="396"/>
        <v>-248.53981,42.09215,01587</v>
      </c>
      <c r="AI1198" s="44">
        <f t="shared" si="398"/>
        <v>1021.3915214884192</v>
      </c>
    </row>
    <row r="1199" spans="1:35" ht="18" customHeight="1" x14ac:dyDescent="0.25">
      <c r="A1199" s="36">
        <f t="shared" si="393"/>
        <v>0.75334491898148148</v>
      </c>
      <c r="B1199" s="42">
        <f t="shared" si="378"/>
        <v>42.092146932111461</v>
      </c>
      <c r="C1199" s="43">
        <f t="shared" si="379"/>
        <v>111.4601940577006</v>
      </c>
      <c r="D1199" s="18">
        <f t="shared" si="380"/>
        <v>1.5721237959342034</v>
      </c>
      <c r="E1199" s="21" t="str">
        <f t="shared" si="381"/>
        <v>Umbra</v>
      </c>
      <c r="F1199" s="23">
        <f>IF($E1199&lt;&gt;"Umbra",fracil2($S$2,$S$3,$S$4,$A1199,$Q$2,$O$3,$Q$4,$U1199,$V1199,$W1199),0)</f>
        <v>0</v>
      </c>
      <c r="G1199" s="19">
        <f t="shared" si="382"/>
        <v>69.302087762096889</v>
      </c>
      <c r="H1199" s="19">
        <f t="shared" si="383"/>
        <v>-4.7646736926977038</v>
      </c>
      <c r="I1199" s="19">
        <f t="shared" si="384"/>
        <v>-3.5566557433028088</v>
      </c>
      <c r="J1199" s="28">
        <f t="shared" si="385"/>
        <v>4.6938551057883358E-3</v>
      </c>
      <c r="K1199" s="24">
        <f t="shared" si="386"/>
        <v>1047.930855418477</v>
      </c>
      <c r="L1199" s="32">
        <f t="shared" si="387"/>
        <v>0.56516280269217056</v>
      </c>
      <c r="M1199" s="35">
        <f t="shared" si="388"/>
        <v>12.854935582909571</v>
      </c>
      <c r="O1199" s="29">
        <f t="shared" si="389"/>
        <v>1046.5867897810199</v>
      </c>
      <c r="T1199" s="48">
        <v>0.75334491898148148</v>
      </c>
      <c r="U1199" s="29">
        <v>-1504.8552846557113</v>
      </c>
      <c r="V1199" s="29">
        <v>4496.1566730342856</v>
      </c>
      <c r="W1199" s="29">
        <v>4254.257025902737</v>
      </c>
      <c r="X1199" s="4">
        <v>-0.32443747554047608</v>
      </c>
      <c r="Y1199" s="4">
        <v>-0.11998578232451015</v>
      </c>
      <c r="Z1199" s="4">
        <v>-9.763227257289335E-3</v>
      </c>
      <c r="AA1199" s="3">
        <f t="shared" si="394"/>
        <v>0.34605141829152963</v>
      </c>
      <c r="AB1199" s="3">
        <f t="shared" si="397"/>
        <v>1.142048543269415E-3</v>
      </c>
      <c r="AC1199" s="3">
        <f t="shared" si="395"/>
        <v>1.4601844429407726E-2</v>
      </c>
      <c r="AD1199" s="48"/>
      <c r="AE1199" s="46">
        <f t="shared" si="390"/>
        <v>42.092146932111461</v>
      </c>
      <c r="AF1199" s="46">
        <f t="shared" si="391"/>
        <v>-248.53980594229938</v>
      </c>
      <c r="AG1199" s="47">
        <f t="shared" si="392"/>
        <v>1572.1237959342034</v>
      </c>
      <c r="AH1199" s="45" t="str">
        <f t="shared" si="396"/>
        <v>-248.53981,42.09215,01572</v>
      </c>
      <c r="AI1199" s="44">
        <f t="shared" si="398"/>
        <v>1021.3917900059907</v>
      </c>
    </row>
    <row r="1200" spans="1:35" ht="18" customHeight="1" x14ac:dyDescent="0.25">
      <c r="A1200" s="36">
        <f t="shared" si="393"/>
        <v>0.75335653935185187</v>
      </c>
      <c r="B1200" s="42">
        <f t="shared" si="378"/>
        <v>42.092146930336824</v>
      </c>
      <c r="C1200" s="43">
        <f t="shared" si="379"/>
        <v>111.46019249929125</v>
      </c>
      <c r="D1200" s="18">
        <f t="shared" si="380"/>
        <v>1.5575120435232748</v>
      </c>
      <c r="E1200" s="21" t="str">
        <f t="shared" si="381"/>
        <v>Umbra</v>
      </c>
      <c r="F1200" s="23">
        <f>IF($E1200&lt;&gt;"Umbra",fracil2($S$2,$S$3,$S$4,$A1200,$Q$2,$O$3,$Q$4,$U1200,$V1200,$W1200),0)</f>
        <v>0</v>
      </c>
      <c r="G1200" s="19">
        <f t="shared" si="382"/>
        <v>69.302088795538907</v>
      </c>
      <c r="H1200" s="19">
        <f t="shared" si="383"/>
        <v>-4.7654693273458824</v>
      </c>
      <c r="I1200" s="19">
        <f t="shared" si="384"/>
        <v>-3.5574513779509873</v>
      </c>
      <c r="J1200" s="28">
        <f t="shared" si="385"/>
        <v>4.6933659226977998E-3</v>
      </c>
      <c r="K1200" s="24">
        <f t="shared" si="386"/>
        <v>1047.9295294560602</v>
      </c>
      <c r="L1200" s="32">
        <f t="shared" si="387"/>
        <v>0.56517614247430559</v>
      </c>
      <c r="M1200" s="35">
        <f t="shared" si="388"/>
        <v>12.854399006926258</v>
      </c>
      <c r="O1200" s="29">
        <f t="shared" si="389"/>
        <v>1046.5866644353539</v>
      </c>
      <c r="T1200" s="48">
        <v>0.75335653935185187</v>
      </c>
      <c r="U1200" s="29">
        <v>-1505.1808925790929</v>
      </c>
      <c r="V1200" s="29">
        <v>4496.03624529843</v>
      </c>
      <c r="W1200" s="29">
        <v>4254.2472311342335</v>
      </c>
      <c r="X1200" s="4">
        <v>-0.32443058953114623</v>
      </c>
      <c r="Y1200" s="4">
        <v>-0.12000135877873518</v>
      </c>
      <c r="Z1200" s="4">
        <v>-9.755687043142957E-3</v>
      </c>
      <c r="AA1200" s="3">
        <f t="shared" si="394"/>
        <v>0.34605015093473601</v>
      </c>
      <c r="AB1200" s="3">
        <f t="shared" si="397"/>
        <v>1.1396362635352115E-3</v>
      </c>
      <c r="AC1200" s="3">
        <f t="shared" si="395"/>
        <v>1.4590624455114679E-2</v>
      </c>
      <c r="AD1200" s="48"/>
      <c r="AE1200" s="46">
        <f t="shared" si="390"/>
        <v>42.092146930336824</v>
      </c>
      <c r="AF1200" s="46">
        <f t="shared" si="391"/>
        <v>-248.53980750070875</v>
      </c>
      <c r="AG1200" s="47">
        <f t="shared" si="392"/>
        <v>1557.5120435232748</v>
      </c>
      <c r="AH1200" s="45" t="str">
        <f t="shared" si="396"/>
        <v>-248.53981,42.09215,01558</v>
      </c>
      <c r="AI1200" s="44">
        <f t="shared" si="398"/>
        <v>1021.3919242647758</v>
      </c>
    </row>
    <row r="1201" spans="1:35" ht="18" customHeight="1" x14ac:dyDescent="0.25">
      <c r="A1201" s="36">
        <f t="shared" si="393"/>
        <v>0.75336810185185188</v>
      </c>
      <c r="B1201" s="42">
        <f t="shared" si="378"/>
        <v>42.092146928571992</v>
      </c>
      <c r="C1201" s="43">
        <f t="shared" si="379"/>
        <v>111.46019401931106</v>
      </c>
      <c r="D1201" s="18">
        <f t="shared" si="380"/>
        <v>1.5429735688194341</v>
      </c>
      <c r="E1201" s="21" t="str">
        <f t="shared" si="381"/>
        <v>Umbra</v>
      </c>
      <c r="F1201" s="23">
        <f>IF($E1201&lt;&gt;"Umbra",fracil2($S$2,$S$3,$S$4,$A1201,$Q$2,$O$3,$Q$4,$U1201,$V1201,$W1201),0)</f>
        <v>0</v>
      </c>
      <c r="G1201" s="19">
        <f t="shared" si="382"/>
        <v>69.302092948656139</v>
      </c>
      <c r="H1201" s="19">
        <f t="shared" si="383"/>
        <v>-4.7662620760582195</v>
      </c>
      <c r="I1201" s="19">
        <f t="shared" si="384"/>
        <v>-3.5582441266633245</v>
      </c>
      <c r="J1201" s="28">
        <f t="shared" si="385"/>
        <v>4.6928793450476047E-3</v>
      </c>
      <c r="K1201" s="24">
        <f t="shared" si="386"/>
        <v>1047.9284571537764</v>
      </c>
      <c r="L1201" s="32">
        <f t="shared" si="387"/>
        <v>0.56518941215770779</v>
      </c>
      <c r="M1201" s="35">
        <f t="shared" si="388"/>
        <v>12.853862066637088</v>
      </c>
      <c r="O1201" s="29">
        <f t="shared" si="389"/>
        <v>1046.5867866058431</v>
      </c>
      <c r="T1201" s="48">
        <v>0.75336810185185188</v>
      </c>
      <c r="U1201" s="29">
        <v>-1505.5051105245523</v>
      </c>
      <c r="V1201" s="29">
        <v>4495.9163135744293</v>
      </c>
      <c r="W1201" s="29">
        <v>4254.2374854864138</v>
      </c>
      <c r="X1201" s="4">
        <v>-0.32442372957857929</v>
      </c>
      <c r="Y1201" s="4">
        <v>-0.12001687856677647</v>
      </c>
      <c r="Z1201" s="4">
        <v>-9.7481880680271756E-3</v>
      </c>
      <c r="AA1201" s="3">
        <f t="shared" si="394"/>
        <v>0.34604889051288279</v>
      </c>
      <c r="AB1201" s="3">
        <f t="shared" si="397"/>
        <v>1.1390716219549918E-3</v>
      </c>
      <c r="AC1201" s="3">
        <f t="shared" si="395"/>
        <v>1.4579465888526107E-2</v>
      </c>
      <c r="AD1201" s="48"/>
      <c r="AE1201" s="46">
        <f t="shared" si="390"/>
        <v>42.092146928571992</v>
      </c>
      <c r="AF1201" s="46">
        <f t="shared" si="391"/>
        <v>-248.53980598068893</v>
      </c>
      <c r="AG1201" s="47">
        <f t="shared" si="392"/>
        <v>1542.9735688194341</v>
      </c>
      <c r="AH1201" s="45" t="str">
        <f t="shared" si="396"/>
        <v>-248.53981,42.09215,01543</v>
      </c>
      <c r="AI1201" s="44">
        <f t="shared" si="398"/>
        <v>1021.3920585235608</v>
      </c>
    </row>
    <row r="1202" spans="1:35" ht="18" customHeight="1" x14ac:dyDescent="0.25">
      <c r="A1202" s="36">
        <f t="shared" si="393"/>
        <v>0.75337962962962957</v>
      </c>
      <c r="B1202" s="42">
        <f t="shared" si="378"/>
        <v>42.092146926815971</v>
      </c>
      <c r="C1202" s="43">
        <f t="shared" si="379"/>
        <v>111.46019252901795</v>
      </c>
      <c r="D1202" s="18">
        <f t="shared" si="380"/>
        <v>1.5285003316403163</v>
      </c>
      <c r="E1202" s="21" t="str">
        <f t="shared" si="381"/>
        <v>Umbra</v>
      </c>
      <c r="F1202" s="23">
        <f>IF($E1202&lt;&gt;"Umbra",fracil2($S$2,$S$3,$S$4,$A1202,$Q$2,$O$3,$Q$4,$U1202,$V1202,$W1202),0)</f>
        <v>0</v>
      </c>
      <c r="G1202" s="19">
        <f t="shared" si="382"/>
        <v>69.302094026600216</v>
      </c>
      <c r="H1202" s="19">
        <f t="shared" si="383"/>
        <v>-4.7670501912484449</v>
      </c>
      <c r="I1202" s="19">
        <f t="shared" si="384"/>
        <v>-3.5590322418535498</v>
      </c>
      <c r="J1202" s="28">
        <f t="shared" si="385"/>
        <v>4.6923950776819471E-3</v>
      </c>
      <c r="K1202" s="24">
        <f t="shared" si="386"/>
        <v>1047.9271484479593</v>
      </c>
      <c r="L1202" s="32">
        <f t="shared" si="387"/>
        <v>0.56520264303333534</v>
      </c>
      <c r="M1202" s="35">
        <f t="shared" si="388"/>
        <v>12.853330512328723</v>
      </c>
      <c r="O1202" s="29">
        <f t="shared" si="389"/>
        <v>1046.5866667374037</v>
      </c>
      <c r="T1202" s="48">
        <v>0.75337962962962957</v>
      </c>
      <c r="U1202" s="29">
        <v>-1505.8281146340673</v>
      </c>
      <c r="V1202" s="29">
        <v>4495.7968129130231</v>
      </c>
      <c r="W1202" s="29">
        <v>4254.2277835696623</v>
      </c>
      <c r="X1202" s="4">
        <v>-0.32441689316744982</v>
      </c>
      <c r="Y1202" s="4">
        <v>-0.12003234649230847</v>
      </c>
      <c r="Z1202" s="4">
        <v>-9.7407228062951316E-3</v>
      </c>
      <c r="AA1202" s="3">
        <f t="shared" si="394"/>
        <v>0.34604763611049161</v>
      </c>
      <c r="AB1202" s="3">
        <f t="shared" si="397"/>
        <v>1.137361778734119E-3</v>
      </c>
      <c r="AC1202" s="3">
        <f t="shared" si="395"/>
        <v>1.4568357530802337E-2</v>
      </c>
      <c r="AD1202" s="48"/>
      <c r="AE1202" s="46">
        <f t="shared" si="390"/>
        <v>42.092146926815971</v>
      </c>
      <c r="AF1202" s="46">
        <f t="shared" si="391"/>
        <v>-248.53980747098205</v>
      </c>
      <c r="AG1202" s="47">
        <f t="shared" si="392"/>
        <v>1528.5003316403163</v>
      </c>
      <c r="AH1202" s="45" t="str">
        <f t="shared" si="396"/>
        <v>-248.53981,42.09215,01529</v>
      </c>
      <c r="AI1202" s="44">
        <f t="shared" si="398"/>
        <v>1021.3921534588587</v>
      </c>
    </row>
    <row r="1203" spans="1:35" ht="18" customHeight="1" x14ac:dyDescent="0.25">
      <c r="A1203" s="36">
        <f t="shared" si="393"/>
        <v>0.7533912962962962</v>
      </c>
      <c r="B1203" s="42">
        <f t="shared" si="378"/>
        <v>42.09214692504117</v>
      </c>
      <c r="C1203" s="43">
        <f t="shared" si="379"/>
        <v>111.46019064706114</v>
      </c>
      <c r="D1203" s="18">
        <f t="shared" si="380"/>
        <v>1.5138652995028679</v>
      </c>
      <c r="E1203" s="21" t="str">
        <f t="shared" si="381"/>
        <v>Umbra</v>
      </c>
      <c r="F1203" s="23">
        <f>IF($E1203&lt;&gt;"Umbra",fracil2($S$2,$S$3,$S$4,$A1203,$Q$2,$O$3,$Q$4,$U1203,$V1203,$W1203),0)</f>
        <v>0</v>
      </c>
      <c r="G1203" s="19">
        <f t="shared" si="382"/>
        <v>69.302094734973778</v>
      </c>
      <c r="H1203" s="19">
        <f t="shared" si="383"/>
        <v>-4.7678469841514284</v>
      </c>
      <c r="I1203" s="19">
        <f t="shared" si="384"/>
        <v>-3.5598290347565333</v>
      </c>
      <c r="J1203" s="28">
        <f t="shared" si="385"/>
        <v>4.6919055902903024E-3</v>
      </c>
      <c r="K1203" s="24">
        <f t="shared" si="386"/>
        <v>1047.9257951724921</v>
      </c>
      <c r="L1203" s="32">
        <f t="shared" si="387"/>
        <v>0.5652160323049461</v>
      </c>
      <c r="M1203" s="35">
        <f t="shared" si="388"/>
        <v>12.852793382061387</v>
      </c>
      <c r="O1203" s="29">
        <f t="shared" si="389"/>
        <v>1046.5865153774482</v>
      </c>
      <c r="T1203" s="48">
        <v>0.7533912962962962</v>
      </c>
      <c r="U1203" s="29">
        <v>-1506.1549744149136</v>
      </c>
      <c r="V1203" s="29">
        <v>4495.6758675367164</v>
      </c>
      <c r="W1203" s="29">
        <v>4254.2179731961669</v>
      </c>
      <c r="X1203" s="4">
        <v>-0.32440997216840073</v>
      </c>
      <c r="Y1203" s="4">
        <v>-0.12004800780199663</v>
      </c>
      <c r="Z1203" s="4">
        <v>-9.7331764502045278E-3</v>
      </c>
      <c r="AA1203" s="3">
        <f t="shared" si="394"/>
        <v>0.3460463681984563</v>
      </c>
      <c r="AB1203" s="3">
        <f t="shared" si="397"/>
        <v>1.1360252990428104E-3</v>
      </c>
      <c r="AC1203" s="3">
        <f t="shared" si="395"/>
        <v>1.4557128547807297E-2</v>
      </c>
      <c r="AD1203" s="48"/>
      <c r="AE1203" s="46">
        <f t="shared" si="390"/>
        <v>42.09214692504117</v>
      </c>
      <c r="AF1203" s="46">
        <f t="shared" si="391"/>
        <v>-248.53980935293885</v>
      </c>
      <c r="AG1203" s="47">
        <f t="shared" si="392"/>
        <v>1513.8652995028679</v>
      </c>
      <c r="AH1203" s="45" t="str">
        <f t="shared" si="396"/>
        <v>-248.53981,42.09215,01514</v>
      </c>
      <c r="AI1203" s="44">
        <f t="shared" si="398"/>
        <v>1021.3922877176437</v>
      </c>
    </row>
    <row r="1204" spans="1:35" ht="18" customHeight="1" x14ac:dyDescent="0.25">
      <c r="A1204" s="36">
        <f t="shared" si="393"/>
        <v>0.75340285879629632</v>
      </c>
      <c r="B1204" s="42">
        <f t="shared" si="378"/>
        <v>42.092146923283586</v>
      </c>
      <c r="C1204" s="43">
        <f t="shared" si="379"/>
        <v>111.46019076600773</v>
      </c>
      <c r="D1204" s="18">
        <f t="shared" si="380"/>
        <v>1.4993652315033614</v>
      </c>
      <c r="E1204" s="21" t="str">
        <f t="shared" si="381"/>
        <v>Umbra</v>
      </c>
      <c r="F1204" s="23">
        <f>IF($E1204&lt;&gt;"Umbra",fracil2($S$2,$S$3,$S$4,$A1204,$Q$2,$O$3,$Q$4,$U1204,$V1204,$W1204),0)</f>
        <v>0</v>
      </c>
      <c r="G1204" s="19">
        <f t="shared" si="382"/>
        <v>69.302097455405885</v>
      </c>
      <c r="H1204" s="19">
        <f t="shared" si="383"/>
        <v>-4.7686371426757503</v>
      </c>
      <c r="I1204" s="19">
        <f t="shared" si="384"/>
        <v>-3.5606191932808553</v>
      </c>
      <c r="J1204" s="28">
        <f t="shared" si="385"/>
        <v>4.6914207779923649E-3</v>
      </c>
      <c r="K1204" s="24">
        <f t="shared" si="386"/>
        <v>1047.9246140102518</v>
      </c>
      <c r="L1204" s="32">
        <f t="shared" si="387"/>
        <v>0.56522929920301601</v>
      </c>
      <c r="M1204" s="35">
        <f t="shared" si="388"/>
        <v>12.852259229678982</v>
      </c>
      <c r="O1204" s="29">
        <f t="shared" si="389"/>
        <v>1046.5865248971809</v>
      </c>
      <c r="T1204" s="48">
        <v>0.75340285879629632</v>
      </c>
      <c r="U1204" s="29">
        <v>-1506.4790629796771</v>
      </c>
      <c r="V1204" s="29">
        <v>4495.5559294393515</v>
      </c>
      <c r="W1204" s="29">
        <v>4254.2082532939185</v>
      </c>
      <c r="X1204" s="4">
        <v>-0.32440310664655114</v>
      </c>
      <c r="Y1204" s="4">
        <v>-0.12006354572201618</v>
      </c>
      <c r="Z1204" s="4">
        <v>-9.7257027108648003E-3</v>
      </c>
      <c r="AA1204" s="3">
        <f t="shared" si="394"/>
        <v>0.34604511253086123</v>
      </c>
      <c r="AB1204" s="3">
        <f t="shared" si="397"/>
        <v>1.1352251540171757E-3</v>
      </c>
      <c r="AC1204" s="3">
        <f t="shared" si="395"/>
        <v>1.4546007661964752E-2</v>
      </c>
      <c r="AD1204" s="48"/>
      <c r="AE1204" s="46">
        <f t="shared" si="390"/>
        <v>42.092146923283586</v>
      </c>
      <c r="AF1204" s="46">
        <f t="shared" si="391"/>
        <v>-248.53980923399229</v>
      </c>
      <c r="AG1204" s="47">
        <f t="shared" si="392"/>
        <v>1499.3652315033614</v>
      </c>
      <c r="AH1204" s="45" t="str">
        <f t="shared" si="396"/>
        <v>-248.53981,42.09215,01499</v>
      </c>
      <c r="AI1204" s="44">
        <f t="shared" si="398"/>
        <v>1021.3922877176437</v>
      </c>
    </row>
    <row r="1205" spans="1:35" ht="18" customHeight="1" x14ac:dyDescent="0.25">
      <c r="A1205" s="36">
        <f t="shared" si="393"/>
        <v>0.75341439814814815</v>
      </c>
      <c r="B1205" s="42">
        <f t="shared" si="378"/>
        <v>42.09214692153158</v>
      </c>
      <c r="C1205" s="43">
        <f t="shared" si="379"/>
        <v>111.46019139541725</v>
      </c>
      <c r="D1205" s="18">
        <f t="shared" si="380"/>
        <v>1.4849035203160383</v>
      </c>
      <c r="E1205" s="21" t="str">
        <f t="shared" si="381"/>
        <v>Umbra</v>
      </c>
      <c r="F1205" s="23">
        <f>IF($E1205&lt;&gt;"Umbra",fracil2($S$2,$S$3,$S$4,$A1205,$Q$2,$O$3,$Q$4,$U1205,$V1205,$W1205),0)</f>
        <v>0</v>
      </c>
      <c r="G1205" s="19">
        <f t="shared" si="382"/>
        <v>69.302100688447297</v>
      </c>
      <c r="H1205" s="19">
        <f t="shared" si="383"/>
        <v>-4.7694253959919575</v>
      </c>
      <c r="I1205" s="19">
        <f t="shared" si="384"/>
        <v>-3.5614074465970624</v>
      </c>
      <c r="J1205" s="28">
        <f t="shared" si="385"/>
        <v>4.690937362948757E-3</v>
      </c>
      <c r="K1205" s="24">
        <f t="shared" si="386"/>
        <v>1047.9234772260347</v>
      </c>
      <c r="L1205" s="32">
        <f t="shared" si="387"/>
        <v>0.56524253786429191</v>
      </c>
      <c r="M1205" s="35">
        <f t="shared" si="388"/>
        <v>12.85172597728118</v>
      </c>
      <c r="O1205" s="29">
        <f t="shared" si="389"/>
        <v>1046.586575459972</v>
      </c>
      <c r="T1205" s="48">
        <v>0.75341439814814815</v>
      </c>
      <c r="U1205" s="29">
        <v>-1506.802535534704</v>
      </c>
      <c r="V1205" s="29">
        <v>4495.4362012998563</v>
      </c>
      <c r="W1205" s="29">
        <v>4254.19855910366</v>
      </c>
      <c r="X1205" s="4">
        <v>-0.32439625148733298</v>
      </c>
      <c r="Y1205" s="4">
        <v>-0.12007906195714524</v>
      </c>
      <c r="Z1205" s="4">
        <v>-9.7182503465349096E-3</v>
      </c>
      <c r="AA1205" s="3">
        <f t="shared" si="394"/>
        <v>0.34604386064390569</v>
      </c>
      <c r="AB1205" s="3">
        <f t="shared" si="397"/>
        <v>1.1342447564045011E-3</v>
      </c>
      <c r="AC1205" s="3">
        <f t="shared" si="395"/>
        <v>1.4534918625095714E-2</v>
      </c>
      <c r="AD1205" s="48"/>
      <c r="AE1205" s="46">
        <f t="shared" si="390"/>
        <v>42.09214692153158</v>
      </c>
      <c r="AF1205" s="46">
        <f t="shared" si="391"/>
        <v>-248.53980860458273</v>
      </c>
      <c r="AG1205" s="47">
        <f t="shared" si="392"/>
        <v>1484.9035203160383</v>
      </c>
      <c r="AH1205" s="45" t="str">
        <f t="shared" si="396"/>
        <v>-248.53981,42.09215,01485</v>
      </c>
      <c r="AI1205" s="44">
        <f t="shared" si="398"/>
        <v>1021.3922877176437</v>
      </c>
    </row>
    <row r="1206" spans="1:35" ht="18" customHeight="1" x14ac:dyDescent="0.25">
      <c r="A1206" s="36">
        <f t="shared" si="393"/>
        <v>0.75342605324074075</v>
      </c>
      <c r="B1206" s="42">
        <f t="shared" si="378"/>
        <v>42.092146919763344</v>
      </c>
      <c r="C1206" s="43">
        <f t="shared" si="379"/>
        <v>111.46019436245042</v>
      </c>
      <c r="D1206" s="18">
        <f t="shared" si="380"/>
        <v>1.4702999209921472</v>
      </c>
      <c r="E1206" s="21" t="str">
        <f t="shared" si="381"/>
        <v>Umbra</v>
      </c>
      <c r="F1206" s="23">
        <f>IF($E1206&lt;&gt;"Umbra",fracil2($S$2,$S$3,$S$4,$A1206,$Q$2,$O$3,$Q$4,$U1206,$V1206,$W1206),0)</f>
        <v>0</v>
      </c>
      <c r="G1206" s="19">
        <f t="shared" si="382"/>
        <v>69.302106325841962</v>
      </c>
      <c r="H1206" s="19">
        <f t="shared" si="383"/>
        <v>-4.7702222209607603</v>
      </c>
      <c r="I1206" s="19">
        <f t="shared" si="384"/>
        <v>-3.5622042715658653</v>
      </c>
      <c r="J1206" s="28">
        <f t="shared" si="385"/>
        <v>4.6904492309328598E-3</v>
      </c>
      <c r="K1206" s="24">
        <f t="shared" si="386"/>
        <v>1047.9225168852643</v>
      </c>
      <c r="L1206" s="32">
        <f t="shared" si="387"/>
        <v>0.56525590620518518</v>
      </c>
      <c r="M1206" s="35">
        <f t="shared" si="388"/>
        <v>12.851185172417736</v>
      </c>
      <c r="O1206" s="29">
        <f t="shared" si="389"/>
        <v>1046.5868139750546</v>
      </c>
      <c r="T1206" s="48">
        <v>0.75342605324074075</v>
      </c>
      <c r="U1206" s="29">
        <v>-1507.1294266159848</v>
      </c>
      <c r="V1206" s="29">
        <v>4495.3151895550063</v>
      </c>
      <c r="W1206" s="29">
        <v>4254.1887698009068</v>
      </c>
      <c r="X1206" s="4">
        <v>-0.32438932132529358</v>
      </c>
      <c r="Y1206" s="4">
        <v>-0.12009474961867682</v>
      </c>
      <c r="Z1206" s="4">
        <v>-9.7107260070026374E-3</v>
      </c>
      <c r="AA1206" s="3">
        <f t="shared" si="394"/>
        <v>0.34604259690887818</v>
      </c>
      <c r="AB1206" s="3">
        <f t="shared" si="397"/>
        <v>1.1338225178896552E-3</v>
      </c>
      <c r="AC1206" s="3">
        <f t="shared" si="395"/>
        <v>1.4523722533640008E-2</v>
      </c>
      <c r="AD1206" s="48"/>
      <c r="AE1206" s="46">
        <f t="shared" si="390"/>
        <v>42.092146919763344</v>
      </c>
      <c r="AF1206" s="46">
        <f t="shared" si="391"/>
        <v>-248.53980563754959</v>
      </c>
      <c r="AG1206" s="47">
        <f t="shared" si="392"/>
        <v>1470.2999209921472</v>
      </c>
      <c r="AH1206" s="45" t="str">
        <f t="shared" si="396"/>
        <v>-248.53981,42.09215,01470</v>
      </c>
      <c r="AI1206" s="44">
        <f t="shared" si="398"/>
        <v>1021.3925202606823</v>
      </c>
    </row>
    <row r="1207" spans="1:35" ht="18" customHeight="1" x14ac:dyDescent="0.25">
      <c r="A1207" s="36">
        <f t="shared" si="393"/>
        <v>0.7534375347222223</v>
      </c>
      <c r="B1207" s="42">
        <f t="shared" si="378"/>
        <v>42.092146918025449</v>
      </c>
      <c r="C1207" s="43">
        <f t="shared" si="379"/>
        <v>111.46019363561545</v>
      </c>
      <c r="D1207" s="18">
        <f t="shared" si="380"/>
        <v>1.4559375509097663</v>
      </c>
      <c r="E1207" s="21" t="str">
        <f t="shared" si="381"/>
        <v>Umbra</v>
      </c>
      <c r="F1207" s="23">
        <f>IF($E1207&lt;&gt;"Umbra",fracil2($S$2,$S$3,$S$4,$A1207,$Q$2,$O$3,$Q$4,$U1207,$V1207,$W1207),0)</f>
        <v>0</v>
      </c>
      <c r="G1207" s="19">
        <f t="shared" si="382"/>
        <v>69.302108160886092</v>
      </c>
      <c r="H1207" s="19">
        <f t="shared" si="383"/>
        <v>-4.7710045780726622</v>
      </c>
      <c r="I1207" s="19">
        <f t="shared" si="384"/>
        <v>-3.5629866286777672</v>
      </c>
      <c r="J1207" s="28">
        <f t="shared" si="385"/>
        <v>4.6899693829155443E-3</v>
      </c>
      <c r="K1207" s="24">
        <f t="shared" si="386"/>
        <v>1047.921279640766</v>
      </c>
      <c r="L1207" s="32">
        <f t="shared" si="387"/>
        <v>0.56526907697000117</v>
      </c>
      <c r="M1207" s="35">
        <f t="shared" si="388"/>
        <v>12.850656913655261</v>
      </c>
      <c r="O1207" s="29">
        <f t="shared" si="389"/>
        <v>1046.5867554916392</v>
      </c>
      <c r="T1207" s="48">
        <v>0.7534375347222223</v>
      </c>
      <c r="U1207" s="29">
        <v>-1507.4511582348612</v>
      </c>
      <c r="V1207" s="29">
        <v>4495.1960698247703</v>
      </c>
      <c r="W1207" s="29">
        <v>4254.1791422026345</v>
      </c>
      <c r="X1207" s="4">
        <v>-0.32438249800648927</v>
      </c>
      <c r="Y1207" s="4">
        <v>-0.12011019704793321</v>
      </c>
      <c r="Z1207" s="4">
        <v>-9.7033270884179269E-3</v>
      </c>
      <c r="AA1207" s="3">
        <f t="shared" si="394"/>
        <v>0.34604135447141021</v>
      </c>
      <c r="AB1207" s="3">
        <f t="shared" si="397"/>
        <v>1.131772581668836E-3</v>
      </c>
      <c r="AC1207" s="3">
        <f t="shared" si="395"/>
        <v>1.4512713156999578E-2</v>
      </c>
      <c r="AD1207" s="48"/>
      <c r="AE1207" s="46">
        <f t="shared" si="390"/>
        <v>42.092146918025449</v>
      </c>
      <c r="AF1207" s="46">
        <f t="shared" si="391"/>
        <v>-248.53980636438456</v>
      </c>
      <c r="AG1207" s="47">
        <f t="shared" si="392"/>
        <v>1455.9375509097663</v>
      </c>
      <c r="AH1207" s="45" t="str">
        <f t="shared" si="396"/>
        <v>-248.53981,42.09215,01456</v>
      </c>
      <c r="AI1207" s="44">
        <f t="shared" si="398"/>
        <v>1021.3925202606823</v>
      </c>
    </row>
    <row r="1208" spans="1:35" ht="18" customHeight="1" x14ac:dyDescent="0.25">
      <c r="A1208" s="36">
        <f t="shared" si="393"/>
        <v>0.75344906249999999</v>
      </c>
      <c r="B1208" s="42">
        <f t="shared" si="378"/>
        <v>42.092146916282481</v>
      </c>
      <c r="C1208" s="43">
        <f t="shared" si="379"/>
        <v>111.46019396738802</v>
      </c>
      <c r="D1208" s="18">
        <f t="shared" si="380"/>
        <v>1.4415246003591164</v>
      </c>
      <c r="E1208" s="21" t="str">
        <f t="shared" si="381"/>
        <v>Umbra</v>
      </c>
      <c r="F1208" s="23">
        <f>IF($E1208&lt;&gt;"Umbra",fracil2($S$2,$S$3,$S$4,$A1208,$Q$2,$O$3,$Q$4,$U1208,$V1208,$W1208),0)</f>
        <v>0</v>
      </c>
      <c r="G1208" s="19">
        <f t="shared" si="382"/>
        <v>69.302111082307889</v>
      </c>
      <c r="H1208" s="19">
        <f t="shared" si="383"/>
        <v>-4.771790072737299</v>
      </c>
      <c r="I1208" s="19">
        <f t="shared" si="384"/>
        <v>-3.563772123342404</v>
      </c>
      <c r="J1208" s="28">
        <f t="shared" si="385"/>
        <v>4.6894879793699844E-3</v>
      </c>
      <c r="K1208" s="24">
        <f t="shared" si="386"/>
        <v>1047.9201235293806</v>
      </c>
      <c r="L1208" s="32">
        <f t="shared" si="387"/>
        <v>0.56528229874898406</v>
      </c>
      <c r="M1208" s="35">
        <f t="shared" si="388"/>
        <v>12.850125735165843</v>
      </c>
      <c r="O1208" s="29">
        <f t="shared" si="389"/>
        <v>1046.5867821236645</v>
      </c>
      <c r="T1208" s="48">
        <v>0.75344906249999999</v>
      </c>
      <c r="U1208" s="29">
        <v>-1507.7742627670748</v>
      </c>
      <c r="V1208" s="29">
        <v>4495.0764238331885</v>
      </c>
      <c r="W1208" s="29">
        <v>4254.1694806985952</v>
      </c>
      <c r="X1208" s="4">
        <v>-0.32437564269650204</v>
      </c>
      <c r="Y1208" s="4">
        <v>-0.12012571878623365</v>
      </c>
      <c r="Z1208" s="4">
        <v>-9.6959042985917763E-3</v>
      </c>
      <c r="AA1208" s="3">
        <f t="shared" si="394"/>
        <v>0.3460401081505517</v>
      </c>
      <c r="AB1208" s="3">
        <f t="shared" si="397"/>
        <v>1.1308608437999533E-3</v>
      </c>
      <c r="AC1208" s="3">
        <f t="shared" si="395"/>
        <v>1.45016682924511E-2</v>
      </c>
      <c r="AD1208" s="48"/>
      <c r="AE1208" s="46">
        <f t="shared" si="390"/>
        <v>42.092146916282481</v>
      </c>
      <c r="AF1208" s="46">
        <f t="shared" si="391"/>
        <v>-248.53980603261198</v>
      </c>
      <c r="AG1208" s="47">
        <f t="shared" si="392"/>
        <v>1441.5246003591164</v>
      </c>
      <c r="AH1208" s="45" t="str">
        <f t="shared" si="396"/>
        <v>-248.53981,42.09215,01442</v>
      </c>
      <c r="AI1208" s="44">
        <f t="shared" si="398"/>
        <v>1021.3925202606823</v>
      </c>
    </row>
    <row r="1209" spans="1:35" ht="18" customHeight="1" x14ac:dyDescent="0.25">
      <c r="A1209" s="36">
        <f t="shared" si="393"/>
        <v>0.75346074074074076</v>
      </c>
      <c r="B1209" s="42">
        <f t="shared" si="378"/>
        <v>42.092146914520264</v>
      </c>
      <c r="C1209" s="43">
        <f t="shared" si="379"/>
        <v>111.46019208732871</v>
      </c>
      <c r="D1209" s="18">
        <f t="shared" si="380"/>
        <v>1.4269424370959314</v>
      </c>
      <c r="E1209" s="21" t="str">
        <f t="shared" si="381"/>
        <v>Umbra</v>
      </c>
      <c r="F1209" s="23">
        <f>IF($E1209&lt;&gt;"Umbra",fracil2($S$2,$S$3,$S$4,$A1209,$Q$2,$O$3,$Q$4,$U1209,$V1209,$W1209),0)</f>
        <v>0</v>
      </c>
      <c r="G1209" s="19">
        <f t="shared" si="382"/>
        <v>69.302111783171995</v>
      </c>
      <c r="H1209" s="19">
        <f t="shared" si="383"/>
        <v>-4.7725839969018748</v>
      </c>
      <c r="I1209" s="19">
        <f t="shared" si="384"/>
        <v>-3.5645660475069798</v>
      </c>
      <c r="J1209" s="28">
        <f t="shared" si="385"/>
        <v>4.6890011689446611E-3</v>
      </c>
      <c r="K1209" s="24">
        <f t="shared" si="386"/>
        <v>1047.9187759514975</v>
      </c>
      <c r="L1209" s="32">
        <f t="shared" si="387"/>
        <v>0.56529569352535758</v>
      </c>
      <c r="M1209" s="35">
        <f t="shared" si="388"/>
        <v>12.849590514007467</v>
      </c>
      <c r="O1209" s="29">
        <f t="shared" si="389"/>
        <v>1046.5866309165842</v>
      </c>
      <c r="T1209" s="48">
        <v>0.75346074074074076</v>
      </c>
      <c r="U1209" s="29">
        <v>-1508.1014055150847</v>
      </c>
      <c r="V1209" s="29">
        <v>4494.9552641535756</v>
      </c>
      <c r="W1209" s="29">
        <v>4254.1597057654653</v>
      </c>
      <c r="X1209" s="4">
        <v>-0.32436869876444524</v>
      </c>
      <c r="Y1209" s="4">
        <v>-0.12014144310510166</v>
      </c>
      <c r="Z1209" s="4">
        <v>-9.6883966290946151E-3</v>
      </c>
      <c r="AA1209" s="3">
        <f t="shared" si="394"/>
        <v>0.34603884770175508</v>
      </c>
      <c r="AB1209" s="3">
        <f t="shared" si="397"/>
        <v>1.1290529976717809E-3</v>
      </c>
      <c r="AC1209" s="3">
        <f t="shared" si="395"/>
        <v>1.4490497155312641E-2</v>
      </c>
      <c r="AD1209" s="48"/>
      <c r="AE1209" s="46">
        <f t="shared" si="390"/>
        <v>42.092146914520264</v>
      </c>
      <c r="AF1209" s="46">
        <f t="shared" si="391"/>
        <v>-248.53980791267128</v>
      </c>
      <c r="AG1209" s="47">
        <f t="shared" si="392"/>
        <v>1426.9424370959314</v>
      </c>
      <c r="AH1209" s="45" t="str">
        <f t="shared" si="396"/>
        <v>-248.53981,42.09215,01427</v>
      </c>
      <c r="AI1209" s="44">
        <f t="shared" si="398"/>
        <v>1021.3927101312782</v>
      </c>
    </row>
    <row r="1210" spans="1:35" ht="18" customHeight="1" x14ac:dyDescent="0.25">
      <c r="A1210" s="36">
        <f t="shared" si="393"/>
        <v>0.75347221064814818</v>
      </c>
      <c r="B1210" s="42">
        <f t="shared" si="378"/>
        <v>42.092146912790469</v>
      </c>
      <c r="C1210" s="43">
        <f t="shared" si="379"/>
        <v>111.46019312917309</v>
      </c>
      <c r="D1210" s="18">
        <f t="shared" si="380"/>
        <v>1.4126214169227751</v>
      </c>
      <c r="E1210" s="21" t="str">
        <f t="shared" si="381"/>
        <v>Umbra</v>
      </c>
      <c r="F1210" s="23">
        <f>IF($E1210&lt;&gt;"Umbra",fracil2($S$2,$S$3,$S$4,$A1210,$Q$2,$O$3,$Q$4,$U1210,$V1210,$W1210),0)</f>
        <v>0</v>
      </c>
      <c r="G1210" s="19">
        <f t="shared" si="382"/>
        <v>69.302115410737741</v>
      </c>
      <c r="H1210" s="19">
        <f t="shared" si="383"/>
        <v>-4.7733647402635491</v>
      </c>
      <c r="I1210" s="19">
        <f t="shared" si="384"/>
        <v>-3.565346790868654</v>
      </c>
      <c r="J1210" s="28">
        <f t="shared" si="385"/>
        <v>4.6885230783654756E-3</v>
      </c>
      <c r="K1210" s="24">
        <f t="shared" si="386"/>
        <v>1047.9176848507961</v>
      </c>
      <c r="L1210" s="32">
        <f t="shared" si="387"/>
        <v>0.56530884583449725</v>
      </c>
      <c r="M1210" s="35">
        <f t="shared" si="388"/>
        <v>12.849062004867161</v>
      </c>
      <c r="O1210" s="29">
        <f t="shared" si="389"/>
        <v>1046.5867146410565</v>
      </c>
      <c r="T1210" s="48">
        <v>0.75347221064814818</v>
      </c>
      <c r="U1210" s="29">
        <v>-1508.4229296377541</v>
      </c>
      <c r="V1210" s="29">
        <v>4494.8361673879754</v>
      </c>
      <c r="W1210" s="29">
        <v>4254.1501058857393</v>
      </c>
      <c r="X1210" s="4">
        <v>-0.32436187161028907</v>
      </c>
      <c r="Y1210" s="4">
        <v>-0.12015690456864907</v>
      </c>
      <c r="Z1210" s="4">
        <v>-9.6810244751509844E-3</v>
      </c>
      <c r="AA1210" s="3">
        <f t="shared" si="394"/>
        <v>0.34603761024625279</v>
      </c>
      <c r="AB1210" s="3">
        <f t="shared" si="397"/>
        <v>1.1288071431205544E-3</v>
      </c>
      <c r="AC1210" s="3">
        <f t="shared" si="395"/>
        <v>1.4479527694212804E-2</v>
      </c>
      <c r="AD1210" s="48"/>
      <c r="AE1210" s="46">
        <f t="shared" si="390"/>
        <v>42.092146912790469</v>
      </c>
      <c r="AF1210" s="46">
        <f t="shared" si="391"/>
        <v>-248.53980687082691</v>
      </c>
      <c r="AG1210" s="47">
        <f t="shared" si="392"/>
        <v>1412.6214169227751</v>
      </c>
      <c r="AH1210" s="45" t="str">
        <f t="shared" si="396"/>
        <v>-248.53981,42.09215,01413</v>
      </c>
      <c r="AI1210" s="44">
        <f t="shared" si="398"/>
        <v>1021.3928443900633</v>
      </c>
    </row>
    <row r="1211" spans="1:35" ht="18" customHeight="1" x14ac:dyDescent="0.25">
      <c r="A1211" s="36">
        <f t="shared" si="393"/>
        <v>0.75348383101851857</v>
      </c>
      <c r="B1211" s="42">
        <f t="shared" si="378"/>
        <v>42.092146911041198</v>
      </c>
      <c r="C1211" s="43">
        <f t="shared" si="379"/>
        <v>111.46019233848307</v>
      </c>
      <c r="D1211" s="18">
        <f t="shared" si="380"/>
        <v>1.3981300200985061</v>
      </c>
      <c r="E1211" s="21" t="str">
        <f t="shared" si="381"/>
        <v>Umbra</v>
      </c>
      <c r="F1211" s="23">
        <f>IF($E1211&lt;&gt;"Umbra",fracil2($S$2,$S$3,$S$4,$A1211,$Q$2,$O$3,$Q$4,$U1211,$V1211,$W1211),0)</f>
        <v>0</v>
      </c>
      <c r="G1211" s="19">
        <f t="shared" si="382"/>
        <v>69.302117203951923</v>
      </c>
      <c r="H1211" s="19">
        <f t="shared" si="383"/>
        <v>-4.7741541126637799</v>
      </c>
      <c r="I1211" s="19">
        <f t="shared" si="384"/>
        <v>-3.5661361632688848</v>
      </c>
      <c r="J1211" s="28">
        <f t="shared" si="385"/>
        <v>4.6880394548970304E-3</v>
      </c>
      <c r="K1211" s="24">
        <f t="shared" si="386"/>
        <v>1047.916432677288</v>
      </c>
      <c r="L1211" s="32">
        <f t="shared" si="387"/>
        <v>0.56532217082965974</v>
      </c>
      <c r="M1211" s="35">
        <f t="shared" si="388"/>
        <v>12.848529033502576</v>
      </c>
      <c r="O1211" s="29">
        <f t="shared" si="389"/>
        <v>1046.5866510232045</v>
      </c>
      <c r="T1211" s="48">
        <v>0.75348383101851857</v>
      </c>
      <c r="U1211" s="29">
        <v>-1508.7485213110374</v>
      </c>
      <c r="V1211" s="29">
        <v>4494.7155457704312</v>
      </c>
      <c r="W1211" s="29">
        <v>4254.1403917966891</v>
      </c>
      <c r="X1211" s="4">
        <v>-0.32435495557631872</v>
      </c>
      <c r="Y1211" s="4">
        <v>-0.12017256891114926</v>
      </c>
      <c r="Z1211" s="4">
        <v>-9.673565689419383E-3</v>
      </c>
      <c r="AA1211" s="3">
        <f t="shared" si="394"/>
        <v>0.34603635849252623</v>
      </c>
      <c r="AB1211" s="3">
        <f t="shared" si="397"/>
        <v>1.1272802811939117E-3</v>
      </c>
      <c r="AC1211" s="3">
        <f t="shared" si="395"/>
        <v>1.4468429367333648E-2</v>
      </c>
      <c r="AD1211" s="48"/>
      <c r="AE1211" s="46">
        <f t="shared" si="390"/>
        <v>42.092146911041198</v>
      </c>
      <c r="AF1211" s="46">
        <f t="shared" si="391"/>
        <v>-248.53980766151693</v>
      </c>
      <c r="AG1211" s="47">
        <f t="shared" si="392"/>
        <v>1398.1300200985061</v>
      </c>
      <c r="AH1211" s="45" t="str">
        <f t="shared" si="396"/>
        <v>-248.53981,42.09215,01398</v>
      </c>
      <c r="AI1211" s="44">
        <f t="shared" si="398"/>
        <v>1021.3928443900633</v>
      </c>
    </row>
    <row r="1212" spans="1:35" ht="18" customHeight="1" x14ac:dyDescent="0.25">
      <c r="A1212" s="36">
        <f t="shared" si="393"/>
        <v>0.75349542824074067</v>
      </c>
      <c r="B1212" s="42">
        <f t="shared" si="378"/>
        <v>42.09214690929663</v>
      </c>
      <c r="C1212" s="43">
        <f t="shared" si="379"/>
        <v>111.4601938767816</v>
      </c>
      <c r="D1212" s="18">
        <f t="shared" si="380"/>
        <v>1.3836705869498473</v>
      </c>
      <c r="E1212" s="21" t="str">
        <f t="shared" si="381"/>
        <v>Umbra</v>
      </c>
      <c r="F1212" s="23">
        <f>IF($E1212&lt;&gt;"Umbra",fracil2($S$2,$S$3,$S$4,$A1212,$Q$2,$O$3,$Q$4,$U1212,$V1212,$W1212),0)</f>
        <v>0</v>
      </c>
      <c r="G1212" s="19">
        <f t="shared" si="382"/>
        <v>69.302121361564531</v>
      </c>
      <c r="H1212" s="19">
        <f t="shared" si="383"/>
        <v>-4.7749425796020812</v>
      </c>
      <c r="I1212" s="19">
        <f t="shared" si="384"/>
        <v>-3.5669246302071862</v>
      </c>
      <c r="J1212" s="28">
        <f t="shared" si="385"/>
        <v>4.687557052598261E-3</v>
      </c>
      <c r="K1212" s="24">
        <f t="shared" si="386"/>
        <v>1047.9153705208075</v>
      </c>
      <c r="L1212" s="32">
        <f t="shared" si="387"/>
        <v>0.56533546618662789</v>
      </c>
      <c r="M1212" s="35">
        <f t="shared" si="388"/>
        <v>12.847994921847159</v>
      </c>
      <c r="O1212" s="29">
        <f t="shared" si="389"/>
        <v>1046.5867746638667</v>
      </c>
      <c r="T1212" s="48">
        <v>0.75349542824074067</v>
      </c>
      <c r="U1212" s="29">
        <v>-1509.0736381537974</v>
      </c>
      <c r="V1212" s="29">
        <v>4494.5950818012616</v>
      </c>
      <c r="W1212" s="29">
        <v>4254.1306991340743</v>
      </c>
      <c r="X1212" s="4">
        <v>-0.32434804639891213</v>
      </c>
      <c r="Y1212" s="4">
        <v>-0.12018821982227187</v>
      </c>
      <c r="Z1212" s="4">
        <v>-9.6661264435499647E-3</v>
      </c>
      <c r="AA1212" s="3">
        <f t="shared" si="394"/>
        <v>0.3460351100499201</v>
      </c>
      <c r="AB1212" s="3">
        <f t="shared" si="397"/>
        <v>1.1265671018708121E-3</v>
      </c>
      <c r="AC1212" s="3">
        <f t="shared" si="395"/>
        <v>1.4457360156098813E-2</v>
      </c>
      <c r="AD1212" s="48"/>
      <c r="AE1212" s="46">
        <f t="shared" si="390"/>
        <v>42.09214690929663</v>
      </c>
      <c r="AF1212" s="46">
        <f t="shared" si="391"/>
        <v>-248.5398061232184</v>
      </c>
      <c r="AG1212" s="47">
        <f t="shared" si="392"/>
        <v>1383.6705869498473</v>
      </c>
      <c r="AH1212" s="45" t="str">
        <f t="shared" si="396"/>
        <v>-248.53981,42.09215,01384</v>
      </c>
      <c r="AI1212" s="44">
        <f t="shared" si="398"/>
        <v>1021.3929786488483</v>
      </c>
    </row>
    <row r="1213" spans="1:35" ht="18" customHeight="1" x14ac:dyDescent="0.25">
      <c r="A1213" s="36">
        <f t="shared" si="393"/>
        <v>0.75350696759259261</v>
      </c>
      <c r="B1213" s="42">
        <f t="shared" si="378"/>
        <v>42.09214690756329</v>
      </c>
      <c r="C1213" s="43">
        <f t="shared" si="379"/>
        <v>111.46019462936134</v>
      </c>
      <c r="D1213" s="18">
        <f t="shared" si="380"/>
        <v>1.3692970262518429</v>
      </c>
      <c r="E1213" s="21" t="str">
        <f t="shared" si="381"/>
        <v>Umbra</v>
      </c>
      <c r="F1213" s="23">
        <f>IF($E1213&lt;&gt;"Umbra",fracil2($S$2,$S$3,$S$4,$A1213,$Q$2,$O$3,$Q$4,$U1213,$V1213,$W1213),0)</f>
        <v>0</v>
      </c>
      <c r="G1213" s="19">
        <f t="shared" si="382"/>
        <v>69.302124704193133</v>
      </c>
      <c r="H1213" s="19">
        <f t="shared" si="383"/>
        <v>-4.7757260873554195</v>
      </c>
      <c r="I1213" s="19">
        <f t="shared" si="384"/>
        <v>-3.5677081379605244</v>
      </c>
      <c r="J1213" s="28">
        <f t="shared" si="385"/>
        <v>4.6870776388498007E-3</v>
      </c>
      <c r="K1213" s="24">
        <f t="shared" si="386"/>
        <v>1047.914252449257</v>
      </c>
      <c r="L1213" s="32">
        <f t="shared" si="387"/>
        <v>0.56534869453136016</v>
      </c>
      <c r="M1213" s="35">
        <f t="shared" si="388"/>
        <v>12.847464747220835</v>
      </c>
      <c r="O1213" s="29">
        <f t="shared" si="389"/>
        <v>1046.5868351304193</v>
      </c>
      <c r="T1213" s="48">
        <v>0.75350696759259261</v>
      </c>
      <c r="U1213" s="29">
        <v>-1509.3970653877313</v>
      </c>
      <c r="V1213" s="29">
        <v>4494.4752257590235</v>
      </c>
      <c r="W1213" s="29">
        <v>4254.1210640348336</v>
      </c>
      <c r="X1213" s="4">
        <v>-0.32434117060963313</v>
      </c>
      <c r="Y1213" s="4">
        <v>-0.12020379668281071</v>
      </c>
      <c r="Z1213" s="4">
        <v>-9.6587324964024605E-3</v>
      </c>
      <c r="AA1213" s="3">
        <f t="shared" si="394"/>
        <v>0.34603386944463499</v>
      </c>
      <c r="AB1213" s="3">
        <f t="shared" si="397"/>
        <v>1.1253183418408618E-3</v>
      </c>
      <c r="AC1213" s="3">
        <f t="shared" si="395"/>
        <v>1.4446358389053617E-2</v>
      </c>
      <c r="AD1213" s="48"/>
      <c r="AE1213" s="46">
        <f t="shared" si="390"/>
        <v>42.09214690756329</v>
      </c>
      <c r="AF1213" s="46">
        <f t="shared" si="391"/>
        <v>-248.53980537063865</v>
      </c>
      <c r="AG1213" s="47">
        <f t="shared" si="392"/>
        <v>1369.2970262518429</v>
      </c>
      <c r="AH1213" s="45" t="str">
        <f t="shared" si="396"/>
        <v>-248.53981,42.09215,01369</v>
      </c>
      <c r="AI1213" s="44">
        <f t="shared" si="398"/>
        <v>1021.3929786488483</v>
      </c>
    </row>
    <row r="1214" spans="1:35" ht="18" customHeight="1" x14ac:dyDescent="0.25">
      <c r="A1214" s="36">
        <f t="shared" si="393"/>
        <v>0.75351853009259262</v>
      </c>
      <c r="B1214" s="42">
        <f t="shared" si="378"/>
        <v>42.092146905830063</v>
      </c>
      <c r="C1214" s="43">
        <f t="shared" si="379"/>
        <v>111.46019198907263</v>
      </c>
      <c r="D1214" s="18">
        <f t="shared" si="380"/>
        <v>1.3549173551118656</v>
      </c>
      <c r="E1214" s="21" t="str">
        <f t="shared" si="381"/>
        <v>Umbra</v>
      </c>
      <c r="F1214" s="23">
        <f>IF($E1214&lt;&gt;"Umbra",fracil2($S$2,$S$3,$S$4,$A1214,$Q$2,$O$3,$Q$4,$U1214,$V1214,$W1214),0)</f>
        <v>0</v>
      </c>
      <c r="G1214" s="19">
        <f t="shared" si="382"/>
        <v>69.302124595134089</v>
      </c>
      <c r="H1214" s="19">
        <f t="shared" si="383"/>
        <v>-4.7765087146054963</v>
      </c>
      <c r="I1214" s="19">
        <f t="shared" si="384"/>
        <v>-3.5684907652106013</v>
      </c>
      <c r="J1214" s="28">
        <f t="shared" si="385"/>
        <v>4.6865982574635255E-3</v>
      </c>
      <c r="K1214" s="24">
        <f t="shared" si="386"/>
        <v>1047.912861365093</v>
      </c>
      <c r="L1214" s="32">
        <f t="shared" si="387"/>
        <v>0.56536195078357665</v>
      </c>
      <c r="M1214" s="35">
        <f t="shared" si="388"/>
        <v>12.846937708990644</v>
      </c>
      <c r="O1214" s="29">
        <f t="shared" si="389"/>
        <v>1046.5866227990973</v>
      </c>
      <c r="T1214" s="48">
        <v>0.75351853009259262</v>
      </c>
      <c r="U1214" s="29">
        <v>-1509.7208710525329</v>
      </c>
      <c r="V1214" s="29">
        <v>4494.3552113670603</v>
      </c>
      <c r="W1214" s="29">
        <v>4254.1114248396216</v>
      </c>
      <c r="X1214" s="4">
        <v>-0.32433428410300152</v>
      </c>
      <c r="Y1214" s="4">
        <v>-0.12021939950686029</v>
      </c>
      <c r="Z1214" s="4">
        <v>-9.6513369654566382E-3</v>
      </c>
      <c r="AA1214" s="3">
        <f t="shared" si="394"/>
        <v>0.34603262876153368</v>
      </c>
      <c r="AB1214" s="3">
        <f t="shared" si="397"/>
        <v>1.1233016640601211E-3</v>
      </c>
      <c r="AC1214" s="3">
        <f t="shared" si="395"/>
        <v>1.4435354308031955E-2</v>
      </c>
      <c r="AD1214" s="48"/>
      <c r="AE1214" s="46">
        <f t="shared" si="390"/>
        <v>42.092146905830063</v>
      </c>
      <c r="AF1214" s="46">
        <f t="shared" si="391"/>
        <v>-248.53980801092737</v>
      </c>
      <c r="AG1214" s="47">
        <f t="shared" si="392"/>
        <v>1354.9173551118656</v>
      </c>
      <c r="AH1214" s="45" t="str">
        <f t="shared" si="396"/>
        <v>-248.53981,42.09215,01355</v>
      </c>
      <c r="AI1214" s="44">
        <f t="shared" si="398"/>
        <v>1021.3932111918868</v>
      </c>
    </row>
    <row r="1215" spans="1:35" ht="18" customHeight="1" x14ac:dyDescent="0.25">
      <c r="A1215" s="36">
        <f t="shared" si="393"/>
        <v>0.75353010416666677</v>
      </c>
      <c r="B1215" s="42">
        <f t="shared" si="378"/>
        <v>42.092146904095166</v>
      </c>
      <c r="C1215" s="43">
        <f t="shared" si="379"/>
        <v>111.46019419866559</v>
      </c>
      <c r="D1215" s="18">
        <f t="shared" si="380"/>
        <v>1.3405176068526998</v>
      </c>
      <c r="E1215" s="21" t="str">
        <f t="shared" si="381"/>
        <v>Umbra</v>
      </c>
      <c r="F1215" s="23">
        <f>IF($E1215&lt;&gt;"Umbra",fracil2($S$2,$S$3,$S$4,$A1215,$Q$2,$O$3,$Q$4,$U1215,$V1215,$W1215),0)</f>
        <v>0</v>
      </c>
      <c r="G1215" s="19">
        <f t="shared" si="382"/>
        <v>69.302129425216592</v>
      </c>
      <c r="H1215" s="19">
        <f t="shared" si="383"/>
        <v>-4.7772941746514546</v>
      </c>
      <c r="I1215" s="19">
        <f t="shared" si="384"/>
        <v>-3.5692762252565595</v>
      </c>
      <c r="J1215" s="28">
        <f t="shared" si="385"/>
        <v>4.6861181441567486E-3</v>
      </c>
      <c r="K1215" s="24">
        <f t="shared" si="386"/>
        <v>1047.9118586487209</v>
      </c>
      <c r="L1215" s="32">
        <f t="shared" si="387"/>
        <v>0.56537521525262391</v>
      </c>
      <c r="M1215" s="35">
        <f t="shared" si="388"/>
        <v>12.846405112074015</v>
      </c>
      <c r="O1215" s="29">
        <f t="shared" si="389"/>
        <v>1046.5868004143124</v>
      </c>
      <c r="T1215" s="48">
        <v>0.75353010416666677</v>
      </c>
      <c r="U1215" s="29">
        <v>-1510.045370643315</v>
      </c>
      <c r="V1215" s="29">
        <v>4494.2349215923459</v>
      </c>
      <c r="W1215" s="29">
        <v>4254.1017721860762</v>
      </c>
      <c r="X1215" s="4">
        <v>-0.32432738034752295</v>
      </c>
      <c r="Y1215" s="4">
        <v>-0.12023504295694198</v>
      </c>
      <c r="Z1215" s="4">
        <v>-9.6439321291255462E-3</v>
      </c>
      <c r="AA1215" s="3">
        <f t="shared" si="394"/>
        <v>0.34603138676261103</v>
      </c>
      <c r="AB1215" s="3">
        <f t="shared" si="397"/>
        <v>1.1235859415164925E-3</v>
      </c>
      <c r="AC1215" s="3">
        <f t="shared" si="395"/>
        <v>1.4424336424289372E-2</v>
      </c>
      <c r="AD1215" s="48"/>
      <c r="AE1215" s="46">
        <f t="shared" si="390"/>
        <v>42.092146904095166</v>
      </c>
      <c r="AF1215" s="46">
        <f t="shared" si="391"/>
        <v>-248.53980580133441</v>
      </c>
      <c r="AG1215" s="47">
        <f t="shared" si="392"/>
        <v>1340.5176068526998</v>
      </c>
      <c r="AH1215" s="45" t="str">
        <f t="shared" si="396"/>
        <v>-248.53981,42.09215,01341</v>
      </c>
      <c r="AI1215" s="44">
        <f t="shared" si="398"/>
        <v>1021.3934234736669</v>
      </c>
    </row>
    <row r="1216" spans="1:35" ht="18" customHeight="1" x14ac:dyDescent="0.25">
      <c r="A1216" s="36">
        <f t="shared" si="393"/>
        <v>0.75354175925925926</v>
      </c>
      <c r="B1216" s="42">
        <f t="shared" si="378"/>
        <v>42.09214690235261</v>
      </c>
      <c r="C1216" s="43">
        <f t="shared" si="379"/>
        <v>111.46019140645527</v>
      </c>
      <c r="D1216" s="18">
        <f t="shared" si="380"/>
        <v>1.32604548605741</v>
      </c>
      <c r="E1216" s="21" t="str">
        <f t="shared" si="381"/>
        <v>Umbra</v>
      </c>
      <c r="F1216" s="23">
        <f>IF($E1216&lt;&gt;"Umbra",fracil2($S$2,$S$3,$S$4,$A1216,$Q$2,$O$3,$Q$4,$U1216,$V1216,$W1216),0)</f>
        <v>0</v>
      </c>
      <c r="G1216" s="19">
        <f t="shared" si="382"/>
        <v>69.302129178139907</v>
      </c>
      <c r="H1216" s="19">
        <f t="shared" si="383"/>
        <v>-4.7780817891529876</v>
      </c>
      <c r="I1216" s="19">
        <f t="shared" si="384"/>
        <v>-3.5700638397580926</v>
      </c>
      <c r="J1216" s="28">
        <f t="shared" si="385"/>
        <v>4.6856358915744198E-3</v>
      </c>
      <c r="K1216" s="24">
        <f t="shared" si="386"/>
        <v>1047.9104481704567</v>
      </c>
      <c r="L1216" s="32">
        <f t="shared" si="387"/>
        <v>0.56538857519628549</v>
      </c>
      <c r="M1216" s="35">
        <f t="shared" si="388"/>
        <v>12.845874807250377</v>
      </c>
      <c r="O1216" s="29">
        <f t="shared" si="389"/>
        <v>1046.5865758677455</v>
      </c>
      <c r="T1216" s="48">
        <v>0.75354175925925926</v>
      </c>
      <c r="U1216" s="29">
        <v>-1510.3717452945427</v>
      </c>
      <c r="V1216" s="29">
        <v>4494.1139183704818</v>
      </c>
      <c r="W1216" s="29">
        <v>4254.0920710187866</v>
      </c>
      <c r="X1216" s="4">
        <v>-0.32432043407352962</v>
      </c>
      <c r="Y1216" s="4">
        <v>-0.12025078438306409</v>
      </c>
      <c r="Z1216" s="4">
        <v>-9.6364914220030354E-3</v>
      </c>
      <c r="AA1216" s="3">
        <f t="shared" si="394"/>
        <v>0.3460301389609165</v>
      </c>
      <c r="AB1216" s="3">
        <f t="shared" si="397"/>
        <v>1.1211761706290983E-3</v>
      </c>
      <c r="AC1216" s="3">
        <f t="shared" si="395"/>
        <v>1.4413265210985578E-2</v>
      </c>
      <c r="AD1216" s="48"/>
      <c r="AE1216" s="46">
        <f t="shared" si="390"/>
        <v>42.09214690235261</v>
      </c>
      <c r="AF1216" s="46">
        <f t="shared" si="391"/>
        <v>-248.53980859354473</v>
      </c>
      <c r="AG1216" s="47">
        <f t="shared" si="392"/>
        <v>1326.04548605741</v>
      </c>
      <c r="AH1216" s="45" t="str">
        <f t="shared" si="396"/>
        <v>-248.53981,42.09215,01326</v>
      </c>
      <c r="AI1216" s="44">
        <f t="shared" si="398"/>
        <v>1021.3936560167054</v>
      </c>
    </row>
    <row r="1217" spans="1:35" ht="18" customHeight="1" x14ac:dyDescent="0.25">
      <c r="A1217" s="36">
        <f t="shared" si="393"/>
        <v>0.75355322916666667</v>
      </c>
      <c r="B1217" s="42">
        <f t="shared" si="378"/>
        <v>42.092146900638014</v>
      </c>
      <c r="C1217" s="43">
        <f t="shared" si="379"/>
        <v>111.46019342144784</v>
      </c>
      <c r="D1217" s="18">
        <f t="shared" si="380"/>
        <v>1.31179783546213</v>
      </c>
      <c r="E1217" s="21" t="str">
        <f t="shared" si="381"/>
        <v>Umbra</v>
      </c>
      <c r="F1217" s="23">
        <f>IF($E1217&lt;&gt;"Umbra",fracil2($S$2,$S$3,$S$4,$A1217,$Q$2,$O$3,$Q$4,$U1217,$V1217,$W1217),0)</f>
        <v>0</v>
      </c>
      <c r="G1217" s="19">
        <f t="shared" si="382"/>
        <v>69.302133782929403</v>
      </c>
      <c r="H1217" s="19">
        <f t="shared" si="383"/>
        <v>-4.7788588947217727</v>
      </c>
      <c r="I1217" s="19">
        <f t="shared" si="384"/>
        <v>-3.5708409453268777</v>
      </c>
      <c r="J1217" s="28">
        <f t="shared" si="385"/>
        <v>4.6851610229959248E-3</v>
      </c>
      <c r="K1217" s="24">
        <f t="shared" si="386"/>
        <v>1047.9094426685099</v>
      </c>
      <c r="L1217" s="32">
        <f t="shared" si="387"/>
        <v>0.56540171789427973</v>
      </c>
      <c r="M1217" s="35">
        <f t="shared" si="388"/>
        <v>12.845347994361132</v>
      </c>
      <c r="O1217" s="29">
        <f t="shared" si="389"/>
        <v>1046.5867378369462</v>
      </c>
      <c r="T1217" s="48">
        <v>0.75355322916666667</v>
      </c>
      <c r="U1217" s="29">
        <v>-1510.693297130864</v>
      </c>
      <c r="V1217" s="29">
        <v>4493.9946851747854</v>
      </c>
      <c r="W1217" s="29">
        <v>4254.0825203217773</v>
      </c>
      <c r="X1217" s="4">
        <v>-0.32431358816711781</v>
      </c>
      <c r="Y1217" s="4">
        <v>-0.12026629973942773</v>
      </c>
      <c r="Z1217" s="4">
        <v>-9.6291665946202851E-3</v>
      </c>
      <c r="AA1217" s="3">
        <f t="shared" si="394"/>
        <v>0.34602891089062443</v>
      </c>
      <c r="AB1217" s="3">
        <f t="shared" si="397"/>
        <v>1.1215306518242917E-3</v>
      </c>
      <c r="AC1217" s="3">
        <f t="shared" si="395"/>
        <v>1.4402366460979929E-2</v>
      </c>
      <c r="AD1217" s="48"/>
      <c r="AE1217" s="46">
        <f t="shared" si="390"/>
        <v>42.092146900638014</v>
      </c>
      <c r="AF1217" s="46">
        <f t="shared" si="391"/>
        <v>-248.53980657855215</v>
      </c>
      <c r="AG1217" s="47">
        <f t="shared" si="392"/>
        <v>1311.79783546213</v>
      </c>
      <c r="AH1217" s="45" t="str">
        <f t="shared" si="396"/>
        <v>-248.53981,42.09215,01312</v>
      </c>
      <c r="AI1217" s="44">
        <f t="shared" si="398"/>
        <v>1021.3937902754905</v>
      </c>
    </row>
    <row r="1218" spans="1:35" ht="18" customHeight="1" x14ac:dyDescent="0.25">
      <c r="A1218" s="36">
        <f t="shared" si="393"/>
        <v>0.75356481481481474</v>
      </c>
      <c r="B1218" s="42">
        <f t="shared" si="378"/>
        <v>42.092146898909384</v>
      </c>
      <c r="C1218" s="43">
        <f t="shared" si="379"/>
        <v>111.46019236845183</v>
      </c>
      <c r="D1218" s="18">
        <f t="shared" si="380"/>
        <v>1.2974280167627512</v>
      </c>
      <c r="E1218" s="21" t="str">
        <f t="shared" si="381"/>
        <v>Umbra</v>
      </c>
      <c r="F1218" s="23">
        <f>IF($E1218&lt;&gt;"Umbra",fracil2($S$2,$S$3,$S$4,$A1218,$Q$2,$O$3,$Q$4,$U1218,$V1218,$W1218),0)</f>
        <v>0</v>
      </c>
      <c r="G1218" s="19">
        <f t="shared" si="382"/>
        <v>69.302135287457006</v>
      </c>
      <c r="H1218" s="19">
        <f t="shared" si="383"/>
        <v>-4.7796415609483471</v>
      </c>
      <c r="I1218" s="19">
        <f t="shared" si="384"/>
        <v>-3.5716236115534521</v>
      </c>
      <c r="J1218" s="28">
        <f t="shared" si="385"/>
        <v>4.6846823767453223E-3</v>
      </c>
      <c r="K1218" s="24">
        <f t="shared" si="386"/>
        <v>1047.9081807570349</v>
      </c>
      <c r="L1218" s="32">
        <f t="shared" si="387"/>
        <v>0.56541499435458709</v>
      </c>
      <c r="M1218" s="35">
        <f t="shared" si="388"/>
        <v>12.844819720033444</v>
      </c>
      <c r="O1218" s="29">
        <f t="shared" si="389"/>
        <v>1046.5866531293409</v>
      </c>
      <c r="T1218" s="48">
        <v>0.75356481481481474</v>
      </c>
      <c r="U1218" s="29">
        <v>-1511.0178470829317</v>
      </c>
      <c r="V1218" s="29">
        <v>4493.8743221052364</v>
      </c>
      <c r="W1218" s="29">
        <v>4254.0728877312822</v>
      </c>
      <c r="X1218" s="4">
        <v>-0.3243066753908187</v>
      </c>
      <c r="Y1218" s="4">
        <v>-0.12028196856105441</v>
      </c>
      <c r="Z1218" s="4">
        <v>-9.6217815536521426E-3</v>
      </c>
      <c r="AA1218" s="3">
        <f t="shared" si="394"/>
        <v>0.3460276728012292</v>
      </c>
      <c r="AB1218" s="3">
        <f t="shared" si="397"/>
        <v>1.1194495545038766E-3</v>
      </c>
      <c r="AC1218" s="3">
        <f t="shared" si="395"/>
        <v>1.4391378161326206E-2</v>
      </c>
      <c r="AD1218" s="48"/>
      <c r="AE1218" s="46">
        <f t="shared" si="390"/>
        <v>42.092146898909384</v>
      </c>
      <c r="AF1218" s="46">
        <f t="shared" si="391"/>
        <v>-248.53980763154817</v>
      </c>
      <c r="AG1218" s="47">
        <f t="shared" si="392"/>
        <v>1297.4280167627512</v>
      </c>
      <c r="AH1218" s="45" t="str">
        <f t="shared" si="396"/>
        <v>-248.53981,42.09215,01297</v>
      </c>
      <c r="AI1218" s="44">
        <f t="shared" si="398"/>
        <v>1021.3937902754905</v>
      </c>
    </row>
    <row r="1219" spans="1:35" ht="18" customHeight="1" x14ac:dyDescent="0.25">
      <c r="A1219" s="36">
        <f t="shared" si="393"/>
        <v>0.75357643518518513</v>
      </c>
      <c r="B1219" s="42">
        <f t="shared" si="378"/>
        <v>42.092146897176889</v>
      </c>
      <c r="C1219" s="43">
        <f t="shared" si="379"/>
        <v>111.46019344688429</v>
      </c>
      <c r="D1219" s="18">
        <f t="shared" si="380"/>
        <v>1.2830188718689897</v>
      </c>
      <c r="E1219" s="21" t="str">
        <f t="shared" si="381"/>
        <v>Umbra</v>
      </c>
      <c r="F1219" s="23">
        <f>IF($E1219&lt;&gt;"Umbra",fracil2($S$2,$S$3,$S$4,$A1219,$Q$2,$O$3,$Q$4,$U1219,$V1219,$W1219),0)</f>
        <v>0</v>
      </c>
      <c r="G1219" s="19">
        <f t="shared" si="382"/>
        <v>69.302138968111109</v>
      </c>
      <c r="H1219" s="19">
        <f t="shared" si="383"/>
        <v>-4.7804271347582894</v>
      </c>
      <c r="I1219" s="19">
        <f t="shared" si="384"/>
        <v>-3.5724091853633944</v>
      </c>
      <c r="J1219" s="28">
        <f t="shared" si="385"/>
        <v>4.68420246416706E-3</v>
      </c>
      <c r="K1219" s="24">
        <f t="shared" si="386"/>
        <v>1047.9070871365557</v>
      </c>
      <c r="L1219" s="32">
        <f t="shared" si="387"/>
        <v>0.56542830766077556</v>
      </c>
      <c r="M1219" s="35">
        <f t="shared" si="388"/>
        <v>12.844287876232494</v>
      </c>
      <c r="O1219" s="29">
        <f t="shared" si="389"/>
        <v>1046.586739795554</v>
      </c>
      <c r="T1219" s="48">
        <v>0.75357643518518513</v>
      </c>
      <c r="U1219" s="29">
        <v>-1511.3435284493621</v>
      </c>
      <c r="V1219" s="29">
        <v>4493.7535210904707</v>
      </c>
      <c r="W1219" s="29">
        <v>4254.0632287791414</v>
      </c>
      <c r="X1219" s="4">
        <v>-0.32429973590902705</v>
      </c>
      <c r="Y1219" s="4">
        <v>-0.12029769950996716</v>
      </c>
      <c r="Z1219" s="4">
        <v>-9.6143776108623402E-3</v>
      </c>
      <c r="AA1219" s="3">
        <f t="shared" si="394"/>
        <v>0.34602643175760334</v>
      </c>
      <c r="AB1219" s="3">
        <f t="shared" si="397"/>
        <v>1.1189567809737067E-3</v>
      </c>
      <c r="AC1219" s="3">
        <f t="shared" si="395"/>
        <v>1.4380361781171181E-2</v>
      </c>
      <c r="AD1219" s="48"/>
      <c r="AE1219" s="46">
        <f t="shared" si="390"/>
        <v>42.092146897176889</v>
      </c>
      <c r="AF1219" s="46">
        <f t="shared" si="391"/>
        <v>-248.53980655311571</v>
      </c>
      <c r="AG1219" s="47">
        <f t="shared" si="392"/>
        <v>1283.0188718689897</v>
      </c>
      <c r="AH1219" s="45" t="str">
        <f t="shared" si="396"/>
        <v>-248.53981,42.09215,01283</v>
      </c>
      <c r="AI1219" s="44">
        <f t="shared" si="398"/>
        <v>1021.3939245342755</v>
      </c>
    </row>
    <row r="1220" spans="1:35" ht="18" customHeight="1" x14ac:dyDescent="0.25">
      <c r="A1220" s="36">
        <f t="shared" si="393"/>
        <v>0.75358797453703696</v>
      </c>
      <c r="B1220" s="42">
        <f t="shared" si="378"/>
        <v>42.092146895460068</v>
      </c>
      <c r="C1220" s="43">
        <f t="shared" si="379"/>
        <v>111.46019119603537</v>
      </c>
      <c r="D1220" s="18">
        <f t="shared" si="380"/>
        <v>1.2687325548677109</v>
      </c>
      <c r="E1220" s="21" t="str">
        <f t="shared" si="381"/>
        <v>Umbra</v>
      </c>
      <c r="F1220" s="23">
        <f>IF($E1220&lt;&gt;"Umbra",fracil2($S$2,$S$3,$S$4,$A1220,$Q$2,$O$3,$Q$4,$U1220,$V1220,$W1220),0)</f>
        <v>0</v>
      </c>
      <c r="G1220" s="19">
        <f t="shared" si="382"/>
        <v>69.302139238674883</v>
      </c>
      <c r="H1220" s="19">
        <f t="shared" si="383"/>
        <v>-4.7812048258445721</v>
      </c>
      <c r="I1220" s="19">
        <f t="shared" si="384"/>
        <v>-3.573186876449677</v>
      </c>
      <c r="J1220" s="28">
        <f t="shared" si="385"/>
        <v>4.6837268192094026E-3</v>
      </c>
      <c r="K1220" s="24">
        <f t="shared" si="386"/>
        <v>1047.9057361767373</v>
      </c>
      <c r="L1220" s="32">
        <f t="shared" si="387"/>
        <v>0.56544152947463544</v>
      </c>
      <c r="M1220" s="35">
        <f t="shared" si="388"/>
        <v>12.843763854462548</v>
      </c>
      <c r="O1220" s="29">
        <f t="shared" si="389"/>
        <v>1046.5865587768899</v>
      </c>
      <c r="T1220" s="48">
        <v>0.75358797453703696</v>
      </c>
      <c r="U1220" s="29">
        <v>-1511.6666744096335</v>
      </c>
      <c r="V1220" s="29">
        <v>4493.6336423302282</v>
      </c>
      <c r="W1220" s="29">
        <v>4254.0536521628937</v>
      </c>
      <c r="X1220" s="4">
        <v>-0.32429284807636533</v>
      </c>
      <c r="Y1220" s="4">
        <v>-0.12031331480158305</v>
      </c>
      <c r="Z1220" s="4">
        <v>-9.6070374895562537E-3</v>
      </c>
      <c r="AA1220" s="3">
        <f t="shared" si="394"/>
        <v>0.34602520168529793</v>
      </c>
      <c r="AB1220" s="3">
        <f t="shared" si="397"/>
        <v>1.1170955624149642E-3</v>
      </c>
      <c r="AC1220" s="3">
        <f t="shared" si="395"/>
        <v>1.4369440404803415E-2</v>
      </c>
      <c r="AD1220" s="48"/>
      <c r="AE1220" s="46">
        <f t="shared" si="390"/>
        <v>42.092146895460068</v>
      </c>
      <c r="AF1220" s="46">
        <f t="shared" si="391"/>
        <v>-248.53980880396463</v>
      </c>
      <c r="AG1220" s="47">
        <f t="shared" si="392"/>
        <v>1268.7325548677109</v>
      </c>
      <c r="AH1220" s="45" t="str">
        <f t="shared" si="396"/>
        <v>-248.53981,42.09215,01269</v>
      </c>
      <c r="AI1220" s="44">
        <f t="shared" si="398"/>
        <v>1021.3941144048714</v>
      </c>
    </row>
    <row r="1221" spans="1:35" ht="18" customHeight="1" x14ac:dyDescent="0.25">
      <c r="A1221" s="36">
        <f t="shared" si="393"/>
        <v>0.75359961805555553</v>
      </c>
      <c r="B1221" s="42">
        <f t="shared" si="378"/>
        <v>42.092146893728959</v>
      </c>
      <c r="C1221" s="43">
        <f t="shared" si="379"/>
        <v>111.46019119941957</v>
      </c>
      <c r="D1221" s="18">
        <f t="shared" si="380"/>
        <v>1.2543205326392126</v>
      </c>
      <c r="E1221" s="21" t="str">
        <f t="shared" si="381"/>
        <v>Umbra</v>
      </c>
      <c r="F1221" s="23">
        <f>IF($E1221&lt;&gt;"Umbra",fracil2($S$2,$S$3,$S$4,$A1221,$Q$2,$O$3,$Q$4,$U1221,$V1221,$W1221),0)</f>
        <v>0</v>
      </c>
      <c r="G1221" s="19">
        <f t="shared" si="382"/>
        <v>69.302141825824535</v>
      </c>
      <c r="H1221" s="19">
        <f t="shared" si="383"/>
        <v>-4.7819901753418241</v>
      </c>
      <c r="I1221" s="19">
        <f t="shared" si="384"/>
        <v>-3.5739722259469291</v>
      </c>
      <c r="J1221" s="28">
        <f t="shared" si="385"/>
        <v>4.6832470114485433E-3</v>
      </c>
      <c r="K1221" s="24">
        <f t="shared" si="386"/>
        <v>1047.9045563044547</v>
      </c>
      <c r="L1221" s="32">
        <f t="shared" si="387"/>
        <v>0.56545486758972696</v>
      </c>
      <c r="M1221" s="35">
        <f t="shared" si="388"/>
        <v>12.84323295954546</v>
      </c>
      <c r="O1221" s="29">
        <f t="shared" si="389"/>
        <v>1046.586559005691</v>
      </c>
      <c r="T1221" s="48">
        <v>0.75359961805555553</v>
      </c>
      <c r="U1221" s="29">
        <v>-1511.9929070212672</v>
      </c>
      <c r="V1221" s="29">
        <v>4493.5126001322442</v>
      </c>
      <c r="W1221" s="29">
        <v>4254.0439912821184</v>
      </c>
      <c r="X1221" s="4">
        <v>-0.3242858919329546</v>
      </c>
      <c r="Y1221" s="4">
        <v>-0.1203290864768875</v>
      </c>
      <c r="Z1221" s="4">
        <v>-9.599633837266525E-3</v>
      </c>
      <c r="AA1221" s="3">
        <f t="shared" si="394"/>
        <v>0.34602396120633577</v>
      </c>
      <c r="AB1221" s="3">
        <f t="shared" si="397"/>
        <v>1.1166795250371951E-3</v>
      </c>
      <c r="AC1221" s="3">
        <f t="shared" si="395"/>
        <v>1.435842454442432E-2</v>
      </c>
      <c r="AD1221" s="48"/>
      <c r="AE1221" s="46">
        <f t="shared" si="390"/>
        <v>42.092146893728959</v>
      </c>
      <c r="AF1221" s="46">
        <f t="shared" si="391"/>
        <v>-248.53980880058043</v>
      </c>
      <c r="AG1221" s="47">
        <f t="shared" si="392"/>
        <v>1254.3205326392126</v>
      </c>
      <c r="AH1221" s="45" t="str">
        <f t="shared" si="396"/>
        <v>-248.53981,42.09215,01254</v>
      </c>
      <c r="AI1221" s="44">
        <f t="shared" si="398"/>
        <v>1021.3941144048714</v>
      </c>
    </row>
    <row r="1222" spans="1:35" ht="18" customHeight="1" x14ac:dyDescent="0.25">
      <c r="A1222" s="36">
        <f t="shared" si="393"/>
        <v>0.75361116898148151</v>
      </c>
      <c r="B1222" s="42">
        <f t="shared" ref="B1222:B1285" si="399">latitude($U1222,$V1222,$W1222)</f>
        <v>42.092146892013375</v>
      </c>
      <c r="C1222" s="43">
        <f t="shared" ref="C1222:C1285" si="400">longitude($S$2,$S$3,$S$4,$A1222,$U1222,$V1222)</f>
        <v>111.46019221533372</v>
      </c>
      <c r="D1222" s="18">
        <f t="shared" ref="D1222:D1285" si="401">altitude($U1222,$V1222,$W1222)</f>
        <v>1.2400306235595053</v>
      </c>
      <c r="E1222" s="21" t="str">
        <f t="shared" ref="E1222:E1285" si="402">illum2($S$2,$S$3,$S$4,$A1222,$U1222,$V1222,$W1222)</f>
        <v>Umbra</v>
      </c>
      <c r="F1222" s="23">
        <f>IF($E1222&lt;&gt;"Umbra",fracil2($S$2,$S$3,$S$4,$A1222,$Q$2,$O$3,$Q$4,$U1222,$V1222,$W1222),0)</f>
        <v>0</v>
      </c>
      <c r="G1222" s="19">
        <f t="shared" ref="G1222:G1285" si="403">azimuth($S$2,$S$3,$S$4,$A1222,$Q$2,$O$3,$Q$4,$U1222,$V1222,$W1222)</f>
        <v>69.30214542149966</v>
      </c>
      <c r="H1222" s="19">
        <f t="shared" ref="H1222:H1285" si="404">elev($S$2,$S$3,$S$4,$A1222,$Q$2,$O$3,$Q$4,$U1222,$V1222,$W1222)</f>
        <v>-4.7827692344684847</v>
      </c>
      <c r="I1222" s="19">
        <f t="shared" ref="I1222:I1285" si="405">elev($S$2,$S$3,$S$4,$A1222,$Q$2,$O$3,$Q$4,$U1222,$V1222,$W1222)+DEGREES(ACOS($Q$3/$Q$4))</f>
        <v>-3.5747512850735896</v>
      </c>
      <c r="J1222" s="28">
        <f t="shared" ref="J1222:J1285" si="406">vang($S$2,$S$3,$S$4,$A1222,$Q$2,$O$3,$Q$4,$U1222,$V1222,$W1222,$X1222,$Y1222,$Z1222)</f>
        <v>4.6827714021722977E-3</v>
      </c>
      <c r="K1222" s="24">
        <f t="shared" ref="K1222:K1285" si="407">slant_rng($S$2,$S$3,$S$4,$A1222,$Q$2,$O$3,$Q$4,$U1222,$V1222,$W1222)</f>
        <v>1047.9034680089756</v>
      </c>
      <c r="L1222" s="32">
        <f t="shared" ref="L1222:L1285" si="408">radec2("ra",$S$2,$S$3,$S$4,$A1222,$Q$2,$O$3,$Q$4,$U1222,$V1222,$W1222)/24</f>
        <v>0.56546809757827454</v>
      </c>
      <c r="M1222" s="35">
        <f t="shared" ref="M1222:M1285" si="409">radec2("dec",$S$2,$S$3,$S$4,$A1222,$Q$2,$O$3,$Q$4,$U1222,$V1222,$W1222)</f>
        <v>12.842705552485123</v>
      </c>
      <c r="O1222" s="29">
        <f t="shared" ref="O1222:O1285" si="410">DEGREES(ACOS(SIN(RADIANS($B1222))*SIN(RADIANS($O$2))+COS(RADIANS($B1222))*COS(RADIANS($O$2))*COS(RADIANS($C1222-$O$3))))*111.2</f>
        <v>1046.5866406456448</v>
      </c>
      <c r="T1222" s="48">
        <v>0.75361116898148151</v>
      </c>
      <c r="U1222" s="29">
        <v>-1512.316617013925</v>
      </c>
      <c r="V1222" s="29">
        <v>4493.392475648302</v>
      </c>
      <c r="W1222" s="29">
        <v>4254.0344122581164</v>
      </c>
      <c r="X1222" s="4">
        <v>-0.32427898669607952</v>
      </c>
      <c r="Y1222" s="4">
        <v>-0.1203447445006664</v>
      </c>
      <c r="Z1222" s="4">
        <v>-9.5922950430399074E-3</v>
      </c>
      <c r="AA1222" s="3">
        <f t="shared" si="394"/>
        <v>0.34602273171824932</v>
      </c>
      <c r="AB1222" s="3">
        <f t="shared" si="397"/>
        <v>1.115765572402679E-3</v>
      </c>
      <c r="AC1222" s="3">
        <f t="shared" si="395"/>
        <v>1.43475052296157E-2</v>
      </c>
      <c r="AD1222" s="48"/>
      <c r="AE1222" s="46">
        <f t="shared" ref="AE1222:AE1285" si="411">$B1222</f>
        <v>42.092146892013375</v>
      </c>
      <c r="AF1222" s="46">
        <f t="shared" ref="AF1222:AF1285" si="412">$C1222-360</f>
        <v>-248.53980778466627</v>
      </c>
      <c r="AG1222" s="47">
        <f t="shared" ref="AG1222:AG1285" si="413">$D1222*1000</f>
        <v>1240.0306235595053</v>
      </c>
      <c r="AH1222" s="45" t="str">
        <f t="shared" si="396"/>
        <v>-248.53981,42.09215,01240</v>
      </c>
      <c r="AI1222" s="44">
        <f t="shared" si="398"/>
        <v>1021.3942093401694</v>
      </c>
    </row>
    <row r="1223" spans="1:35" ht="18" customHeight="1" x14ac:dyDescent="0.25">
      <c r="A1223" s="36">
        <f t="shared" ref="A1223:A1286" si="414">$T1223+$S$5/86400</f>
        <v>0.75362269675925919</v>
      </c>
      <c r="B1223" s="42">
        <f t="shared" si="399"/>
        <v>42.092146890303162</v>
      </c>
      <c r="C1223" s="43">
        <f t="shared" si="400"/>
        <v>111.46019377810094</v>
      </c>
      <c r="D1223" s="18">
        <f t="shared" si="401"/>
        <v>1.2257783635550368</v>
      </c>
      <c r="E1223" s="21" t="str">
        <f t="shared" si="402"/>
        <v>Umbra</v>
      </c>
      <c r="F1223" s="23">
        <f>IF($E1223&lt;&gt;"Umbra",fracil2($S$2,$S$3,$S$4,$A1223,$Q$2,$O$3,$Q$4,$U1223,$V1223,$W1223),0)</f>
        <v>0</v>
      </c>
      <c r="G1223" s="19">
        <f t="shared" si="403"/>
        <v>69.302149566941296</v>
      </c>
      <c r="H1223" s="19">
        <f t="shared" si="404"/>
        <v>-4.7835464391616167</v>
      </c>
      <c r="I1223" s="19">
        <f t="shared" si="405"/>
        <v>-3.5755284897667217</v>
      </c>
      <c r="J1223" s="28">
        <f t="shared" si="406"/>
        <v>4.6822971361348085E-3</v>
      </c>
      <c r="K1223" s="24">
        <f t="shared" si="407"/>
        <v>1047.9024269423392</v>
      </c>
      <c r="L1223" s="32">
        <f t="shared" si="408"/>
        <v>0.56548129936747682</v>
      </c>
      <c r="M1223" s="35">
        <f t="shared" si="409"/>
        <v>12.842178984072921</v>
      </c>
      <c r="O1223" s="29">
        <f t="shared" si="410"/>
        <v>1046.586766254539</v>
      </c>
      <c r="T1223" s="48">
        <v>0.75362269675925919</v>
      </c>
      <c r="U1223" s="29">
        <v>-1512.639714019758</v>
      </c>
      <c r="V1223" s="29">
        <v>4493.2725604944617</v>
      </c>
      <c r="W1223" s="29">
        <v>4254.0248584716692</v>
      </c>
      <c r="X1223" s="4">
        <v>-0.32427209197412493</v>
      </c>
      <c r="Y1223" s="4">
        <v>-0.12036038021680856</v>
      </c>
      <c r="Z1223" s="4">
        <v>-9.5849768408056962E-3</v>
      </c>
      <c r="AA1223" s="3">
        <f t="shared" ref="AA1223:AA1286" si="415">SQRT($X1223*$X1223+$Y1223*$Y1223+$Z1223*$Z1223)</f>
        <v>0.3460215058926957</v>
      </c>
      <c r="AB1223" s="3">
        <f t="shared" si="397"/>
        <v>1.1148646107855202E-3</v>
      </c>
      <c r="AC1223" s="3">
        <f t="shared" ref="AC1223:AC1286" si="416">vrel($S$2,$S$3,$S$4,$A1223,$B1223,$C1223,$U1223,$V1223,$W1223,$X1223,$Y1223,$Z1223)</f>
        <v>1.4336616596691916E-2</v>
      </c>
      <c r="AD1223" s="48"/>
      <c r="AE1223" s="46">
        <f t="shared" si="411"/>
        <v>42.092146890303162</v>
      </c>
      <c r="AF1223" s="46">
        <f t="shared" si="412"/>
        <v>-248.53980622189906</v>
      </c>
      <c r="AG1223" s="47">
        <f t="shared" si="413"/>
        <v>1225.7783635550368</v>
      </c>
      <c r="AH1223" s="45" t="str">
        <f t="shared" ref="AH1223:AH1286" si="417">CONCATENATE(TEXT($AF1223,"00.00000"),",",TEXT($AE1223,"00.00000"),",",TEXT($AG1223,"00000"))</f>
        <v>-248.53981,42.09215,01226</v>
      </c>
      <c r="AI1223" s="44">
        <f t="shared" si="398"/>
        <v>1021.3943435989544</v>
      </c>
    </row>
    <row r="1224" spans="1:35" ht="18" customHeight="1" x14ac:dyDescent="0.25">
      <c r="A1224" s="36">
        <f t="shared" si="414"/>
        <v>0.753634386574074</v>
      </c>
      <c r="B1224" s="42">
        <f t="shared" si="399"/>
        <v>42.092146888572067</v>
      </c>
      <c r="C1224" s="43">
        <f t="shared" si="400"/>
        <v>111.46019260204856</v>
      </c>
      <c r="D1224" s="18">
        <f t="shared" si="401"/>
        <v>1.2113463134610356</v>
      </c>
      <c r="E1224" s="21" t="str">
        <f t="shared" si="402"/>
        <v>Umbra</v>
      </c>
      <c r="F1224" s="23">
        <f>IF($E1224&lt;&gt;"Umbra",fracil2($S$2,$S$3,$S$4,$A1224,$Q$2,$O$3,$Q$4,$U1224,$V1224,$W1224),0)</f>
        <v>0</v>
      </c>
      <c r="G1224" s="19">
        <f t="shared" si="403"/>
        <v>69.302150957436993</v>
      </c>
      <c r="H1224" s="19">
        <f t="shared" si="404"/>
        <v>-4.7843324634529365</v>
      </c>
      <c r="I1224" s="19">
        <f t="shared" si="405"/>
        <v>-3.5763145140580415</v>
      </c>
      <c r="J1224" s="28">
        <f t="shared" si="406"/>
        <v>4.6818170848272299E-3</v>
      </c>
      <c r="K1224" s="24">
        <f t="shared" si="407"/>
        <v>1047.9011512195207</v>
      </c>
      <c r="L1224" s="32">
        <f t="shared" si="408"/>
        <v>0.56549468760479049</v>
      </c>
      <c r="M1224" s="35">
        <f t="shared" si="409"/>
        <v>12.841648503838737</v>
      </c>
      <c r="O1224" s="29">
        <f t="shared" si="410"/>
        <v>1046.5866716527241</v>
      </c>
      <c r="T1224" s="48">
        <v>0.753634386574074</v>
      </c>
      <c r="U1224" s="29">
        <v>-1512.9671312710361</v>
      </c>
      <c r="V1224" s="29">
        <v>4493.1510234134794</v>
      </c>
      <c r="W1224" s="29">
        <v>4254.0151841657216</v>
      </c>
      <c r="X1224" s="4">
        <v>-0.32426510244499823</v>
      </c>
      <c r="Y1224" s="4">
        <v>-0.12037623249574111</v>
      </c>
      <c r="Z1224" s="4">
        <v>-9.5775676160538958E-3</v>
      </c>
      <c r="AA1224" s="3">
        <f t="shared" si="415"/>
        <v>0.34602026503511901</v>
      </c>
      <c r="AB1224" s="3">
        <f t="shared" ref="AB1224:AB1287" si="418">-($AC1224-$AC1223)/(($A1224-$A1223)*86400)*1000/9.806</f>
        <v>1.1130808684041301E-3</v>
      </c>
      <c r="AC1224" s="3">
        <f t="shared" si="416"/>
        <v>1.4325592576986396E-2</v>
      </c>
      <c r="AD1224" s="48"/>
      <c r="AE1224" s="46">
        <f t="shared" si="411"/>
        <v>42.092146888572067</v>
      </c>
      <c r="AF1224" s="46">
        <f t="shared" si="412"/>
        <v>-248.53980739795145</v>
      </c>
      <c r="AG1224" s="47">
        <f t="shared" si="413"/>
        <v>1211.3463134610356</v>
      </c>
      <c r="AH1224" s="45" t="str">
        <f t="shared" si="417"/>
        <v>-248.53981,42.09215,01211</v>
      </c>
      <c r="AI1224" s="44">
        <f t="shared" ref="AI1224:AI1287" si="419">IFERROR(ACOS(SIN(RADIANS($B1223))*SIN(RADIANS($B1224))+COS(RADIANS($B1223))*COS(RADIANS($B1224))*COS(RADIANS($C1223-$C1224)))*6371,0)+AI1223</f>
        <v>1021.3943435989544</v>
      </c>
    </row>
    <row r="1225" spans="1:35" ht="18" customHeight="1" x14ac:dyDescent="0.25">
      <c r="A1225" s="36">
        <f t="shared" si="414"/>
        <v>0.75364585648148141</v>
      </c>
      <c r="B1225" s="42">
        <f t="shared" si="399"/>
        <v>42.092146886875149</v>
      </c>
      <c r="C1225" s="43">
        <f t="shared" si="400"/>
        <v>111.46019282021395</v>
      </c>
      <c r="D1225" s="18">
        <f t="shared" si="401"/>
        <v>1.1971919113666445</v>
      </c>
      <c r="E1225" s="21" t="str">
        <f t="shared" si="402"/>
        <v>Umbra</v>
      </c>
      <c r="F1225" s="23">
        <f>IF($E1225&lt;&gt;"Umbra",fracil2($S$2,$S$3,$S$4,$A1225,$Q$2,$O$3,$Q$4,$U1225,$V1225,$W1225),0)</f>
        <v>0</v>
      </c>
      <c r="G1225" s="19">
        <f t="shared" si="403"/>
        <v>69.3021537170019</v>
      </c>
      <c r="H1225" s="19">
        <f t="shared" si="404"/>
        <v>-4.7851038581602925</v>
      </c>
      <c r="I1225" s="19">
        <f t="shared" si="405"/>
        <v>-3.5770859087653974</v>
      </c>
      <c r="J1225" s="28">
        <f t="shared" si="406"/>
        <v>4.6813463050171325E-3</v>
      </c>
      <c r="K1225" s="24">
        <f t="shared" si="407"/>
        <v>1047.9000104740821</v>
      </c>
      <c r="L1225" s="32">
        <f t="shared" si="408"/>
        <v>0.56550782165842706</v>
      </c>
      <c r="M1225" s="35">
        <f t="shared" si="409"/>
        <v>12.841126862658703</v>
      </c>
      <c r="O1225" s="29">
        <f t="shared" si="410"/>
        <v>1046.5866891515059</v>
      </c>
      <c r="T1225" s="48">
        <v>0.75364585648148141</v>
      </c>
      <c r="U1225" s="29">
        <v>-1513.2884888176679</v>
      </c>
      <c r="V1225" s="29">
        <v>4493.0317175749642</v>
      </c>
      <c r="W1225" s="29">
        <v>4254.0056959769709</v>
      </c>
      <c r="X1225" s="4">
        <v>-0.32425823986798058</v>
      </c>
      <c r="Y1225" s="4">
        <v>-0.12039179825945888</v>
      </c>
      <c r="Z1225" s="4">
        <v>-9.570301766212071E-3</v>
      </c>
      <c r="AA1225" s="3">
        <f t="shared" si="415"/>
        <v>0.34601904844433556</v>
      </c>
      <c r="AB1225" s="3">
        <f t="shared" si="418"/>
        <v>1.1124649868508357E-3</v>
      </c>
      <c r="AC1225" s="3">
        <f t="shared" si="416"/>
        <v>1.4314781924810281E-2</v>
      </c>
      <c r="AD1225" s="48"/>
      <c r="AE1225" s="46">
        <f t="shared" si="411"/>
        <v>42.092146886875149</v>
      </c>
      <c r="AF1225" s="46">
        <f t="shared" si="412"/>
        <v>-248.53980717978607</v>
      </c>
      <c r="AG1225" s="47">
        <f t="shared" si="413"/>
        <v>1197.1919113666445</v>
      </c>
      <c r="AH1225" s="45" t="str">
        <f t="shared" si="417"/>
        <v>-248.53981,42.09215,01197</v>
      </c>
      <c r="AI1225" s="44">
        <f t="shared" si="419"/>
        <v>1021.3943435989544</v>
      </c>
    </row>
    <row r="1226" spans="1:35" ht="18" customHeight="1" x14ac:dyDescent="0.25">
      <c r="A1226" s="36">
        <f t="shared" si="414"/>
        <v>0.75365749999999998</v>
      </c>
      <c r="B1226" s="42">
        <f t="shared" si="399"/>
        <v>42.092146885154136</v>
      </c>
      <c r="C1226" s="43">
        <f t="shared" si="400"/>
        <v>111.4601943772343</v>
      </c>
      <c r="D1226" s="18">
        <f t="shared" si="401"/>
        <v>1.1828296874500666</v>
      </c>
      <c r="E1226" s="21" t="str">
        <f t="shared" si="402"/>
        <v>Umbra</v>
      </c>
      <c r="F1226" s="23">
        <f>IF($E1226&lt;&gt;"Umbra",fracil2($S$2,$S$3,$S$4,$A1226,$Q$2,$O$3,$Q$4,$U1226,$V1226,$W1226),0)</f>
        <v>0</v>
      </c>
      <c r="G1226" s="19">
        <f t="shared" si="403"/>
        <v>69.302157876328252</v>
      </c>
      <c r="H1226" s="19">
        <f t="shared" si="404"/>
        <v>-4.7858870579678925</v>
      </c>
      <c r="I1226" s="19">
        <f t="shared" si="405"/>
        <v>-3.5778691085729974</v>
      </c>
      <c r="J1226" s="28">
        <f t="shared" si="406"/>
        <v>4.6808685997207508E-3</v>
      </c>
      <c r="K1226" s="24">
        <f t="shared" si="407"/>
        <v>1047.8989605275383</v>
      </c>
      <c r="L1226" s="32">
        <f t="shared" si="408"/>
        <v>0.56552115219786314</v>
      </c>
      <c r="M1226" s="35">
        <f t="shared" si="409"/>
        <v>12.840596231759523</v>
      </c>
      <c r="O1226" s="29">
        <f t="shared" si="410"/>
        <v>1046.5868142980601</v>
      </c>
      <c r="T1226" s="48">
        <v>0.75365749999999998</v>
      </c>
      <c r="U1226" s="29">
        <v>-1513.6148071996286</v>
      </c>
      <c r="V1226" s="29">
        <v>4492.9105516247337</v>
      </c>
      <c r="W1226" s="29">
        <v>4253.9960684780826</v>
      </c>
      <c r="X1226" s="4">
        <v>-0.32425126918886149</v>
      </c>
      <c r="Y1226" s="4">
        <v>-0.12040761045181225</v>
      </c>
      <c r="Z1226" s="4">
        <v>-9.562929296975475E-3</v>
      </c>
      <c r="AA1226" s="3">
        <f t="shared" si="415"/>
        <v>0.3460178143420391</v>
      </c>
      <c r="AB1226" s="3">
        <f t="shared" si="418"/>
        <v>1.1119540484900313E-3</v>
      </c>
      <c r="AC1226" s="3">
        <f t="shared" si="416"/>
        <v>1.4303812680482345E-2</v>
      </c>
      <c r="AD1226" s="48"/>
      <c r="AE1226" s="46">
        <f t="shared" si="411"/>
        <v>42.092146885154136</v>
      </c>
      <c r="AF1226" s="46">
        <f t="shared" si="412"/>
        <v>-248.5398056227657</v>
      </c>
      <c r="AG1226" s="47">
        <f t="shared" si="413"/>
        <v>1182.8296874500666</v>
      </c>
      <c r="AH1226" s="45" t="str">
        <f t="shared" si="417"/>
        <v>-248.53981,42.09215,01183</v>
      </c>
      <c r="AI1226" s="44">
        <f t="shared" si="419"/>
        <v>1021.3944778577394</v>
      </c>
    </row>
    <row r="1227" spans="1:35" ht="18" customHeight="1" x14ac:dyDescent="0.25">
      <c r="A1227" s="36">
        <f t="shared" si="414"/>
        <v>0.75366905092592595</v>
      </c>
      <c r="B1227" s="42">
        <f t="shared" si="399"/>
        <v>42.092146883451029</v>
      </c>
      <c r="C1227" s="43">
        <f t="shared" si="400"/>
        <v>111.46019124711135</v>
      </c>
      <c r="D1227" s="18">
        <f t="shared" si="401"/>
        <v>1.1686085563733286</v>
      </c>
      <c r="E1227" s="21" t="str">
        <f t="shared" si="402"/>
        <v>Umbra</v>
      </c>
      <c r="F1227" s="23">
        <f>IF($E1227&lt;&gt;"Umbra",fracil2($S$2,$S$3,$S$4,$A1227,$Q$2,$O$3,$Q$4,$U1227,$V1227,$W1227),0)</f>
        <v>0</v>
      </c>
      <c r="G1227" s="19">
        <f t="shared" si="403"/>
        <v>69.302157240453269</v>
      </c>
      <c r="H1227" s="19">
        <f t="shared" si="404"/>
        <v>-4.7866608957129158</v>
      </c>
      <c r="I1227" s="19">
        <f t="shared" si="405"/>
        <v>-3.5786429463180207</v>
      </c>
      <c r="J1227" s="28">
        <f t="shared" si="406"/>
        <v>4.6803958835952477E-3</v>
      </c>
      <c r="K1227" s="24">
        <f t="shared" si="407"/>
        <v>1047.8975455859663</v>
      </c>
      <c r="L1227" s="32">
        <f t="shared" si="408"/>
        <v>0.56553437913452398</v>
      </c>
      <c r="M1227" s="35">
        <f t="shared" si="409"/>
        <v>12.840075442029667</v>
      </c>
      <c r="O1227" s="29">
        <f t="shared" si="410"/>
        <v>1046.5865625831918</v>
      </c>
      <c r="T1227" s="48">
        <v>0.75366905092592595</v>
      </c>
      <c r="U1227" s="29">
        <v>-1513.9381608879589</v>
      </c>
      <c r="V1227" s="29">
        <v>4492.7904682302205</v>
      </c>
      <c r="W1227" s="29">
        <v>4253.9865355587226</v>
      </c>
      <c r="X1227" s="4">
        <v>-0.32424435904253862</v>
      </c>
      <c r="Y1227" s="4">
        <v>-0.1204232870033225</v>
      </c>
      <c r="Z1227" s="4">
        <v>-9.5556311464682474E-3</v>
      </c>
      <c r="AA1227" s="3">
        <f t="shared" si="415"/>
        <v>0.34601659282496644</v>
      </c>
      <c r="AB1227" s="3">
        <f t="shared" si="418"/>
        <v>1.1095640649841619E-3</v>
      </c>
      <c r="AC1227" s="3">
        <f t="shared" si="416"/>
        <v>1.4292954056031508E-2</v>
      </c>
      <c r="AD1227" s="48"/>
      <c r="AE1227" s="46">
        <f t="shared" si="411"/>
        <v>42.092146883451029</v>
      </c>
      <c r="AF1227" s="46">
        <f t="shared" si="412"/>
        <v>-248.53980875288863</v>
      </c>
      <c r="AG1227" s="47">
        <f t="shared" si="413"/>
        <v>1168.6085563733286</v>
      </c>
      <c r="AH1227" s="45" t="str">
        <f t="shared" si="417"/>
        <v>-248.53981,42.09215,01169</v>
      </c>
      <c r="AI1227" s="44">
        <f t="shared" si="419"/>
        <v>1021.3947463753109</v>
      </c>
    </row>
    <row r="1228" spans="1:35" ht="18" customHeight="1" x14ac:dyDescent="0.25">
      <c r="A1228" s="36">
        <f t="shared" si="414"/>
        <v>0.75368064814814817</v>
      </c>
      <c r="B1228" s="42">
        <f t="shared" si="399"/>
        <v>42.092146881741208</v>
      </c>
      <c r="C1228" s="43">
        <f t="shared" si="400"/>
        <v>111.4601931743191</v>
      </c>
      <c r="D1228" s="18">
        <f t="shared" si="401"/>
        <v>1.1543240599776254</v>
      </c>
      <c r="E1228" s="21" t="str">
        <f t="shared" si="402"/>
        <v>Umbra</v>
      </c>
      <c r="F1228" s="23">
        <f>IF($E1228&lt;&gt;"Umbra",fracil2($S$2,$S$3,$S$4,$A1228,$Q$2,$O$3,$Q$4,$U1228,$V1228,$W1228),0)</f>
        <v>0</v>
      </c>
      <c r="G1228" s="19">
        <f t="shared" si="403"/>
        <v>69.302161762581179</v>
      </c>
      <c r="H1228" s="19">
        <f t="shared" si="404"/>
        <v>-4.7874399955462685</v>
      </c>
      <c r="I1228" s="19">
        <f t="shared" si="405"/>
        <v>-3.5794220461513735</v>
      </c>
      <c r="J1228" s="28">
        <f t="shared" si="406"/>
        <v>4.679920950067527E-3</v>
      </c>
      <c r="K1228" s="24">
        <f t="shared" si="407"/>
        <v>1047.8965321393214</v>
      </c>
      <c r="L1228" s="32">
        <f t="shared" si="408"/>
        <v>0.56554765384708683</v>
      </c>
      <c r="M1228" s="35">
        <f t="shared" si="409"/>
        <v>12.839547295725895</v>
      </c>
      <c r="O1228" s="29">
        <f t="shared" si="410"/>
        <v>1046.5867174943144</v>
      </c>
      <c r="T1228" s="48">
        <v>0.75368064814814817</v>
      </c>
      <c r="U1228" s="29">
        <v>-1514.2631970950438</v>
      </c>
      <c r="V1228" s="29">
        <v>4492.6697416620736</v>
      </c>
      <c r="W1228" s="29">
        <v>4253.9769601634562</v>
      </c>
      <c r="X1228" s="4">
        <v>-0.32423741067734535</v>
      </c>
      <c r="Y1228" s="4">
        <v>-0.12043905154637392</v>
      </c>
      <c r="Z1228" s="4">
        <v>-9.5483008369408456E-3</v>
      </c>
      <c r="AA1228" s="3">
        <f t="shared" si="415"/>
        <v>0.34601536623250179</v>
      </c>
      <c r="AB1228" s="3">
        <f t="shared" si="418"/>
        <v>1.1099999477594989E-3</v>
      </c>
      <c r="AC1228" s="3">
        <f t="shared" si="416"/>
        <v>1.4282047627224809E-2</v>
      </c>
      <c r="AD1228" s="48"/>
      <c r="AE1228" s="46">
        <f t="shared" si="411"/>
        <v>42.092146881741208</v>
      </c>
      <c r="AF1228" s="46">
        <f t="shared" si="412"/>
        <v>-248.5398068256809</v>
      </c>
      <c r="AG1228" s="47">
        <f t="shared" si="413"/>
        <v>1154.3240599776254</v>
      </c>
      <c r="AH1228" s="45" t="str">
        <f t="shared" si="417"/>
        <v>-248.53981,42.09215,01154</v>
      </c>
      <c r="AI1228" s="44">
        <f t="shared" si="419"/>
        <v>1021.3949108080702</v>
      </c>
    </row>
    <row r="1229" spans="1:35" ht="18" customHeight="1" x14ac:dyDescent="0.25">
      <c r="A1229" s="36">
        <f t="shared" si="414"/>
        <v>0.75369215277777768</v>
      </c>
      <c r="B1229" s="42">
        <f t="shared" si="399"/>
        <v>42.092146880047181</v>
      </c>
      <c r="C1229" s="43">
        <f t="shared" si="400"/>
        <v>111.46019517925853</v>
      </c>
      <c r="D1229" s="18">
        <f t="shared" si="401"/>
        <v>1.1401641201355233</v>
      </c>
      <c r="E1229" s="21" t="str">
        <f t="shared" si="402"/>
        <v>Umbra</v>
      </c>
      <c r="F1229" s="23">
        <f>IF($E1229&lt;&gt;"Umbra",fracil2($S$2,$S$3,$S$4,$A1229,$Q$2,$O$3,$Q$4,$U1229,$V1229,$W1229),0)</f>
        <v>0</v>
      </c>
      <c r="G1229" s="19">
        <f t="shared" si="403"/>
        <v>69.30216634148789</v>
      </c>
      <c r="H1229" s="19">
        <f t="shared" si="404"/>
        <v>-4.7882123371180549</v>
      </c>
      <c r="I1229" s="19">
        <f t="shared" si="405"/>
        <v>-3.5801943877231599</v>
      </c>
      <c r="J1229" s="28">
        <f t="shared" si="406"/>
        <v>4.6794502691271112E-3</v>
      </c>
      <c r="K1229" s="24">
        <f t="shared" si="407"/>
        <v>1047.8955353186016</v>
      </c>
      <c r="L1229" s="32">
        <f t="shared" si="408"/>
        <v>0.56556082125130802</v>
      </c>
      <c r="M1229" s="35">
        <f t="shared" si="409"/>
        <v>12.839023655322681</v>
      </c>
      <c r="O1229" s="29">
        <f t="shared" si="410"/>
        <v>1046.5868786557267</v>
      </c>
      <c r="T1229" s="48">
        <v>0.75369215277777768</v>
      </c>
      <c r="U1229" s="29">
        <v>-1514.5856385490024</v>
      </c>
      <c r="V1229" s="29">
        <v>4492.5499606748836</v>
      </c>
      <c r="W1229" s="29">
        <v>4253.9674682628574</v>
      </c>
      <c r="X1229" s="4">
        <v>-0.32423051518310364</v>
      </c>
      <c r="Y1229" s="4">
        <v>-0.12045469765259929</v>
      </c>
      <c r="Z1229" s="4">
        <v>-9.5410358074747952E-3</v>
      </c>
      <c r="AA1229" s="3">
        <f t="shared" si="415"/>
        <v>0.3460141507608604</v>
      </c>
      <c r="AB1229" s="3">
        <f t="shared" si="418"/>
        <v>1.1089644385798038E-3</v>
      </c>
      <c r="AC1229" s="3">
        <f t="shared" si="416"/>
        <v>1.4271238368971916E-2</v>
      </c>
      <c r="AD1229" s="48"/>
      <c r="AE1229" s="46">
        <f t="shared" si="411"/>
        <v>42.092146880047181</v>
      </c>
      <c r="AF1229" s="46">
        <f t="shared" si="412"/>
        <v>-248.53980482074147</v>
      </c>
      <c r="AG1229" s="47">
        <f t="shared" si="413"/>
        <v>1140.1641201355233</v>
      </c>
      <c r="AH1229" s="45" t="str">
        <f t="shared" si="417"/>
        <v>-248.53980,42.09215,01140</v>
      </c>
      <c r="AI1229" s="44">
        <f t="shared" si="419"/>
        <v>1021.3950752408296</v>
      </c>
    </row>
    <row r="1230" spans="1:35" ht="18" customHeight="1" x14ac:dyDescent="0.25">
      <c r="A1230" s="36">
        <f t="shared" si="414"/>
        <v>0.75370379629629625</v>
      </c>
      <c r="B1230" s="42">
        <f t="shared" si="399"/>
        <v>42.092146878336507</v>
      </c>
      <c r="C1230" s="43">
        <f t="shared" si="400"/>
        <v>111.46019281711645</v>
      </c>
      <c r="D1230" s="18">
        <f t="shared" si="401"/>
        <v>1.125859151640725</v>
      </c>
      <c r="E1230" s="21" t="str">
        <f t="shared" si="402"/>
        <v>Umbra</v>
      </c>
      <c r="F1230" s="23">
        <f>IF($E1230&lt;&gt;"Umbra",fracil2($S$2,$S$3,$S$4,$A1230,$Q$2,$O$3,$Q$4,$U1230,$V1230,$W1230),0)</f>
        <v>0</v>
      </c>
      <c r="G1230" s="19">
        <f t="shared" si="403"/>
        <v>69.302166502206802</v>
      </c>
      <c r="H1230" s="19">
        <f t="shared" si="404"/>
        <v>-4.7889910234613104</v>
      </c>
      <c r="I1230" s="19">
        <f t="shared" si="405"/>
        <v>-3.5809730740664154</v>
      </c>
      <c r="J1230" s="28">
        <f t="shared" si="406"/>
        <v>4.6789750325716773E-3</v>
      </c>
      <c r="K1230" s="24">
        <f t="shared" si="407"/>
        <v>1047.894175825289</v>
      </c>
      <c r="L1230" s="32">
        <f t="shared" si="408"/>
        <v>0.56557414980250231</v>
      </c>
      <c r="M1230" s="35">
        <f t="shared" si="409"/>
        <v>12.83849899754153</v>
      </c>
      <c r="O1230" s="29">
        <f t="shared" si="410"/>
        <v>1046.5866886888771</v>
      </c>
      <c r="T1230" s="48">
        <v>0.75370379629629625</v>
      </c>
      <c r="U1230" s="29">
        <v>-1514.9116249106676</v>
      </c>
      <c r="V1230" s="29">
        <v>4492.4288444092053</v>
      </c>
      <c r="W1230" s="29">
        <v>4253.957879144562</v>
      </c>
      <c r="X1230" s="4">
        <v>-0.32422354118481872</v>
      </c>
      <c r="Y1230" s="4">
        <v>-0.12047052346166666</v>
      </c>
      <c r="Z1230" s="4">
        <v>-9.5336979317829362E-3</v>
      </c>
      <c r="AA1230" s="3">
        <f t="shared" si="415"/>
        <v>0.3460129232814958</v>
      </c>
      <c r="AB1230" s="3">
        <f t="shared" si="418"/>
        <v>1.1067186948413707E-3</v>
      </c>
      <c r="AC1230" s="3">
        <f t="shared" si="416"/>
        <v>1.4260320770549126E-2</v>
      </c>
      <c r="AD1230" s="48"/>
      <c r="AE1230" s="46">
        <f t="shared" si="411"/>
        <v>42.092146878336507</v>
      </c>
      <c r="AF1230" s="46">
        <f t="shared" si="412"/>
        <v>-248.53980718288355</v>
      </c>
      <c r="AG1230" s="47">
        <f t="shared" si="413"/>
        <v>1125.859151640725</v>
      </c>
      <c r="AH1230" s="45" t="str">
        <f t="shared" si="417"/>
        <v>-248.53981,42.09215,01126</v>
      </c>
      <c r="AI1230" s="44">
        <f t="shared" si="419"/>
        <v>1021.3952651114255</v>
      </c>
    </row>
    <row r="1231" spans="1:35" ht="18" customHeight="1" x14ac:dyDescent="0.25">
      <c r="A1231" s="36">
        <f t="shared" si="414"/>
        <v>0.75371526620370366</v>
      </c>
      <c r="B1231" s="42">
        <f t="shared" si="399"/>
        <v>42.092146876652087</v>
      </c>
      <c r="C1231" s="43">
        <f t="shared" si="400"/>
        <v>111.46019404658836</v>
      </c>
      <c r="D1231" s="18">
        <f t="shared" si="401"/>
        <v>1.111766136848928</v>
      </c>
      <c r="E1231" s="21" t="str">
        <f t="shared" si="402"/>
        <v>Umbra</v>
      </c>
      <c r="F1231" s="23">
        <f>IF($E1231&lt;&gt;"Umbra",fracil2($S$2,$S$3,$S$4,$A1231,$Q$2,$O$3,$Q$4,$U1231,$V1231,$W1231),0)</f>
        <v>0</v>
      </c>
      <c r="G1231" s="19">
        <f t="shared" si="403"/>
        <v>69.302170279967328</v>
      </c>
      <c r="H1231" s="19">
        <f t="shared" si="404"/>
        <v>-4.7897594443018674</v>
      </c>
      <c r="I1231" s="19">
        <f t="shared" si="405"/>
        <v>-3.5817414949069724</v>
      </c>
      <c r="J1231" s="28">
        <f t="shared" si="406"/>
        <v>4.6785068521957816E-3</v>
      </c>
      <c r="K1231" s="24">
        <f t="shared" si="407"/>
        <v>1047.8931225287763</v>
      </c>
      <c r="L1231" s="32">
        <f t="shared" si="408"/>
        <v>0.5655872755817335</v>
      </c>
      <c r="M1231" s="35">
        <f t="shared" si="409"/>
        <v>12.837978580355529</v>
      </c>
      <c r="O1231" s="29">
        <f t="shared" si="410"/>
        <v>1046.5867875003648</v>
      </c>
      <c r="T1231" s="48">
        <v>0.75371526620370366</v>
      </c>
      <c r="U1231" s="29">
        <v>-1515.2330197595131</v>
      </c>
      <c r="V1231" s="29">
        <v>4492.3094159322718</v>
      </c>
      <c r="W1231" s="29">
        <v>4253.9484321062873</v>
      </c>
      <c r="X1231" s="4">
        <v>-0.32421666275977795</v>
      </c>
      <c r="Y1231" s="4">
        <v>-0.12048613393418893</v>
      </c>
      <c r="Z1231" s="4">
        <v>-9.5264703254643156E-3</v>
      </c>
      <c r="AA1231" s="3">
        <f t="shared" si="415"/>
        <v>0.34601171442359702</v>
      </c>
      <c r="AB1231" s="3">
        <f t="shared" si="418"/>
        <v>1.1065829228786197E-3</v>
      </c>
      <c r="AC1231" s="3">
        <f t="shared" si="416"/>
        <v>1.4249567278776649E-2</v>
      </c>
      <c r="AD1231" s="48"/>
      <c r="AE1231" s="46">
        <f t="shared" si="411"/>
        <v>42.092146876652087</v>
      </c>
      <c r="AF1231" s="46">
        <f t="shared" si="412"/>
        <v>-248.53980595341164</v>
      </c>
      <c r="AG1231" s="47">
        <f t="shared" si="413"/>
        <v>1111.766136848928</v>
      </c>
      <c r="AH1231" s="45" t="str">
        <f t="shared" si="417"/>
        <v>-248.53981,42.09215,01112</v>
      </c>
      <c r="AI1231" s="44">
        <f t="shared" si="419"/>
        <v>1021.3952651114255</v>
      </c>
    </row>
    <row r="1232" spans="1:35" ht="18" customHeight="1" x14ac:dyDescent="0.25">
      <c r="A1232" s="36">
        <f t="shared" si="414"/>
        <v>0.75372689814814819</v>
      </c>
      <c r="B1232" s="42">
        <f t="shared" si="399"/>
        <v>42.092146874946181</v>
      </c>
      <c r="C1232" s="43">
        <f t="shared" si="400"/>
        <v>111.46019459623412</v>
      </c>
      <c r="D1232" s="18">
        <f t="shared" si="401"/>
        <v>1.0974873097284217</v>
      </c>
      <c r="E1232" s="21" t="str">
        <f t="shared" si="402"/>
        <v>Umbra</v>
      </c>
      <c r="F1232" s="23">
        <f>IF($E1232&lt;&gt;"Umbra",fracil2($S$2,$S$3,$S$4,$A1232,$Q$2,$O$3,$Q$4,$U1232,$V1232,$W1232),0)</f>
        <v>0</v>
      </c>
      <c r="G1232" s="19">
        <f t="shared" si="403"/>
        <v>69.302173399216414</v>
      </c>
      <c r="H1232" s="19">
        <f t="shared" si="404"/>
        <v>-4.7905377495937964</v>
      </c>
      <c r="I1232" s="19">
        <f t="shared" si="405"/>
        <v>-3.5825198001989014</v>
      </c>
      <c r="J1232" s="28">
        <f t="shared" si="406"/>
        <v>4.6780325201492496E-3</v>
      </c>
      <c r="K1232" s="24">
        <f t="shared" si="407"/>
        <v>1047.8919995927079</v>
      </c>
      <c r="L1232" s="32">
        <f t="shared" si="408"/>
        <v>0.56560058607988595</v>
      </c>
      <c r="M1232" s="35">
        <f t="shared" si="409"/>
        <v>12.837451986149448</v>
      </c>
      <c r="O1232" s="29">
        <f t="shared" si="410"/>
        <v>1046.5868316510332</v>
      </c>
      <c r="T1232" s="48">
        <v>0.75372689814814819</v>
      </c>
      <c r="U1232" s="29">
        <v>-1515.5588939385921</v>
      </c>
      <c r="V1232" s="29">
        <v>4492.188304572499</v>
      </c>
      <c r="W1232" s="29">
        <v>4253.9388605116037</v>
      </c>
      <c r="X1232" s="4">
        <v>-0.32420968646525566</v>
      </c>
      <c r="Y1232" s="4">
        <v>-0.12050196759723028</v>
      </c>
      <c r="Z1232" s="4">
        <v>-9.5191470447540151E-3</v>
      </c>
      <c r="AA1232" s="3">
        <f t="shared" si="415"/>
        <v>0.34601048994671096</v>
      </c>
      <c r="AB1232" s="3">
        <f t="shared" si="418"/>
        <v>1.1056075623283427E-3</v>
      </c>
      <c r="AC1232" s="3">
        <f t="shared" si="416"/>
        <v>1.4238671483081592E-2</v>
      </c>
      <c r="AD1232" s="48"/>
      <c r="AE1232" s="46">
        <f t="shared" si="411"/>
        <v>42.092146874946181</v>
      </c>
      <c r="AF1232" s="46">
        <f t="shared" si="412"/>
        <v>-248.53980540376588</v>
      </c>
      <c r="AG1232" s="47">
        <f t="shared" si="413"/>
        <v>1097.4873097284217</v>
      </c>
      <c r="AH1232" s="45" t="str">
        <f t="shared" si="417"/>
        <v>-248.53981,42.09215,01097</v>
      </c>
      <c r="AI1232" s="44">
        <f t="shared" si="419"/>
        <v>1021.3952651114255</v>
      </c>
    </row>
    <row r="1233" spans="1:35" ht="18" customHeight="1" x14ac:dyDescent="0.25">
      <c r="A1233" s="36">
        <f t="shared" si="414"/>
        <v>0.75373841435185185</v>
      </c>
      <c r="B1233" s="42">
        <f t="shared" si="399"/>
        <v>42.092146873260639</v>
      </c>
      <c r="C1233" s="43">
        <f t="shared" si="400"/>
        <v>111.46019196203292</v>
      </c>
      <c r="D1233" s="18">
        <f t="shared" si="401"/>
        <v>1.0833721671242529</v>
      </c>
      <c r="E1233" s="21" t="str">
        <f t="shared" si="402"/>
        <v>Umbra</v>
      </c>
      <c r="F1233" s="23">
        <f>IF($E1233&lt;&gt;"Umbra",fracil2($S$2,$S$3,$S$4,$A1233,$Q$2,$O$3,$Q$4,$U1233,$V1233,$W1233),0)</f>
        <v>0</v>
      </c>
      <c r="G1233" s="19">
        <f t="shared" si="403"/>
        <v>69.302173249061042</v>
      </c>
      <c r="H1233" s="19">
        <f t="shared" si="404"/>
        <v>-4.7913060000711676</v>
      </c>
      <c r="I1233" s="19">
        <f t="shared" si="405"/>
        <v>-3.5832880506762725</v>
      </c>
      <c r="J1233" s="28">
        <f t="shared" si="406"/>
        <v>4.6775638137567738E-3</v>
      </c>
      <c r="K1233" s="24">
        <f t="shared" si="407"/>
        <v>1047.8906343241308</v>
      </c>
      <c r="L1233" s="32">
        <f t="shared" si="408"/>
        <v>0.56561376538910813</v>
      </c>
      <c r="M1233" s="35">
        <f t="shared" si="409"/>
        <v>12.836934573805326</v>
      </c>
      <c r="O1233" s="29">
        <f t="shared" si="410"/>
        <v>1046.5866198103652</v>
      </c>
      <c r="T1233" s="48">
        <v>0.75373841435185185</v>
      </c>
      <c r="U1233" s="29">
        <v>-1515.8812720553149</v>
      </c>
      <c r="V1233" s="29">
        <v>4492.0684742983995</v>
      </c>
      <c r="W1233" s="29">
        <v>4253.9293986404127</v>
      </c>
      <c r="X1233" s="4">
        <v>-0.32420278254754276</v>
      </c>
      <c r="Y1233" s="4">
        <v>-0.12051763838794943</v>
      </c>
      <c r="Z1233" s="4">
        <v>-9.5119086974043091E-3</v>
      </c>
      <c r="AA1233" s="3">
        <f t="shared" si="415"/>
        <v>0.34600927990625568</v>
      </c>
      <c r="AB1233" s="3">
        <f t="shared" si="418"/>
        <v>1.1037633410558381E-3</v>
      </c>
      <c r="AC1233" s="3">
        <f t="shared" si="416"/>
        <v>1.4227902097275856E-2</v>
      </c>
      <c r="AD1233" s="48"/>
      <c r="AE1233" s="46">
        <f t="shared" si="411"/>
        <v>42.092146873260639</v>
      </c>
      <c r="AF1233" s="46">
        <f t="shared" si="412"/>
        <v>-248.53980803796708</v>
      </c>
      <c r="AG1233" s="47">
        <f t="shared" si="413"/>
        <v>1083.3721671242529</v>
      </c>
      <c r="AH1233" s="45" t="str">
        <f t="shared" si="417"/>
        <v>-248.53981,42.09215,01083</v>
      </c>
      <c r="AI1233" s="44">
        <f t="shared" si="419"/>
        <v>1021.3954976544641</v>
      </c>
    </row>
    <row r="1234" spans="1:35" ht="18" customHeight="1" x14ac:dyDescent="0.25">
      <c r="A1234" s="36">
        <f t="shared" si="414"/>
        <v>0.75375005787037042</v>
      </c>
      <c r="B1234" s="42">
        <f t="shared" si="399"/>
        <v>42.092146871557063</v>
      </c>
      <c r="C1234" s="43">
        <f t="shared" si="400"/>
        <v>111.46019340301631</v>
      </c>
      <c r="D1234" s="18">
        <f t="shared" si="401"/>
        <v>1.0690979596156467</v>
      </c>
      <c r="E1234" s="21" t="str">
        <f t="shared" si="402"/>
        <v>Umbra</v>
      </c>
      <c r="F1234" s="23">
        <f>IF($E1234&lt;&gt;"Umbra",fracil2($S$2,$S$3,$S$4,$A1234,$Q$2,$O$3,$Q$4,$U1234,$V1234,$W1234),0)</f>
        <v>0</v>
      </c>
      <c r="G1234" s="19">
        <f t="shared" si="403"/>
        <v>69.30217727457098</v>
      </c>
      <c r="H1234" s="19">
        <f t="shared" si="404"/>
        <v>-4.7920843752841451</v>
      </c>
      <c r="I1234" s="19">
        <f t="shared" si="405"/>
        <v>-3.5840664258892501</v>
      </c>
      <c r="J1234" s="28">
        <f t="shared" si="406"/>
        <v>4.6770897714128569E-3</v>
      </c>
      <c r="K1234" s="24">
        <f t="shared" si="407"/>
        <v>1047.8895837910898</v>
      </c>
      <c r="L1234" s="32">
        <f t="shared" si="408"/>
        <v>0.56562708590936639</v>
      </c>
      <c r="M1234" s="35">
        <f t="shared" si="409"/>
        <v>12.83640725422557</v>
      </c>
      <c r="O1234" s="29">
        <f t="shared" si="410"/>
        <v>1046.5867356276024</v>
      </c>
      <c r="T1234" s="48">
        <v>0.75375005787037042</v>
      </c>
      <c r="U1234" s="29">
        <v>-1516.2075256433111</v>
      </c>
      <c r="V1234" s="29">
        <v>4491.9471850163727</v>
      </c>
      <c r="W1234" s="29">
        <v>4253.9198301425613</v>
      </c>
      <c r="X1234" s="4">
        <v>-0.32419579322269426</v>
      </c>
      <c r="Y1234" s="4">
        <v>-0.12053350438660947</v>
      </c>
      <c r="Z1234" s="4">
        <v>-9.5045895322579312E-3</v>
      </c>
      <c r="AA1234" s="3">
        <f t="shared" si="415"/>
        <v>0.34600805661889644</v>
      </c>
      <c r="AB1234" s="3">
        <f t="shared" si="418"/>
        <v>1.1038789061679115E-3</v>
      </c>
      <c r="AC1234" s="3">
        <f t="shared" si="416"/>
        <v>1.4217012512902605E-2</v>
      </c>
      <c r="AD1234" s="48"/>
      <c r="AE1234" s="46">
        <f t="shared" si="411"/>
        <v>42.092146871557063</v>
      </c>
      <c r="AF1234" s="46">
        <f t="shared" si="412"/>
        <v>-248.53980659698368</v>
      </c>
      <c r="AG1234" s="47">
        <f t="shared" si="413"/>
        <v>1069.0979596156467</v>
      </c>
      <c r="AH1234" s="45" t="str">
        <f t="shared" si="417"/>
        <v>-248.53981,42.09215,01069</v>
      </c>
      <c r="AI1234" s="44">
        <f t="shared" si="419"/>
        <v>1021.3956620872234</v>
      </c>
    </row>
    <row r="1235" spans="1:35" ht="18" customHeight="1" x14ac:dyDescent="0.25">
      <c r="A1235" s="36">
        <f t="shared" si="414"/>
        <v>0.7537615856481481</v>
      </c>
      <c r="B1235" s="42">
        <f t="shared" si="399"/>
        <v>42.092146869873048</v>
      </c>
      <c r="C1235" s="43">
        <f t="shared" si="400"/>
        <v>111.46019361067431</v>
      </c>
      <c r="D1235" s="18">
        <f t="shared" si="401"/>
        <v>1.0549805953523901</v>
      </c>
      <c r="E1235" s="21" t="str">
        <f t="shared" si="402"/>
        <v>Umbra</v>
      </c>
      <c r="F1235" s="23">
        <f>IF($E1235&lt;&gt;"Umbra",fracil2($S$2,$S$3,$S$4,$A1235,$Q$2,$O$3,$Q$4,$U1235,$V1235,$W1235),0)</f>
        <v>0</v>
      </c>
      <c r="G1235" s="19">
        <f t="shared" si="403"/>
        <v>69.302180016865094</v>
      </c>
      <c r="H1235" s="19">
        <f t="shared" si="404"/>
        <v>-4.7928537648347707</v>
      </c>
      <c r="I1235" s="19">
        <f t="shared" si="405"/>
        <v>-3.5848358154398756</v>
      </c>
      <c r="J1235" s="28">
        <f t="shared" si="406"/>
        <v>4.6766210988942545E-3</v>
      </c>
      <c r="K1235" s="24">
        <f t="shared" si="407"/>
        <v>1047.8884471352724</v>
      </c>
      <c r="L1235" s="32">
        <f t="shared" si="408"/>
        <v>0.56564027373076364</v>
      </c>
      <c r="M1235" s="35">
        <f t="shared" si="409"/>
        <v>12.835886930330119</v>
      </c>
      <c r="O1235" s="29">
        <f t="shared" si="410"/>
        <v>1046.5867522818698</v>
      </c>
      <c r="T1235" s="48">
        <v>0.7537615856481481</v>
      </c>
      <c r="U1235" s="29">
        <v>-1516.530434642325</v>
      </c>
      <c r="V1235" s="29">
        <v>4491.8271208301185</v>
      </c>
      <c r="W1235" s="29">
        <v>4253.9103667822665</v>
      </c>
      <c r="X1235" s="4">
        <v>-0.32418887289249826</v>
      </c>
      <c r="Y1235" s="4">
        <v>-0.12054921527873531</v>
      </c>
      <c r="Z1235" s="4">
        <v>-9.497352289476936E-3</v>
      </c>
      <c r="AA1235" s="3">
        <f t="shared" si="415"/>
        <v>0.34600684720412356</v>
      </c>
      <c r="AB1235" s="3">
        <f t="shared" si="418"/>
        <v>1.1024779448278194E-3</v>
      </c>
      <c r="AC1235" s="3">
        <f t="shared" si="416"/>
        <v>1.4206244857770617E-2</v>
      </c>
      <c r="AD1235" s="48"/>
      <c r="AE1235" s="46">
        <f t="shared" si="411"/>
        <v>42.092146869873048</v>
      </c>
      <c r="AF1235" s="46">
        <f t="shared" si="412"/>
        <v>-248.53980638932569</v>
      </c>
      <c r="AG1235" s="47">
        <f t="shared" si="413"/>
        <v>1054.9805953523901</v>
      </c>
      <c r="AH1235" s="45" t="str">
        <f t="shared" si="417"/>
        <v>-248.53981,42.09215,01055</v>
      </c>
      <c r="AI1235" s="44">
        <f t="shared" si="419"/>
        <v>1021.3957570225214</v>
      </c>
    </row>
    <row r="1236" spans="1:35" ht="18" customHeight="1" x14ac:dyDescent="0.25">
      <c r="A1236" s="36">
        <f t="shared" si="414"/>
        <v>0.75377324074074081</v>
      </c>
      <c r="B1236" s="42">
        <f t="shared" si="399"/>
        <v>42.092146868172371</v>
      </c>
      <c r="C1236" s="43">
        <f t="shared" si="400"/>
        <v>111.46019388278272</v>
      </c>
      <c r="D1236" s="18">
        <f t="shared" si="401"/>
        <v>1.0407180340935156</v>
      </c>
      <c r="E1236" s="21" t="str">
        <f t="shared" si="402"/>
        <v>Umbra</v>
      </c>
      <c r="F1236" s="23">
        <f>IF($E1236&lt;&gt;"Umbra",fracil2($S$2,$S$3,$S$4,$A1236,$Q$2,$O$3,$Q$4,$U1236,$V1236,$W1236),0)</f>
        <v>0</v>
      </c>
      <c r="G1236" s="19">
        <f t="shared" si="403"/>
        <v>69.302182850786167</v>
      </c>
      <c r="H1236" s="19">
        <f t="shared" si="404"/>
        <v>-4.7936310914816973</v>
      </c>
      <c r="I1236" s="19">
        <f t="shared" si="405"/>
        <v>-3.5856131420868023</v>
      </c>
      <c r="J1236" s="28">
        <f t="shared" si="406"/>
        <v>4.6761476545796737E-3</v>
      </c>
      <c r="K1236" s="24">
        <f t="shared" si="407"/>
        <v>1047.8873039893069</v>
      </c>
      <c r="L1236" s="32">
        <f t="shared" si="408"/>
        <v>0.56565360589095681</v>
      </c>
      <c r="M1236" s="35">
        <f t="shared" si="409"/>
        <v>12.835361187297243</v>
      </c>
      <c r="O1236" s="29">
        <f t="shared" si="410"/>
        <v>1046.5867741177531</v>
      </c>
      <c r="T1236" s="48">
        <v>0.75377324074074081</v>
      </c>
      <c r="U1236" s="29">
        <v>-1516.8569077232996</v>
      </c>
      <c r="V1236" s="29">
        <v>4491.7057129272207</v>
      </c>
      <c r="W1236" s="29">
        <v>4253.9008060914284</v>
      </c>
      <c r="X1236" s="4">
        <v>-0.32418187389017272</v>
      </c>
      <c r="Y1236" s="4">
        <v>-0.12056510602402434</v>
      </c>
      <c r="Z1236" s="4">
        <v>-9.4900410060406518E-3</v>
      </c>
      <c r="AA1236" s="3">
        <f t="shared" si="415"/>
        <v>0.34600562571701693</v>
      </c>
      <c r="AB1236" s="3">
        <f t="shared" si="418"/>
        <v>1.1015862139057383E-3</v>
      </c>
      <c r="AC1236" s="3">
        <f t="shared" si="416"/>
        <v>1.4195367088276052E-2</v>
      </c>
      <c r="AD1236" s="48"/>
      <c r="AE1236" s="46">
        <f t="shared" si="411"/>
        <v>42.092146868172371</v>
      </c>
      <c r="AF1236" s="46">
        <f t="shared" si="412"/>
        <v>-248.53980611721727</v>
      </c>
      <c r="AG1236" s="47">
        <f t="shared" si="413"/>
        <v>1040.7180340935156</v>
      </c>
      <c r="AH1236" s="45" t="str">
        <f t="shared" si="417"/>
        <v>-248.53981,42.09215,01041</v>
      </c>
      <c r="AI1236" s="44">
        <f t="shared" si="419"/>
        <v>1021.3957570225214</v>
      </c>
    </row>
    <row r="1237" spans="1:35" ht="18" customHeight="1" x14ac:dyDescent="0.25">
      <c r="A1237" s="36">
        <f t="shared" si="414"/>
        <v>0.75378480324074071</v>
      </c>
      <c r="B1237" s="42">
        <f t="shared" si="399"/>
        <v>42.092146866487795</v>
      </c>
      <c r="C1237" s="43">
        <f t="shared" si="400"/>
        <v>111.46019281462345</v>
      </c>
      <c r="D1237" s="18">
        <f t="shared" si="401"/>
        <v>1.0265841595464735</v>
      </c>
      <c r="E1237" s="21" t="str">
        <f t="shared" si="402"/>
        <v>Umbra</v>
      </c>
      <c r="F1237" s="23">
        <f>IF($E1237&lt;&gt;"Umbra",fracil2($S$2,$S$3,$S$4,$A1237,$Q$2,$O$3,$Q$4,$U1237,$V1237,$W1237),0)</f>
        <v>0</v>
      </c>
      <c r="G1237" s="19">
        <f t="shared" si="403"/>
        <v>69.30218429771034</v>
      </c>
      <c r="H1237" s="19">
        <f t="shared" si="404"/>
        <v>-4.7944009289375584</v>
      </c>
      <c r="I1237" s="19">
        <f t="shared" si="405"/>
        <v>-3.5863829795426634</v>
      </c>
      <c r="J1237" s="28">
        <f t="shared" si="406"/>
        <v>4.6756785505147188E-3</v>
      </c>
      <c r="K1237" s="24">
        <f t="shared" si="407"/>
        <v>1047.8860638216643</v>
      </c>
      <c r="L1237" s="32">
        <f t="shared" si="408"/>
        <v>0.56566683193897715</v>
      </c>
      <c r="M1237" s="35">
        <f t="shared" si="409"/>
        <v>12.834841508520281</v>
      </c>
      <c r="O1237" s="29">
        <f t="shared" si="410"/>
        <v>1046.5866881920617</v>
      </c>
      <c r="T1237" s="48">
        <v>0.75378480324074071</v>
      </c>
      <c r="U1237" s="29">
        <v>-1517.1806763907202</v>
      </c>
      <c r="V1237" s="29">
        <v>4491.585292336983</v>
      </c>
      <c r="W1237" s="29">
        <v>4253.8913316638318</v>
      </c>
      <c r="X1237" s="4">
        <v>-0.3241749307156514</v>
      </c>
      <c r="Y1237" s="4">
        <v>-0.12058087116293319</v>
      </c>
      <c r="Z1237" s="4">
        <v>-9.4827957317268358E-3</v>
      </c>
      <c r="AA1237" s="3">
        <f t="shared" si="415"/>
        <v>0.34600441559292122</v>
      </c>
      <c r="AB1237" s="3">
        <f t="shared" si="418"/>
        <v>1.1003780473150346E-3</v>
      </c>
      <c r="AC1237" s="3">
        <f t="shared" si="416"/>
        <v>1.418458757145131E-2</v>
      </c>
      <c r="AD1237" s="48"/>
      <c r="AE1237" s="46">
        <f t="shared" si="411"/>
        <v>42.092146866487795</v>
      </c>
      <c r="AF1237" s="46">
        <f t="shared" si="412"/>
        <v>-248.53980718537656</v>
      </c>
      <c r="AG1237" s="47">
        <f t="shared" si="413"/>
        <v>1026.5841595464735</v>
      </c>
      <c r="AH1237" s="45" t="str">
        <f t="shared" si="417"/>
        <v>-248.53981,42.09215,01027</v>
      </c>
      <c r="AI1237" s="44">
        <f t="shared" si="419"/>
        <v>1021.3957570225214</v>
      </c>
    </row>
    <row r="1238" spans="1:35" ht="18" customHeight="1" x14ac:dyDescent="0.25">
      <c r="A1238" s="36">
        <f t="shared" si="414"/>
        <v>0.7537962962962963</v>
      </c>
      <c r="B1238" s="42">
        <f t="shared" si="399"/>
        <v>42.09214686481544</v>
      </c>
      <c r="C1238" s="43">
        <f t="shared" si="400"/>
        <v>111.46019196354844</v>
      </c>
      <c r="D1238" s="18">
        <f t="shared" si="401"/>
        <v>1.0125451528720077</v>
      </c>
      <c r="E1238" s="21" t="str">
        <f t="shared" si="402"/>
        <v>Umbra</v>
      </c>
      <c r="F1238" s="23">
        <f>IF($E1238&lt;&gt;"Umbra",fracil2($S$2,$S$3,$S$4,$A1238,$Q$2,$O$3,$Q$4,$U1238,$V1238,$W1238),0)</f>
        <v>0</v>
      </c>
      <c r="G1238" s="19">
        <f t="shared" si="403"/>
        <v>69.302185948549578</v>
      </c>
      <c r="H1238" s="19">
        <f t="shared" si="404"/>
        <v>-4.7951656758564107</v>
      </c>
      <c r="I1238" s="19">
        <f t="shared" si="405"/>
        <v>-3.5871477264615157</v>
      </c>
      <c r="J1238" s="28">
        <f t="shared" si="406"/>
        <v>4.6752126463056199E-3</v>
      </c>
      <c r="K1238" s="24">
        <f t="shared" si="407"/>
        <v>1047.8848490375992</v>
      </c>
      <c r="L1238" s="32">
        <f t="shared" si="408"/>
        <v>0.56567997715173957</v>
      </c>
      <c r="M1238" s="35">
        <f t="shared" si="409"/>
        <v>12.834325103953567</v>
      </c>
      <c r="O1238" s="29">
        <f t="shared" si="410"/>
        <v>1046.5866197209768</v>
      </c>
      <c r="T1238" s="48">
        <v>0.7537962962962963</v>
      </c>
      <c r="U1238" s="29">
        <v>-1517.5025099773213</v>
      </c>
      <c r="V1238" s="29">
        <v>4491.4655733043483</v>
      </c>
      <c r="W1238" s="29">
        <v>4253.8819208295454</v>
      </c>
      <c r="X1238" s="4">
        <v>-0.32416802674897538</v>
      </c>
      <c r="Y1238" s="4">
        <v>-0.12059654851845293</v>
      </c>
      <c r="Z1238" s="4">
        <v>-9.4755996025261205E-3</v>
      </c>
      <c r="AA1238" s="3">
        <f t="shared" si="415"/>
        <v>0.34600321395720501</v>
      </c>
      <c r="AB1238" s="3">
        <f t="shared" si="418"/>
        <v>1.0995133754466875E-3</v>
      </c>
      <c r="AC1238" s="3">
        <f t="shared" si="416"/>
        <v>1.4173881216088766E-2</v>
      </c>
      <c r="AD1238" s="48"/>
      <c r="AE1238" s="46">
        <f t="shared" si="411"/>
        <v>42.09214686481544</v>
      </c>
      <c r="AF1238" s="46">
        <f t="shared" si="412"/>
        <v>-248.53980803645157</v>
      </c>
      <c r="AG1238" s="47">
        <f t="shared" si="413"/>
        <v>1012.5451528720077</v>
      </c>
      <c r="AH1238" s="45" t="str">
        <f t="shared" si="417"/>
        <v>-248.53981,42.09215,01013</v>
      </c>
      <c r="AI1238" s="44">
        <f t="shared" si="419"/>
        <v>1021.3957570225214</v>
      </c>
    </row>
    <row r="1239" spans="1:35" ht="18" customHeight="1" x14ac:dyDescent="0.25">
      <c r="A1239" s="36">
        <f t="shared" si="414"/>
        <v>0.7538078587962963</v>
      </c>
      <c r="B1239" s="42">
        <f t="shared" si="399"/>
        <v>42.092146863133785</v>
      </c>
      <c r="C1239" s="43">
        <f t="shared" si="400"/>
        <v>111.46019455177459</v>
      </c>
      <c r="D1239" s="18">
        <f t="shared" si="401"/>
        <v>0.99842042361797212</v>
      </c>
      <c r="E1239" s="21" t="str">
        <f t="shared" si="402"/>
        <v>Umbra</v>
      </c>
      <c r="F1239" s="23">
        <f>IF($E1239&lt;&gt;"Umbra",fracil2($S$2,$S$3,$S$4,$A1239,$Q$2,$O$3,$Q$4,$U1239,$V1239,$W1239),0)</f>
        <v>0</v>
      </c>
      <c r="G1239" s="19">
        <f t="shared" si="403"/>
        <v>69.302191114790489</v>
      </c>
      <c r="H1239" s="19">
        <f t="shared" si="404"/>
        <v>-4.7959363225992035</v>
      </c>
      <c r="I1239" s="19">
        <f t="shared" si="405"/>
        <v>-3.5879183732043085</v>
      </c>
      <c r="J1239" s="28">
        <f t="shared" si="406"/>
        <v>4.6747439185071413E-3</v>
      </c>
      <c r="K1239" s="24">
        <f t="shared" si="407"/>
        <v>1047.883903874231</v>
      </c>
      <c r="L1239" s="32">
        <f t="shared" si="408"/>
        <v>0.56569319783223304</v>
      </c>
      <c r="M1239" s="35">
        <f t="shared" si="409"/>
        <v>12.833802125524057</v>
      </c>
      <c r="O1239" s="29">
        <f t="shared" si="410"/>
        <v>1046.5868277808856</v>
      </c>
      <c r="T1239" s="48">
        <v>0.7538078587962963</v>
      </c>
      <c r="U1239" s="29">
        <v>-1517.8265485030456</v>
      </c>
      <c r="V1239" s="29">
        <v>4491.3450157507514</v>
      </c>
      <c r="W1239" s="29">
        <v>4253.8724525325097</v>
      </c>
      <c r="X1239" s="4">
        <v>-0.32416107280036993</v>
      </c>
      <c r="Y1239" s="4">
        <v>-0.12061234087524446</v>
      </c>
      <c r="Z1239" s="4">
        <v>-9.4683611100487512E-3</v>
      </c>
      <c r="AA1239" s="3">
        <f t="shared" si="415"/>
        <v>0.34600200541702525</v>
      </c>
      <c r="AB1239" s="3">
        <f t="shared" si="418"/>
        <v>1.09933913691085E-3</v>
      </c>
      <c r="AC1239" s="3">
        <f t="shared" si="416"/>
        <v>1.4163111876631789E-2</v>
      </c>
      <c r="AD1239" s="48"/>
      <c r="AE1239" s="46">
        <f t="shared" si="411"/>
        <v>42.092146863133785</v>
      </c>
      <c r="AF1239" s="46">
        <f t="shared" si="412"/>
        <v>-248.53980544822542</v>
      </c>
      <c r="AG1239" s="47">
        <f t="shared" si="413"/>
        <v>998.42042361797212</v>
      </c>
      <c r="AH1239" s="45" t="str">
        <f t="shared" si="417"/>
        <v>-248.53981,42.09215,00998</v>
      </c>
      <c r="AI1239" s="44">
        <f t="shared" si="419"/>
        <v>1021.3959693043014</v>
      </c>
    </row>
    <row r="1240" spans="1:35" ht="18" customHeight="1" x14ac:dyDescent="0.25">
      <c r="A1240" s="36">
        <f t="shared" si="414"/>
        <v>0.75381943287037034</v>
      </c>
      <c r="B1240" s="42">
        <f t="shared" si="399"/>
        <v>42.092146861453173</v>
      </c>
      <c r="C1240" s="43">
        <f t="shared" si="400"/>
        <v>111.46019559151902</v>
      </c>
      <c r="D1240" s="18">
        <f t="shared" si="401"/>
        <v>0.98429759936698247</v>
      </c>
      <c r="E1240" s="21" t="str">
        <f t="shared" si="402"/>
        <v>Umbra</v>
      </c>
      <c r="F1240" s="23">
        <f>IF($E1240&lt;&gt;"Umbra",fracil2($S$2,$S$3,$S$4,$A1240,$Q$2,$O$3,$Q$4,$U1240,$V1240,$W1240),0)</f>
        <v>0</v>
      </c>
      <c r="G1240" s="19">
        <f t="shared" si="403"/>
        <v>69.302194704872917</v>
      </c>
      <c r="H1240" s="19">
        <f t="shared" si="404"/>
        <v>-4.7967063147477802</v>
      </c>
      <c r="I1240" s="19">
        <f t="shared" si="405"/>
        <v>-3.5886883653528852</v>
      </c>
      <c r="J1240" s="28">
        <f t="shared" si="406"/>
        <v>4.6742754278816436E-3</v>
      </c>
      <c r="K1240" s="24">
        <f t="shared" si="407"/>
        <v>1047.8828345968793</v>
      </c>
      <c r="L1240" s="32">
        <f t="shared" si="408"/>
        <v>0.56570643172485213</v>
      </c>
      <c r="M1240" s="35">
        <f t="shared" si="409"/>
        <v>12.833280746815156</v>
      </c>
      <c r="O1240" s="29">
        <f t="shared" si="410"/>
        <v>1046.5869113377566</v>
      </c>
      <c r="T1240" s="48">
        <v>0.75381943287037034</v>
      </c>
      <c r="U1240" s="29">
        <v>-1518.1507840939205</v>
      </c>
      <c r="V1240" s="29">
        <v>4491.2243664853477</v>
      </c>
      <c r="W1240" s="29">
        <v>4253.8629855125309</v>
      </c>
      <c r="X1240" s="4">
        <v>-0.32415411194369542</v>
      </c>
      <c r="Y1240" s="4">
        <v>-0.1206281504131449</v>
      </c>
      <c r="Z1240" s="4">
        <v>-9.4611251379164586E-3</v>
      </c>
      <c r="AA1240" s="3">
        <f t="shared" si="415"/>
        <v>0.34600079747159174</v>
      </c>
      <c r="AB1240" s="3">
        <f t="shared" si="418"/>
        <v>1.0978529244535695E-3</v>
      </c>
      <c r="AC1240" s="3">
        <f t="shared" si="416"/>
        <v>1.415234633085463E-2</v>
      </c>
      <c r="AD1240" s="48"/>
      <c r="AE1240" s="46">
        <f t="shared" si="411"/>
        <v>42.092146861453173</v>
      </c>
      <c r="AF1240" s="46">
        <f t="shared" si="412"/>
        <v>-248.53980440848096</v>
      </c>
      <c r="AG1240" s="47">
        <f t="shared" si="413"/>
        <v>984.29759936698247</v>
      </c>
      <c r="AH1240" s="45" t="str">
        <f t="shared" si="417"/>
        <v>-248.53980,42.09215,00984</v>
      </c>
      <c r="AI1240" s="44">
        <f t="shared" si="419"/>
        <v>1021.3960642395994</v>
      </c>
    </row>
    <row r="1241" spans="1:35" ht="18" customHeight="1" x14ac:dyDescent="0.25">
      <c r="A1241" s="36">
        <f t="shared" si="414"/>
        <v>0.75383100694444449</v>
      </c>
      <c r="B1241" s="42">
        <f t="shared" si="399"/>
        <v>42.092146859774935</v>
      </c>
      <c r="C1241" s="43">
        <f t="shared" si="400"/>
        <v>111.46019562265616</v>
      </c>
      <c r="D1241" s="18">
        <f t="shared" si="401"/>
        <v>0.97018897328143794</v>
      </c>
      <c r="E1241" s="21" t="str">
        <f t="shared" si="402"/>
        <v>Umbra</v>
      </c>
      <c r="F1241" s="23">
        <f>IF($E1241&lt;&gt;"Umbra",fracil2($S$2,$S$3,$S$4,$A1241,$Q$2,$O$3,$Q$4,$U1241,$V1241,$W1241),0)</f>
        <v>0</v>
      </c>
      <c r="G1241" s="19">
        <f t="shared" si="403"/>
        <v>69.302197266001542</v>
      </c>
      <c r="H1241" s="19">
        <f t="shared" si="404"/>
        <v>-4.7974751751405966</v>
      </c>
      <c r="I1241" s="19">
        <f t="shared" si="405"/>
        <v>-3.5894572257457016</v>
      </c>
      <c r="J1241" s="28">
        <f t="shared" si="406"/>
        <v>4.6738074458245E-3</v>
      </c>
      <c r="K1241" s="24">
        <f t="shared" si="407"/>
        <v>1047.8816856010972</v>
      </c>
      <c r="L1241" s="32">
        <f t="shared" si="408"/>
        <v>0.56571966516919014</v>
      </c>
      <c r="M1241" s="35">
        <f t="shared" si="409"/>
        <v>12.832760885387737</v>
      </c>
      <c r="O1241" s="29">
        <f t="shared" si="410"/>
        <v>1046.5869137993068</v>
      </c>
      <c r="T1241" s="48">
        <v>0.75383100694444449</v>
      </c>
      <c r="U1241" s="29">
        <v>-1518.4749344749368</v>
      </c>
      <c r="V1241" s="29">
        <v>4491.1037305268719</v>
      </c>
      <c r="W1241" s="29">
        <v>4253.8535280101332</v>
      </c>
      <c r="X1241" s="4">
        <v>-0.32414715087893886</v>
      </c>
      <c r="Y1241" s="4">
        <v>-0.12064396146658404</v>
      </c>
      <c r="Z1241" s="4">
        <v>-9.4538961724314006E-3</v>
      </c>
      <c r="AA1241" s="3">
        <f t="shared" si="415"/>
        <v>0.34599959106063016</v>
      </c>
      <c r="AB1241" s="3">
        <f t="shared" si="418"/>
        <v>1.0967853839233552E-3</v>
      </c>
      <c r="AC1241" s="3">
        <f t="shared" si="416"/>
        <v>1.4141591253379807E-2</v>
      </c>
      <c r="AD1241" s="48"/>
      <c r="AE1241" s="46">
        <f t="shared" si="411"/>
        <v>42.092146859774935</v>
      </c>
      <c r="AF1241" s="46">
        <f t="shared" si="412"/>
        <v>-248.53980437734384</v>
      </c>
      <c r="AG1241" s="47">
        <f t="shared" si="413"/>
        <v>970.18897328143794</v>
      </c>
      <c r="AH1241" s="45" t="str">
        <f t="shared" si="417"/>
        <v>-248.53980,42.09215,00970</v>
      </c>
      <c r="AI1241" s="44">
        <f t="shared" si="419"/>
        <v>1021.3960642395994</v>
      </c>
    </row>
    <row r="1242" spans="1:35" ht="18" customHeight="1" x14ac:dyDescent="0.25">
      <c r="A1242" s="36">
        <f t="shared" si="414"/>
        <v>0.75384258101851842</v>
      </c>
      <c r="B1242" s="42">
        <f t="shared" si="399"/>
        <v>42.092146858099305</v>
      </c>
      <c r="C1242" s="43">
        <f t="shared" si="400"/>
        <v>111.46019451296134</v>
      </c>
      <c r="D1242" s="18">
        <f t="shared" si="401"/>
        <v>0.95609497473105876</v>
      </c>
      <c r="E1242" s="21" t="str">
        <f t="shared" si="402"/>
        <v>Umbra</v>
      </c>
      <c r="F1242" s="23">
        <f>IF($E1242&lt;&gt;"Umbra",fracil2($S$2,$S$3,$S$4,$A1242,$Q$2,$O$3,$Q$4,$U1242,$V1242,$W1242),0)</f>
        <v>0</v>
      </c>
      <c r="G1242" s="19">
        <f t="shared" si="403"/>
        <v>69.302198663539812</v>
      </c>
      <c r="H1242" s="19">
        <f t="shared" si="404"/>
        <v>-4.7982428334195681</v>
      </c>
      <c r="I1242" s="19">
        <f t="shared" si="405"/>
        <v>-3.5902248840246731</v>
      </c>
      <c r="J1242" s="28">
        <f t="shared" si="406"/>
        <v>4.6733399692272543E-3</v>
      </c>
      <c r="K1242" s="24">
        <f t="shared" si="407"/>
        <v>1047.8804462941971</v>
      </c>
      <c r="L1242" s="32">
        <f t="shared" si="408"/>
        <v>0.56573289827213147</v>
      </c>
      <c r="M1242" s="35">
        <f t="shared" si="409"/>
        <v>12.832242688018601</v>
      </c>
      <c r="O1242" s="29">
        <f t="shared" si="410"/>
        <v>1046.5868245342504</v>
      </c>
      <c r="T1242" s="48">
        <v>0.75384258101851842</v>
      </c>
      <c r="U1242" s="29">
        <v>-1518.7989893911933</v>
      </c>
      <c r="V1242" s="29">
        <v>4490.9831116991936</v>
      </c>
      <c r="W1242" s="29">
        <v>4253.8440803131543</v>
      </c>
      <c r="X1242" s="4">
        <v>-0.32414018994204163</v>
      </c>
      <c r="Y1242" s="4">
        <v>-0.12065977318755126</v>
      </c>
      <c r="Z1242" s="4">
        <v>-9.4466741111742854E-3</v>
      </c>
      <c r="AA1242" s="3">
        <f t="shared" si="415"/>
        <v>0.34599838620013373</v>
      </c>
      <c r="AB1242" s="3">
        <f t="shared" si="418"/>
        <v>1.0957333856777298E-3</v>
      </c>
      <c r="AC1242" s="3">
        <f t="shared" si="416"/>
        <v>1.4130846491799987E-2</v>
      </c>
      <c r="AD1242" s="48"/>
      <c r="AE1242" s="46">
        <f t="shared" si="411"/>
        <v>42.092146858099305</v>
      </c>
      <c r="AF1242" s="46">
        <f t="shared" si="412"/>
        <v>-248.53980548703868</v>
      </c>
      <c r="AG1242" s="47">
        <f t="shared" si="413"/>
        <v>956.09497473105876</v>
      </c>
      <c r="AH1242" s="45" t="str">
        <f t="shared" si="417"/>
        <v>-248.53981,42.09215,00956</v>
      </c>
      <c r="AI1242" s="44">
        <f t="shared" si="419"/>
        <v>1021.3961591748973</v>
      </c>
    </row>
    <row r="1243" spans="1:35" ht="18" customHeight="1" x14ac:dyDescent="0.25">
      <c r="A1243" s="36">
        <f t="shared" si="414"/>
        <v>0.75385417824074075</v>
      </c>
      <c r="B1243" s="42">
        <f t="shared" si="399"/>
        <v>42.092146856422112</v>
      </c>
      <c r="C1243" s="43">
        <f t="shared" si="400"/>
        <v>111.4601936037954</v>
      </c>
      <c r="D1243" s="18">
        <f t="shared" si="401"/>
        <v>0.94198290255189931</v>
      </c>
      <c r="E1243" s="21" t="str">
        <f t="shared" si="402"/>
        <v>Umbra</v>
      </c>
      <c r="F1243" s="23">
        <f>IF($E1243&lt;&gt;"Umbra",fracil2($S$2,$S$3,$S$4,$A1243,$Q$2,$O$3,$Q$4,$U1243,$V1243,$W1243),0)</f>
        <v>0</v>
      </c>
      <c r="G1243" s="19">
        <f t="shared" si="403"/>
        <v>69.302200268395765</v>
      </c>
      <c r="H1243" s="19">
        <f t="shared" si="404"/>
        <v>-4.7990115499139332</v>
      </c>
      <c r="I1243" s="19">
        <f t="shared" si="405"/>
        <v>-3.5909936005190382</v>
      </c>
      <c r="J1243" s="28">
        <f t="shared" si="406"/>
        <v>4.6728720424507961E-3</v>
      </c>
      <c r="K1243" s="24">
        <f t="shared" si="407"/>
        <v>1047.8792218186288</v>
      </c>
      <c r="L1243" s="32">
        <f t="shared" si="408"/>
        <v>0.56574615643545134</v>
      </c>
      <c r="M1243" s="35">
        <f t="shared" si="409"/>
        <v>12.831723620079741</v>
      </c>
      <c r="O1243" s="29">
        <f t="shared" si="410"/>
        <v>1046.5867513923395</v>
      </c>
      <c r="T1243" s="48">
        <v>0.75385417824074075</v>
      </c>
      <c r="U1243" s="29">
        <v>-1519.1237011687751</v>
      </c>
      <c r="V1243" s="29">
        <v>4490.862229918137</v>
      </c>
      <c r="W1243" s="29">
        <v>4253.8346205008411</v>
      </c>
      <c r="X1243" s="4">
        <v>-0.32413321204978918</v>
      </c>
      <c r="Y1243" s="4">
        <v>-0.12067562500855045</v>
      </c>
      <c r="Z1243" s="4">
        <v>-9.4394447842685251E-3</v>
      </c>
      <c r="AA1243" s="3">
        <f t="shared" si="415"/>
        <v>0.34599718025260429</v>
      </c>
      <c r="AB1243" s="3">
        <f t="shared" si="418"/>
        <v>1.0946419491573202E-3</v>
      </c>
      <c r="AC1243" s="3">
        <f t="shared" si="416"/>
        <v>1.4120090964728547E-2</v>
      </c>
      <c r="AD1243" s="48"/>
      <c r="AE1243" s="46">
        <f t="shared" si="411"/>
        <v>42.092146856422112</v>
      </c>
      <c r="AF1243" s="46">
        <f t="shared" si="412"/>
        <v>-248.5398063962046</v>
      </c>
      <c r="AG1243" s="47">
        <f t="shared" si="413"/>
        <v>941.98290255189931</v>
      </c>
      <c r="AH1243" s="45" t="str">
        <f t="shared" si="417"/>
        <v>-248.53981,42.09215,00942</v>
      </c>
      <c r="AI1243" s="44">
        <f t="shared" si="419"/>
        <v>1021.3962541101953</v>
      </c>
    </row>
    <row r="1244" spans="1:35" ht="18" customHeight="1" x14ac:dyDescent="0.25">
      <c r="A1244" s="36">
        <f t="shared" si="414"/>
        <v>0.75386583333333335</v>
      </c>
      <c r="B1244" s="42">
        <f t="shared" si="399"/>
        <v>42.092146854737557</v>
      </c>
      <c r="C1244" s="43">
        <f t="shared" si="400"/>
        <v>111.46019588279479</v>
      </c>
      <c r="D1244" s="18">
        <f t="shared" si="401"/>
        <v>0.92780053875503654</v>
      </c>
      <c r="E1244" s="21" t="str">
        <f t="shared" si="402"/>
        <v>Umbra</v>
      </c>
      <c r="F1244" s="23">
        <f>IF($E1244&lt;&gt;"Umbra",fracil2($S$2,$S$3,$S$4,$A1244,$Q$2,$O$3,$Q$4,$U1244,$V1244,$W1244),0)</f>
        <v>0</v>
      </c>
      <c r="G1244" s="19">
        <f t="shared" si="403"/>
        <v>69.302205130312686</v>
      </c>
      <c r="H1244" s="19">
        <f t="shared" si="404"/>
        <v>-4.7997852348758983</v>
      </c>
      <c r="I1244" s="19">
        <f t="shared" si="405"/>
        <v>-3.5917672854810032</v>
      </c>
      <c r="J1244" s="28">
        <f t="shared" si="406"/>
        <v>4.6724017022941617E-3</v>
      </c>
      <c r="K1244" s="24">
        <f t="shared" si="407"/>
        <v>1047.8782480438356</v>
      </c>
      <c r="L1244" s="32">
        <f t="shared" si="408"/>
        <v>0.56575947697469997</v>
      </c>
      <c r="M1244" s="35">
        <f t="shared" si="409"/>
        <v>12.831198796231321</v>
      </c>
      <c r="O1244" s="29">
        <f t="shared" si="410"/>
        <v>1046.5869345893211</v>
      </c>
      <c r="T1244" s="48">
        <v>0.75386583333333335</v>
      </c>
      <c r="U1244" s="29">
        <v>-1519.4502739053819</v>
      </c>
      <c r="V1244" s="29">
        <v>4490.7406367048188</v>
      </c>
      <c r="W1244" s="29">
        <v>4253.8251135696974</v>
      </c>
      <c r="X1244" s="4">
        <v>-0.32412619205391863</v>
      </c>
      <c r="Y1244" s="4">
        <v>-0.12069157354865639</v>
      </c>
      <c r="Z1244" s="4">
        <v>-9.4321793184987974E-3</v>
      </c>
      <c r="AA1244" s="3">
        <f t="shared" si="415"/>
        <v>0.34599596862929022</v>
      </c>
      <c r="AB1244" s="3">
        <f t="shared" si="418"/>
        <v>1.0946471353361947E-3</v>
      </c>
      <c r="AC1244" s="3">
        <f t="shared" si="416"/>
        <v>1.410928171615077E-2</v>
      </c>
      <c r="AD1244" s="48"/>
      <c r="AE1244" s="46">
        <f t="shared" si="411"/>
        <v>42.092146854737557</v>
      </c>
      <c r="AF1244" s="46">
        <f t="shared" si="412"/>
        <v>-248.53980411720522</v>
      </c>
      <c r="AG1244" s="47">
        <f t="shared" si="413"/>
        <v>927.80053875503654</v>
      </c>
      <c r="AH1244" s="45" t="str">
        <f t="shared" si="417"/>
        <v>-248.53980,42.09215,00928</v>
      </c>
      <c r="AI1244" s="44">
        <f t="shared" si="419"/>
        <v>1021.3964439807912</v>
      </c>
    </row>
    <row r="1245" spans="1:35" ht="18" customHeight="1" x14ac:dyDescent="0.25">
      <c r="A1245" s="36">
        <f t="shared" si="414"/>
        <v>0.75387734953703711</v>
      </c>
      <c r="B1245" s="42">
        <f t="shared" si="399"/>
        <v>42.092146853077182</v>
      </c>
      <c r="C1245" s="43">
        <f t="shared" si="400"/>
        <v>111.46019332811403</v>
      </c>
      <c r="D1245" s="18">
        <f t="shared" si="401"/>
        <v>0.91381407648987079</v>
      </c>
      <c r="E1245" s="21" t="str">
        <f t="shared" si="402"/>
        <v>Umbra</v>
      </c>
      <c r="F1245" s="23">
        <f>IF($E1245&lt;&gt;"Umbra",fracil2($S$2,$S$3,$S$4,$A1245,$Q$2,$O$3,$Q$4,$U1245,$V1245,$W1245),0)</f>
        <v>0</v>
      </c>
      <c r="G1245" s="19">
        <f t="shared" si="403"/>
        <v>69.302205038093319</v>
      </c>
      <c r="H1245" s="19">
        <f t="shared" si="404"/>
        <v>-4.8005465233271609</v>
      </c>
      <c r="I1245" s="19">
        <f t="shared" si="405"/>
        <v>-3.5925285739322659</v>
      </c>
      <c r="J1245" s="28">
        <f t="shared" si="406"/>
        <v>4.6719380241924619E-3</v>
      </c>
      <c r="K1245" s="24">
        <f t="shared" si="407"/>
        <v>1047.8769019347644</v>
      </c>
      <c r="L1245" s="32">
        <f t="shared" si="408"/>
        <v>0.56577264134846683</v>
      </c>
      <c r="M1245" s="35">
        <f t="shared" si="409"/>
        <v>12.830685975921053</v>
      </c>
      <c r="O1245" s="29">
        <f t="shared" si="410"/>
        <v>1046.5867291429772</v>
      </c>
      <c r="T1245" s="48">
        <v>0.75387734953703711</v>
      </c>
      <c r="U1245" s="29">
        <v>-1519.7725751975424</v>
      </c>
      <c r="V1245" s="29">
        <v>4490.6206155427126</v>
      </c>
      <c r="W1245" s="29">
        <v>4253.8157379582326</v>
      </c>
      <c r="X1245" s="4">
        <v>-0.32411926178811312</v>
      </c>
      <c r="Y1245" s="4">
        <v>-0.12070731928881002</v>
      </c>
      <c r="Z1245" s="4">
        <v>-9.4250141142294894E-3</v>
      </c>
      <c r="AA1245" s="3">
        <f t="shared" si="415"/>
        <v>0.34599477406893814</v>
      </c>
      <c r="AB1245" s="3">
        <f t="shared" si="418"/>
        <v>1.0925563948891569E-3</v>
      </c>
      <c r="AC1245" s="3">
        <f t="shared" si="416"/>
        <v>1.4098621676182472E-2</v>
      </c>
      <c r="AD1245" s="48"/>
      <c r="AE1245" s="46">
        <f t="shared" si="411"/>
        <v>42.092146853077182</v>
      </c>
      <c r="AF1245" s="46">
        <f t="shared" si="412"/>
        <v>-248.53980667188597</v>
      </c>
      <c r="AG1245" s="47">
        <f t="shared" si="413"/>
        <v>913.81407648987079</v>
      </c>
      <c r="AH1245" s="45" t="str">
        <f t="shared" si="417"/>
        <v>-248.53981,42.09215,00914</v>
      </c>
      <c r="AI1245" s="44">
        <f t="shared" si="419"/>
        <v>1021.3966562625712</v>
      </c>
    </row>
    <row r="1246" spans="1:35" ht="18" customHeight="1" x14ac:dyDescent="0.25">
      <c r="A1246" s="36">
        <f t="shared" si="414"/>
        <v>0.75388894675925933</v>
      </c>
      <c r="B1246" s="42">
        <f t="shared" si="399"/>
        <v>42.092146851405104</v>
      </c>
      <c r="C1246" s="43">
        <f t="shared" si="400"/>
        <v>111.46019567312301</v>
      </c>
      <c r="D1246" s="18">
        <f t="shared" si="401"/>
        <v>0.89972341761585994</v>
      </c>
      <c r="E1246" s="21" t="str">
        <f t="shared" si="402"/>
        <v>Umbra</v>
      </c>
      <c r="F1246" s="23">
        <f>IF($E1246&lt;&gt;"Umbra",fracil2($S$2,$S$3,$S$4,$A1246,$Q$2,$O$3,$Q$4,$U1246,$V1246,$W1246),0)</f>
        <v>0</v>
      </c>
      <c r="G1246" s="19">
        <f t="shared" si="403"/>
        <v>69.302209950756264</v>
      </c>
      <c r="H1246" s="19">
        <f t="shared" si="404"/>
        <v>-4.8013152374211314</v>
      </c>
      <c r="I1246" s="19">
        <f t="shared" si="405"/>
        <v>-3.5932972880262364</v>
      </c>
      <c r="J1246" s="28">
        <f t="shared" si="406"/>
        <v>4.6714708109049088E-3</v>
      </c>
      <c r="K1246" s="24">
        <f t="shared" si="407"/>
        <v>1047.8759413216894</v>
      </c>
      <c r="L1246" s="32">
        <f t="shared" si="408"/>
        <v>0.56578589320052142</v>
      </c>
      <c r="M1246" s="35">
        <f t="shared" si="409"/>
        <v>12.830164454267781</v>
      </c>
      <c r="O1246" s="29">
        <f t="shared" si="410"/>
        <v>1046.5869176476565</v>
      </c>
      <c r="T1246" s="48">
        <v>0.75388894675925933</v>
      </c>
      <c r="U1246" s="29">
        <v>-1520.0975184565461</v>
      </c>
      <c r="V1246" s="29">
        <v>4490.499592091569</v>
      </c>
      <c r="W1246" s="29">
        <v>4253.8062925002168</v>
      </c>
      <c r="X1246" s="4">
        <v>-0.32411227232819328</v>
      </c>
      <c r="Y1246" s="4">
        <v>-0.12072320076991609</v>
      </c>
      <c r="Z1246" s="4">
        <v>-9.4177962349276632E-3</v>
      </c>
      <c r="AA1246" s="3">
        <f t="shared" si="415"/>
        <v>0.34599357098622657</v>
      </c>
      <c r="AB1246" s="3">
        <f t="shared" si="418"/>
        <v>1.0928950956954554E-3</v>
      </c>
      <c r="AC1246" s="3">
        <f t="shared" si="416"/>
        <v>1.4087883313015472E-2</v>
      </c>
      <c r="AD1246" s="48"/>
      <c r="AE1246" s="46">
        <f t="shared" si="411"/>
        <v>42.092146851405104</v>
      </c>
      <c r="AF1246" s="46">
        <f t="shared" si="412"/>
        <v>-248.539804326877</v>
      </c>
      <c r="AG1246" s="47">
        <f t="shared" si="413"/>
        <v>899.72341761585994</v>
      </c>
      <c r="AH1246" s="45" t="str">
        <f t="shared" si="417"/>
        <v>-248.53980,42.09215,00900</v>
      </c>
      <c r="AI1246" s="44">
        <f t="shared" si="419"/>
        <v>1021.3968461331672</v>
      </c>
    </row>
    <row r="1247" spans="1:35" ht="18" customHeight="1" x14ac:dyDescent="0.25">
      <c r="A1247" s="36">
        <f t="shared" si="414"/>
        <v>0.75390045138888884</v>
      </c>
      <c r="B1247" s="42">
        <f t="shared" si="399"/>
        <v>42.092146849750826</v>
      </c>
      <c r="C1247" s="43">
        <f t="shared" si="400"/>
        <v>111.46019222929682</v>
      </c>
      <c r="D1247" s="18">
        <f t="shared" si="401"/>
        <v>0.88577530811744509</v>
      </c>
      <c r="E1247" s="21" t="str">
        <f t="shared" si="402"/>
        <v>Umbra</v>
      </c>
      <c r="F1247" s="23">
        <f>IF($E1247&lt;&gt;"Umbra",fracil2($S$2,$S$3,$S$4,$A1247,$Q$2,$O$3,$Q$4,$U1247,$V1247,$W1247),0)</f>
        <v>0</v>
      </c>
      <c r="G1247" s="19">
        <f t="shared" si="403"/>
        <v>69.302208946830902</v>
      </c>
      <c r="H1247" s="19">
        <f t="shared" si="404"/>
        <v>-4.8020741227656201</v>
      </c>
      <c r="I1247" s="19">
        <f t="shared" si="405"/>
        <v>-3.594056173370725</v>
      </c>
      <c r="J1247" s="28">
        <f t="shared" si="406"/>
        <v>4.6710086245628077E-3</v>
      </c>
      <c r="K1247" s="24">
        <f t="shared" si="407"/>
        <v>1047.8745272483741</v>
      </c>
      <c r="L1247" s="32">
        <f t="shared" si="408"/>
        <v>0.56579904259428215</v>
      </c>
      <c r="M1247" s="35">
        <f t="shared" si="409"/>
        <v>12.829653916701202</v>
      </c>
      <c r="O1247" s="29">
        <f t="shared" si="410"/>
        <v>1046.586640711221</v>
      </c>
      <c r="T1247" s="48">
        <v>0.75390045138888884</v>
      </c>
      <c r="U1247" s="29">
        <v>-1520.419412836457</v>
      </c>
      <c r="V1247" s="29">
        <v>4490.3796859037193</v>
      </c>
      <c r="W1247" s="29">
        <v>4253.7969425980718</v>
      </c>
      <c r="X1247" s="4">
        <v>-0.32410534579804845</v>
      </c>
      <c r="Y1247" s="4">
        <v>-0.12073894069119258</v>
      </c>
      <c r="Z1247" s="4">
        <v>-9.4106528890971711E-3</v>
      </c>
      <c r="AA1247" s="3">
        <f t="shared" si="415"/>
        <v>0.34599238049688746</v>
      </c>
      <c r="AB1247" s="3">
        <f t="shared" si="418"/>
        <v>1.0903102335960723E-3</v>
      </c>
      <c r="AC1247" s="3">
        <f t="shared" si="416"/>
        <v>1.4077255880357843E-2</v>
      </c>
      <c r="AD1247" s="48"/>
      <c r="AE1247" s="46">
        <f t="shared" si="411"/>
        <v>42.092146849750826</v>
      </c>
      <c r="AF1247" s="46">
        <f t="shared" si="412"/>
        <v>-248.53980777070319</v>
      </c>
      <c r="AG1247" s="47">
        <f t="shared" si="413"/>
        <v>885.77530811744509</v>
      </c>
      <c r="AH1247" s="45" t="str">
        <f t="shared" si="417"/>
        <v>-248.53981,42.09215,00886</v>
      </c>
      <c r="AI1247" s="44">
        <f t="shared" si="419"/>
        <v>1021.3971146507387</v>
      </c>
    </row>
    <row r="1248" spans="1:35" ht="18" customHeight="1" x14ac:dyDescent="0.25">
      <c r="A1248" s="36">
        <f t="shared" si="414"/>
        <v>0.75391204861111116</v>
      </c>
      <c r="B1248" s="42">
        <f t="shared" si="399"/>
        <v>42.092146848082521</v>
      </c>
      <c r="C1248" s="43">
        <f t="shared" si="400"/>
        <v>111.46019581122967</v>
      </c>
      <c r="D1248" s="18">
        <f t="shared" si="401"/>
        <v>0.87170196544593637</v>
      </c>
      <c r="E1248" s="21" t="str">
        <f t="shared" si="402"/>
        <v>Umbra</v>
      </c>
      <c r="F1248" s="23">
        <f>IF($E1248&lt;&gt;"Umbra",fracil2($S$2,$S$3,$S$4,$A1248,$Q$2,$O$3,$Q$4,$U1248,$V1248,$W1248),0)</f>
        <v>0</v>
      </c>
      <c r="G1248" s="19">
        <f t="shared" si="403"/>
        <v>69.30221511516244</v>
      </c>
      <c r="H1248" s="19">
        <f t="shared" si="404"/>
        <v>-4.8028423368215512</v>
      </c>
      <c r="I1248" s="19">
        <f t="shared" si="405"/>
        <v>-3.5948243874266561</v>
      </c>
      <c r="J1248" s="28">
        <f t="shared" si="406"/>
        <v>4.6705421244628478E-3</v>
      </c>
      <c r="K1248" s="24">
        <f t="shared" si="407"/>
        <v>1047.8736678371483</v>
      </c>
      <c r="L1248" s="32">
        <f t="shared" si="408"/>
        <v>0.56581229098777219</v>
      </c>
      <c r="M1248" s="35">
        <f t="shared" si="409"/>
        <v>12.829131795934064</v>
      </c>
      <c r="O1248" s="29">
        <f t="shared" si="410"/>
        <v>1046.5869286687794</v>
      </c>
      <c r="T1248" s="48">
        <v>0.75391204861111116</v>
      </c>
      <c r="U1248" s="29">
        <v>-1520.7444380978825</v>
      </c>
      <c r="V1248" s="29">
        <v>4490.2585949923186</v>
      </c>
      <c r="W1248" s="29">
        <v>4253.7875087478506</v>
      </c>
      <c r="X1248" s="4">
        <v>-0.32409834960885292</v>
      </c>
      <c r="Y1248" s="4">
        <v>-0.12075484007733064</v>
      </c>
      <c r="Z1248" s="4">
        <v>-9.4034458398123896E-3</v>
      </c>
      <c r="AA1248" s="3">
        <f t="shared" si="415"/>
        <v>0.34599117967795973</v>
      </c>
      <c r="AB1248" s="3">
        <f t="shared" si="418"/>
        <v>1.0912462832929194E-3</v>
      </c>
      <c r="AC1248" s="3">
        <f t="shared" si="416"/>
        <v>1.4066533717781668E-2</v>
      </c>
      <c r="AD1248" s="48"/>
      <c r="AE1248" s="46">
        <f t="shared" si="411"/>
        <v>42.092146848082521</v>
      </c>
      <c r="AF1248" s="46">
        <f t="shared" si="412"/>
        <v>-248.53980418877035</v>
      </c>
      <c r="AG1248" s="47">
        <f t="shared" si="413"/>
        <v>871.70196544593637</v>
      </c>
      <c r="AH1248" s="45" t="str">
        <f t="shared" si="417"/>
        <v>-248.53980,42.09215,00872</v>
      </c>
      <c r="AI1248" s="44">
        <f t="shared" si="419"/>
        <v>1021.39741486251</v>
      </c>
    </row>
    <row r="1249" spans="1:35" ht="18" customHeight="1" x14ac:dyDescent="0.25">
      <c r="A1249" s="36">
        <f t="shared" si="414"/>
        <v>0.75392366898148155</v>
      </c>
      <c r="B1249" s="42">
        <f t="shared" si="399"/>
        <v>42.092146846415446</v>
      </c>
      <c r="C1249" s="43">
        <f t="shared" si="400"/>
        <v>111.46019300635319</v>
      </c>
      <c r="D1249" s="18">
        <f t="shared" si="401"/>
        <v>0.85763279308594065</v>
      </c>
      <c r="E1249" s="21" t="str">
        <f t="shared" si="402"/>
        <v>Umbra</v>
      </c>
      <c r="F1249" s="23">
        <f>IF($E1249&lt;&gt;"Umbra",fracil2($S$2,$S$3,$S$4,$A1249,$Q$2,$O$3,$Q$4,$U1249,$V1249,$W1249),0)</f>
        <v>0</v>
      </c>
      <c r="G1249" s="19">
        <f t="shared" si="403"/>
        <v>69.302214783186557</v>
      </c>
      <c r="H1249" s="19">
        <f t="shared" si="404"/>
        <v>-4.8036080508212189</v>
      </c>
      <c r="I1249" s="19">
        <f t="shared" si="405"/>
        <v>-3.5955901014263238</v>
      </c>
      <c r="J1249" s="28">
        <f t="shared" si="406"/>
        <v>4.6700759419964957E-3</v>
      </c>
      <c r="K1249" s="24">
        <f t="shared" si="407"/>
        <v>1047.8722956226045</v>
      </c>
      <c r="L1249" s="32">
        <f t="shared" si="408"/>
        <v>0.56582556965273145</v>
      </c>
      <c r="M1249" s="35">
        <f t="shared" si="409"/>
        <v>12.828616152532074</v>
      </c>
      <c r="O1249" s="29">
        <f t="shared" si="410"/>
        <v>1046.5867031057103</v>
      </c>
      <c r="T1249" s="48">
        <v>0.75392366898148155</v>
      </c>
      <c r="U1249" s="29">
        <v>-1521.0696091052957</v>
      </c>
      <c r="V1249" s="29">
        <v>4490.1374312068656</v>
      </c>
      <c r="W1249" s="29">
        <v>4253.7780776931959</v>
      </c>
      <c r="X1249" s="4">
        <v>-0.32409134835174852</v>
      </c>
      <c r="Y1249" s="4">
        <v>-0.12077075189873936</v>
      </c>
      <c r="Z1249" s="4">
        <v>-9.3962403166576326E-3</v>
      </c>
      <c r="AA1249" s="3">
        <f t="shared" si="415"/>
        <v>0.34598997951202232</v>
      </c>
      <c r="AB1249" s="3">
        <f t="shared" si="418"/>
        <v>1.0888373547589701E-3</v>
      </c>
      <c r="AC1249" s="3">
        <f t="shared" si="416"/>
        <v>1.405581387012448E-2</v>
      </c>
      <c r="AD1249" s="48"/>
      <c r="AE1249" s="46">
        <f t="shared" si="411"/>
        <v>42.092146846415446</v>
      </c>
      <c r="AF1249" s="46">
        <f t="shared" si="412"/>
        <v>-248.53980699364681</v>
      </c>
      <c r="AG1249" s="47">
        <f t="shared" si="413"/>
        <v>857.63279308594065</v>
      </c>
      <c r="AH1249" s="45" t="str">
        <f t="shared" si="417"/>
        <v>-248.53981,42.09215,00858</v>
      </c>
      <c r="AI1249" s="44">
        <f t="shared" si="419"/>
        <v>1021.39762714429</v>
      </c>
    </row>
    <row r="1250" spans="1:35" ht="18" customHeight="1" x14ac:dyDescent="0.25">
      <c r="A1250" s="36">
        <f t="shared" si="414"/>
        <v>0.75393521990740731</v>
      </c>
      <c r="B1250" s="42">
        <f t="shared" si="399"/>
        <v>42.092146844759505</v>
      </c>
      <c r="C1250" s="43">
        <f t="shared" si="400"/>
        <v>111.46019251971107</v>
      </c>
      <c r="D1250" s="18">
        <f t="shared" si="401"/>
        <v>0.84365066689679225</v>
      </c>
      <c r="E1250" s="21" t="str">
        <f t="shared" si="402"/>
        <v>Umbra</v>
      </c>
      <c r="F1250" s="23">
        <f>IF($E1250&lt;&gt;"Umbra",fracil2($S$2,$S$3,$S$4,$A1250,$Q$2,$O$3,$Q$4,$U1250,$V1250,$W1250),0)</f>
        <v>0</v>
      </c>
      <c r="G1250" s="19">
        <f t="shared" si="403"/>
        <v>69.302216794772406</v>
      </c>
      <c r="H1250" s="19">
        <f t="shared" si="404"/>
        <v>-4.8043698484303885</v>
      </c>
      <c r="I1250" s="19">
        <f t="shared" si="405"/>
        <v>-3.5963518990354935</v>
      </c>
      <c r="J1250" s="28">
        <f t="shared" si="406"/>
        <v>4.6696126886085461E-3</v>
      </c>
      <c r="K1250" s="24">
        <f t="shared" si="407"/>
        <v>1047.8711170140502</v>
      </c>
      <c r="L1250" s="32">
        <f t="shared" si="408"/>
        <v>0.56583876590355653</v>
      </c>
      <c r="M1250" s="35">
        <f t="shared" si="409"/>
        <v>12.828101413439892</v>
      </c>
      <c r="O1250" s="29">
        <f t="shared" si="410"/>
        <v>1046.5866639366484</v>
      </c>
      <c r="T1250" s="48">
        <v>0.75393521990740731</v>
      </c>
      <c r="U1250" s="29">
        <v>-1521.3930084193378</v>
      </c>
      <c r="V1250" s="29">
        <v>4490.0169091467969</v>
      </c>
      <c r="W1250" s="29">
        <v>4253.768704988679</v>
      </c>
      <c r="X1250" s="4">
        <v>-0.32408438261708655</v>
      </c>
      <c r="Y1250" s="4">
        <v>-0.12078658437577092</v>
      </c>
      <c r="Z1250" s="4">
        <v>-9.3890807639626546E-3</v>
      </c>
      <c r="AA1250" s="3">
        <f t="shared" si="415"/>
        <v>0.3459887871868908</v>
      </c>
      <c r="AB1250" s="3">
        <f t="shared" si="418"/>
        <v>1.0883905334272664E-3</v>
      </c>
      <c r="AC1250" s="3">
        <f t="shared" si="416"/>
        <v>1.4045162458068994E-2</v>
      </c>
      <c r="AD1250" s="48"/>
      <c r="AE1250" s="46">
        <f t="shared" si="411"/>
        <v>42.092146844759505</v>
      </c>
      <c r="AF1250" s="46">
        <f t="shared" si="412"/>
        <v>-248.53980748028891</v>
      </c>
      <c r="AG1250" s="47">
        <f t="shared" si="413"/>
        <v>843.65066689679225</v>
      </c>
      <c r="AH1250" s="45" t="str">
        <f t="shared" si="417"/>
        <v>-248.53981,42.09215,00844</v>
      </c>
      <c r="AI1250" s="44">
        <f t="shared" si="419"/>
        <v>1021.39762714429</v>
      </c>
    </row>
    <row r="1251" spans="1:35" ht="18" customHeight="1" x14ac:dyDescent="0.25">
      <c r="A1251" s="36">
        <f t="shared" si="414"/>
        <v>0.75394677083333328</v>
      </c>
      <c r="B1251" s="42">
        <f t="shared" si="399"/>
        <v>42.092146843104402</v>
      </c>
      <c r="C1251" s="43">
        <f t="shared" si="400"/>
        <v>111.46019469663786</v>
      </c>
      <c r="D1251" s="18">
        <f t="shared" si="401"/>
        <v>0.82967027251106629</v>
      </c>
      <c r="E1251" s="21" t="str">
        <f t="shared" si="402"/>
        <v>Umbra</v>
      </c>
      <c r="F1251" s="23">
        <f>IF($E1251&lt;&gt;"Umbra",fracil2($S$2,$S$3,$S$4,$A1251,$Q$2,$O$3,$Q$4,$U1251,$V1251,$W1251),0)</f>
        <v>0</v>
      </c>
      <c r="G1251" s="19">
        <f t="shared" si="403"/>
        <v>69.302221516647492</v>
      </c>
      <c r="H1251" s="19">
        <f t="shared" si="404"/>
        <v>-4.8051325014368746</v>
      </c>
      <c r="I1251" s="19">
        <f t="shared" si="405"/>
        <v>-3.5971145520419796</v>
      </c>
      <c r="J1251" s="28">
        <f t="shared" si="406"/>
        <v>4.6691493611219995E-3</v>
      </c>
      <c r="K1251" s="24">
        <f t="shared" si="407"/>
        <v>1047.8701528119707</v>
      </c>
      <c r="L1251" s="32">
        <f t="shared" si="408"/>
        <v>0.56585195880881112</v>
      </c>
      <c r="M1251" s="35">
        <f t="shared" si="409"/>
        <v>12.827584093092822</v>
      </c>
      <c r="O1251" s="29">
        <f t="shared" si="410"/>
        <v>1046.5868389273858</v>
      </c>
      <c r="T1251" s="48">
        <v>0.75394677083333328</v>
      </c>
      <c r="U1251" s="29">
        <v>-1521.7166073861938</v>
      </c>
      <c r="V1251" s="29">
        <v>4489.8962942721373</v>
      </c>
      <c r="W1251" s="29">
        <v>4253.7593334451049</v>
      </c>
      <c r="X1251" s="4">
        <v>-0.32407741085280822</v>
      </c>
      <c r="Y1251" s="4">
        <v>-0.12080243133021852</v>
      </c>
      <c r="Z1251" s="4">
        <v>-9.3819209779289967E-3</v>
      </c>
      <c r="AA1251" s="3">
        <f t="shared" si="415"/>
        <v>0.34598759527125844</v>
      </c>
      <c r="AB1251" s="3">
        <f t="shared" si="418"/>
        <v>1.0884215018381006E-3</v>
      </c>
      <c r="AC1251" s="3">
        <f t="shared" si="416"/>
        <v>1.403451074294442E-2</v>
      </c>
      <c r="AD1251" s="48"/>
      <c r="AE1251" s="46">
        <f t="shared" si="411"/>
        <v>42.092146843104402</v>
      </c>
      <c r="AF1251" s="46">
        <f t="shared" si="412"/>
        <v>-248.53980530336213</v>
      </c>
      <c r="AG1251" s="47">
        <f t="shared" si="413"/>
        <v>829.67027251106629</v>
      </c>
      <c r="AH1251" s="45" t="str">
        <f t="shared" si="417"/>
        <v>-248.53981,42.09215,00830</v>
      </c>
      <c r="AI1251" s="44">
        <f t="shared" si="419"/>
        <v>1021.397817014886</v>
      </c>
    </row>
    <row r="1252" spans="1:35" ht="18" customHeight="1" x14ac:dyDescent="0.25">
      <c r="A1252" s="36">
        <f t="shared" si="414"/>
        <v>0.75395839120370367</v>
      </c>
      <c r="B1252" s="42">
        <f t="shared" si="399"/>
        <v>42.09214684144299</v>
      </c>
      <c r="C1252" s="43">
        <f t="shared" si="400"/>
        <v>111.4601932863244</v>
      </c>
      <c r="D1252" s="18">
        <f t="shared" si="401"/>
        <v>0.81562863570161426</v>
      </c>
      <c r="E1252" s="21" t="str">
        <f t="shared" si="402"/>
        <v>Umbra</v>
      </c>
      <c r="F1252" s="23">
        <f>IF($E1252&lt;&gt;"Umbra",fracil2($S$2,$S$3,$S$4,$A1252,$Q$2,$O$3,$Q$4,$U1252,$V1252,$W1252),0)</f>
        <v>0</v>
      </c>
      <c r="G1252" s="19">
        <f t="shared" si="403"/>
        <v>69.302222598937874</v>
      </c>
      <c r="H1252" s="19">
        <f t="shared" si="404"/>
        <v>-4.8058972167164784</v>
      </c>
      <c r="I1252" s="19">
        <f t="shared" si="405"/>
        <v>-3.5978792673215834</v>
      </c>
      <c r="J1252" s="28">
        <f t="shared" si="406"/>
        <v>4.6686841471923046E-3</v>
      </c>
      <c r="K1252" s="24">
        <f t="shared" si="407"/>
        <v>1047.8688954876291</v>
      </c>
      <c r="L1252" s="32">
        <f t="shared" si="408"/>
        <v>0.56586523265113853</v>
      </c>
      <c r="M1252" s="35">
        <f t="shared" si="409"/>
        <v>12.827068064872833</v>
      </c>
      <c r="O1252" s="29">
        <f t="shared" si="410"/>
        <v>1046.5867254919428</v>
      </c>
      <c r="T1252" s="48">
        <v>0.75395839120370367</v>
      </c>
      <c r="U1252" s="29">
        <v>-1522.041865560825</v>
      </c>
      <c r="V1252" s="29">
        <v>4489.7750423979342</v>
      </c>
      <c r="W1252" s="29">
        <v>4253.7499208486852</v>
      </c>
      <c r="X1252" s="4">
        <v>-0.32407040114540608</v>
      </c>
      <c r="Y1252" s="4">
        <v>-0.12081836561194127</v>
      </c>
      <c r="Z1252" s="4">
        <v>-9.3747299733013805E-3</v>
      </c>
      <c r="AA1252" s="3">
        <f t="shared" si="415"/>
        <v>0.34598639847508089</v>
      </c>
      <c r="AB1252" s="3">
        <f t="shared" si="418"/>
        <v>1.0866299238255191E-3</v>
      </c>
      <c r="AC1252" s="3">
        <f t="shared" si="416"/>
        <v>1.4023812627939235E-2</v>
      </c>
      <c r="AD1252" s="48"/>
      <c r="AE1252" s="46">
        <f t="shared" si="411"/>
        <v>42.09214684144299</v>
      </c>
      <c r="AF1252" s="46">
        <f t="shared" si="412"/>
        <v>-248.5398067136756</v>
      </c>
      <c r="AG1252" s="47">
        <f t="shared" si="413"/>
        <v>815.62863570161426</v>
      </c>
      <c r="AH1252" s="45" t="str">
        <f t="shared" si="417"/>
        <v>-248.53981,42.09215,00816</v>
      </c>
      <c r="AI1252" s="44">
        <f t="shared" si="419"/>
        <v>1021.397951273671</v>
      </c>
    </row>
    <row r="1253" spans="1:35" ht="18" customHeight="1" x14ac:dyDescent="0.25">
      <c r="A1253" s="36">
        <f t="shared" si="414"/>
        <v>0.7539699305555555</v>
      </c>
      <c r="B1253" s="42">
        <f t="shared" si="399"/>
        <v>42.092146839794857</v>
      </c>
      <c r="C1253" s="43">
        <f t="shared" si="400"/>
        <v>111.46019258439827</v>
      </c>
      <c r="D1253" s="18">
        <f t="shared" si="401"/>
        <v>0.80169321145967842</v>
      </c>
      <c r="E1253" s="21" t="str">
        <f t="shared" si="402"/>
        <v>Umbra</v>
      </c>
      <c r="F1253" s="23">
        <f>IF($E1253&lt;&gt;"Umbra",fracil2($S$2,$S$3,$S$4,$A1253,$Q$2,$O$3,$Q$4,$U1253,$V1253,$W1253),0)</f>
        <v>0</v>
      </c>
      <c r="G1253" s="19">
        <f t="shared" si="403"/>
        <v>69.302224383085701</v>
      </c>
      <c r="H1253" s="19">
        <f t="shared" si="404"/>
        <v>-4.8066563976789762</v>
      </c>
      <c r="I1253" s="19">
        <f t="shared" si="405"/>
        <v>-3.5986384482840812</v>
      </c>
      <c r="J1253" s="28">
        <f t="shared" si="406"/>
        <v>4.6682224850330915E-3</v>
      </c>
      <c r="K1253" s="24">
        <f t="shared" si="407"/>
        <v>1047.867703936821</v>
      </c>
      <c r="L1253" s="32">
        <f t="shared" si="408"/>
        <v>0.56587841216291113</v>
      </c>
      <c r="M1253" s="35">
        <f t="shared" si="409"/>
        <v>12.826555242815878</v>
      </c>
      <c r="O1253" s="29">
        <f t="shared" si="410"/>
        <v>1046.5866690135301</v>
      </c>
      <c r="T1253" s="48">
        <v>0.7539699305555555</v>
      </c>
      <c r="U1253" s="29">
        <v>-1522.3649032209428</v>
      </c>
      <c r="V1253" s="29">
        <v>4489.6545998722831</v>
      </c>
      <c r="W1253" s="29">
        <v>4253.7405794502947</v>
      </c>
      <c r="X1253" s="4">
        <v>-0.32406343699955381</v>
      </c>
      <c r="Y1253" s="4">
        <v>-0.12083419746919141</v>
      </c>
      <c r="Z1253" s="4">
        <v>-9.3675938262811637E-3</v>
      </c>
      <c r="AA1253" s="3">
        <f t="shared" si="415"/>
        <v>0.34598521108868441</v>
      </c>
      <c r="AB1253" s="3">
        <f t="shared" si="418"/>
        <v>1.0859069908751345E-3</v>
      </c>
      <c r="AC1253" s="3">
        <f t="shared" si="416"/>
        <v>1.4013196169198591E-2</v>
      </c>
      <c r="AD1253" s="48"/>
      <c r="AE1253" s="46">
        <f t="shared" si="411"/>
        <v>42.092146839794857</v>
      </c>
      <c r="AF1253" s="46">
        <f t="shared" si="412"/>
        <v>-248.53980741560173</v>
      </c>
      <c r="AG1253" s="47">
        <f t="shared" si="413"/>
        <v>801.69321145967842</v>
      </c>
      <c r="AH1253" s="45" t="str">
        <f t="shared" si="417"/>
        <v>-248.53981,42.09215,00802</v>
      </c>
      <c r="AI1253" s="44">
        <f t="shared" si="419"/>
        <v>1021.397951273671</v>
      </c>
    </row>
    <row r="1254" spans="1:35" ht="18" customHeight="1" x14ac:dyDescent="0.25">
      <c r="A1254" s="36">
        <f t="shared" si="414"/>
        <v>0.75398148148148147</v>
      </c>
      <c r="B1254" s="42">
        <f t="shared" si="399"/>
        <v>42.092146838146725</v>
      </c>
      <c r="C1254" s="43">
        <f t="shared" si="400"/>
        <v>111.46019268566815</v>
      </c>
      <c r="D1254" s="18">
        <f t="shared" si="401"/>
        <v>0.78775174761267408</v>
      </c>
      <c r="E1254" s="21" t="str">
        <f t="shared" si="402"/>
        <v>Umbra</v>
      </c>
      <c r="F1254" s="23">
        <f>IF($E1254&lt;&gt;"Umbra",fracil2($S$2,$S$3,$S$4,$A1254,$Q$2,$O$3,$Q$4,$U1254,$V1254,$W1254),0)</f>
        <v>0</v>
      </c>
      <c r="G1254" s="19">
        <f t="shared" si="403"/>
        <v>69.302226985698908</v>
      </c>
      <c r="H1254" s="19">
        <f t="shared" si="404"/>
        <v>-4.8074161952517862</v>
      </c>
      <c r="I1254" s="19">
        <f t="shared" si="405"/>
        <v>-3.5993982458568912</v>
      </c>
      <c r="J1254" s="28">
        <f t="shared" si="406"/>
        <v>4.6677606481114915E-3</v>
      </c>
      <c r="K1254" s="24">
        <f t="shared" si="407"/>
        <v>1047.8665766337442</v>
      </c>
      <c r="L1254" s="32">
        <f t="shared" si="408"/>
        <v>0.56589160302854602</v>
      </c>
      <c r="M1254" s="35">
        <f t="shared" si="409"/>
        <v>12.826041396662728</v>
      </c>
      <c r="O1254" s="29">
        <f t="shared" si="410"/>
        <v>1046.5866771147382</v>
      </c>
      <c r="T1254" s="48">
        <v>0.75398148148148147</v>
      </c>
      <c r="U1254" s="29">
        <v>-1522.6883202920319</v>
      </c>
      <c r="V1254" s="29">
        <v>4489.5339974805192</v>
      </c>
      <c r="W1254" s="29">
        <v>4253.7312340034059</v>
      </c>
      <c r="X1254" s="4">
        <v>-0.32405646240716018</v>
      </c>
      <c r="Y1254" s="4">
        <v>-0.1208500541963851</v>
      </c>
      <c r="Z1254" s="4">
        <v>-9.3604549850909435E-3</v>
      </c>
      <c r="AA1254" s="3">
        <f t="shared" si="415"/>
        <v>0.34598402353958535</v>
      </c>
      <c r="AB1254" s="3">
        <f t="shared" si="418"/>
        <v>1.0852239610125262E-3</v>
      </c>
      <c r="AC1254" s="3">
        <f t="shared" si="416"/>
        <v>1.4002575746449182E-2</v>
      </c>
      <c r="AD1254" s="48"/>
      <c r="AE1254" s="46">
        <f t="shared" si="411"/>
        <v>42.092146838146725</v>
      </c>
      <c r="AF1254" s="46">
        <f t="shared" si="412"/>
        <v>-248.53980731433185</v>
      </c>
      <c r="AG1254" s="47">
        <f t="shared" si="413"/>
        <v>787.75174761267408</v>
      </c>
      <c r="AH1254" s="45" t="str">
        <f t="shared" si="417"/>
        <v>-248.53981,42.09215,00788</v>
      </c>
      <c r="AI1254" s="44">
        <f t="shared" si="419"/>
        <v>1021.397951273671</v>
      </c>
    </row>
    <row r="1255" spans="1:35" ht="18" customHeight="1" x14ac:dyDescent="0.25">
      <c r="A1255" s="36">
        <f t="shared" si="414"/>
        <v>0.7539931134259259</v>
      </c>
      <c r="B1255" s="42">
        <f t="shared" si="399"/>
        <v>42.092146836489277</v>
      </c>
      <c r="C1255" s="43">
        <f t="shared" si="400"/>
        <v>111.46019238025231</v>
      </c>
      <c r="D1255" s="18">
        <f t="shared" si="401"/>
        <v>0.77372459424077533</v>
      </c>
      <c r="E1255" s="21" t="str">
        <f t="shared" si="402"/>
        <v>Umbra</v>
      </c>
      <c r="F1255" s="23">
        <f>IF($E1255&lt;&gt;"Umbra",fracil2($S$2,$S$3,$S$4,$A1255,$Q$2,$O$3,$Q$4,$U1255,$V1255,$W1255),0)</f>
        <v>0</v>
      </c>
      <c r="G1255" s="19">
        <f t="shared" si="403"/>
        <v>69.302229189816032</v>
      </c>
      <c r="H1255" s="19">
        <f t="shared" si="404"/>
        <v>-4.8081805195985581</v>
      </c>
      <c r="I1255" s="19">
        <f t="shared" si="405"/>
        <v>-3.600162570203663</v>
      </c>
      <c r="J1255" s="28">
        <f t="shared" si="406"/>
        <v>4.6672960649165162E-3</v>
      </c>
      <c r="K1255" s="24">
        <f t="shared" si="407"/>
        <v>1047.8654098512131</v>
      </c>
      <c r="L1255" s="32">
        <f t="shared" si="408"/>
        <v>0.56590488550118911</v>
      </c>
      <c r="M1255" s="35">
        <f t="shared" si="409"/>
        <v>12.825524790000289</v>
      </c>
      <c r="O1255" s="29">
        <f t="shared" si="410"/>
        <v>1046.5866525168376</v>
      </c>
      <c r="T1255" s="48">
        <v>0.7539931134259259</v>
      </c>
      <c r="U1255" s="29">
        <v>-1523.013967190637</v>
      </c>
      <c r="V1255" s="29">
        <v>4489.4125449688818</v>
      </c>
      <c r="W1255" s="29">
        <v>4253.7218311159259</v>
      </c>
      <c r="X1255" s="4">
        <v>-0.32404943727600133</v>
      </c>
      <c r="Y1255" s="4">
        <v>-0.12086602705934693</v>
      </c>
      <c r="Z1255" s="4">
        <v>-9.3532731190053304E-3</v>
      </c>
      <c r="AA1255" s="3">
        <f t="shared" si="415"/>
        <v>0.34598282907399119</v>
      </c>
      <c r="AB1255" s="3">
        <f t="shared" si="418"/>
        <v>1.0841556097385999E-3</v>
      </c>
      <c r="AC1255" s="3">
        <f t="shared" si="416"/>
        <v>1.3991891360390559E-2</v>
      </c>
      <c r="AD1255" s="48"/>
      <c r="AE1255" s="46">
        <f t="shared" si="411"/>
        <v>42.092146836489277</v>
      </c>
      <c r="AF1255" s="46">
        <f t="shared" si="412"/>
        <v>-248.53980761974771</v>
      </c>
      <c r="AG1255" s="47">
        <f t="shared" si="413"/>
        <v>773.72459424077533</v>
      </c>
      <c r="AH1255" s="45" t="str">
        <f t="shared" si="417"/>
        <v>-248.53981,42.09215,00774</v>
      </c>
      <c r="AI1255" s="44">
        <f t="shared" si="419"/>
        <v>1021.397951273671</v>
      </c>
    </row>
    <row r="1256" spans="1:35" ht="18" customHeight="1" x14ac:dyDescent="0.25">
      <c r="A1256" s="36">
        <f t="shared" si="414"/>
        <v>0.75400462962962955</v>
      </c>
      <c r="B1256" s="42">
        <f t="shared" si="399"/>
        <v>42.092146834849238</v>
      </c>
      <c r="C1256" s="43">
        <f t="shared" si="400"/>
        <v>111.46019499523413</v>
      </c>
      <c r="D1256" s="18">
        <f t="shared" si="401"/>
        <v>0.75983788016128528</v>
      </c>
      <c r="E1256" s="21" t="str">
        <f t="shared" si="402"/>
        <v>Umbra</v>
      </c>
      <c r="F1256" s="23">
        <f>IF($E1256&lt;&gt;"Umbra",fracil2($S$2,$S$3,$S$4,$A1256,$Q$2,$O$3,$Q$4,$U1256,$V1256,$W1256),0)</f>
        <v>0</v>
      </c>
      <c r="G1256" s="19">
        <f t="shared" si="403"/>
        <v>69.302234340712857</v>
      </c>
      <c r="H1256" s="19">
        <f t="shared" si="404"/>
        <v>-4.8089382307664632</v>
      </c>
      <c r="I1256" s="19">
        <f t="shared" si="405"/>
        <v>-3.6009202813715682</v>
      </c>
      <c r="J1256" s="28">
        <f t="shared" si="406"/>
        <v>4.6668361315705164E-3</v>
      </c>
      <c r="K1256" s="24">
        <f t="shared" si="407"/>
        <v>1047.8644894093418</v>
      </c>
      <c r="L1256" s="32">
        <f t="shared" si="408"/>
        <v>0.56591803226267601</v>
      </c>
      <c r="M1256" s="35">
        <f t="shared" si="409"/>
        <v>12.825010459696989</v>
      </c>
      <c r="O1256" s="29">
        <f t="shared" si="410"/>
        <v>1046.5868627290336</v>
      </c>
      <c r="T1256" s="48">
        <v>0.75400462962962955</v>
      </c>
      <c r="U1256" s="29">
        <v>-1523.3365931314004</v>
      </c>
      <c r="V1256" s="29">
        <v>4489.2922007168754</v>
      </c>
      <c r="W1256" s="29">
        <v>4253.7125223698422</v>
      </c>
      <c r="X1256" s="4">
        <v>-0.32404247484682919</v>
      </c>
      <c r="Y1256" s="4">
        <v>-0.12088185860348259</v>
      </c>
      <c r="Z1256" s="4">
        <v>-9.346164121215637E-3</v>
      </c>
      <c r="AA1256" s="3">
        <f t="shared" si="415"/>
        <v>0.3459816469526541</v>
      </c>
      <c r="AB1256" s="3">
        <f t="shared" si="418"/>
        <v>1.0839365564213393E-3</v>
      </c>
      <c r="AC1256" s="3">
        <f t="shared" si="416"/>
        <v>1.3981315423927698E-2</v>
      </c>
      <c r="AD1256" s="48"/>
      <c r="AE1256" s="46">
        <f t="shared" si="411"/>
        <v>42.092146834849238</v>
      </c>
      <c r="AF1256" s="46">
        <f t="shared" si="412"/>
        <v>-248.53980500476587</v>
      </c>
      <c r="AG1256" s="47">
        <f t="shared" si="413"/>
        <v>759.83788016128528</v>
      </c>
      <c r="AH1256" s="45" t="str">
        <f t="shared" si="417"/>
        <v>-248.53981,42.09215,00760</v>
      </c>
      <c r="AI1256" s="44">
        <f t="shared" si="419"/>
        <v>1021.3981411442669</v>
      </c>
    </row>
    <row r="1257" spans="1:35" ht="18" customHeight="1" x14ac:dyDescent="0.25">
      <c r="A1257" s="36">
        <f t="shared" si="414"/>
        <v>0.75401619212962956</v>
      </c>
      <c r="B1257" s="42">
        <f t="shared" si="399"/>
        <v>42.092146833206058</v>
      </c>
      <c r="C1257" s="43">
        <f t="shared" si="400"/>
        <v>111.46019370349698</v>
      </c>
      <c r="D1257" s="18">
        <f t="shared" si="401"/>
        <v>0.74591902106658381</v>
      </c>
      <c r="E1257" s="21" t="str">
        <f t="shared" si="402"/>
        <v>Umbra</v>
      </c>
      <c r="F1257" s="23">
        <f>IF($E1257&lt;&gt;"Umbra",fracil2($S$2,$S$3,$S$4,$A1257,$Q$2,$O$3,$Q$4,$U1257,$V1257,$W1257),0)</f>
        <v>0</v>
      </c>
      <c r="G1257" s="19">
        <f t="shared" si="403"/>
        <v>69.302235521694072</v>
      </c>
      <c r="H1257" s="19">
        <f t="shared" si="404"/>
        <v>-4.8096963059021371</v>
      </c>
      <c r="I1257" s="19">
        <f t="shared" si="405"/>
        <v>-3.6016783565072421</v>
      </c>
      <c r="J1257" s="28">
        <f t="shared" si="406"/>
        <v>4.6663751894264506E-3</v>
      </c>
      <c r="K1257" s="24">
        <f t="shared" si="407"/>
        <v>1047.8632525393302</v>
      </c>
      <c r="L1257" s="32">
        <f t="shared" si="408"/>
        <v>0.56593123377247367</v>
      </c>
      <c r="M1257" s="35">
        <f t="shared" si="409"/>
        <v>12.824498809515299</v>
      </c>
      <c r="O1257" s="29">
        <f t="shared" si="410"/>
        <v>1046.5867588279839</v>
      </c>
      <c r="T1257" s="48">
        <v>0.75401619212962956</v>
      </c>
      <c r="U1257" s="29">
        <v>-1523.6602052868723</v>
      </c>
      <c r="V1257" s="29">
        <v>4489.1714701570572</v>
      </c>
      <c r="W1257" s="29">
        <v>4253.7031920758936</v>
      </c>
      <c r="X1257" s="4">
        <v>-0.32403548947415556</v>
      </c>
      <c r="Y1257" s="4">
        <v>-0.12089774301027081</v>
      </c>
      <c r="Z1257" s="4">
        <v>-9.3390373568589726E-3</v>
      </c>
      <c r="AA1257" s="3">
        <f t="shared" si="415"/>
        <v>0.34598046234214713</v>
      </c>
      <c r="AB1257" s="3">
        <f t="shared" si="418"/>
        <v>1.08229004783821E-3</v>
      </c>
      <c r="AC1257" s="3">
        <f t="shared" si="416"/>
        <v>1.39707131006548E-2</v>
      </c>
      <c r="AD1257" s="48"/>
      <c r="AE1257" s="46">
        <f t="shared" si="411"/>
        <v>42.092146833206058</v>
      </c>
      <c r="AF1257" s="46">
        <f t="shared" si="412"/>
        <v>-248.539806296503</v>
      </c>
      <c r="AG1257" s="47">
        <f t="shared" si="413"/>
        <v>745.91902106658381</v>
      </c>
      <c r="AH1257" s="45" t="str">
        <f t="shared" si="417"/>
        <v>-248.53981,42.09215,00746</v>
      </c>
      <c r="AI1257" s="44">
        <f t="shared" si="419"/>
        <v>1021.3982754030519</v>
      </c>
    </row>
    <row r="1258" spans="1:35" ht="18" customHeight="1" x14ac:dyDescent="0.25">
      <c r="A1258" s="36">
        <f t="shared" si="414"/>
        <v>0.75402780092592592</v>
      </c>
      <c r="B1258" s="42">
        <f t="shared" si="399"/>
        <v>42.092146831557393</v>
      </c>
      <c r="C1258" s="43">
        <f t="shared" si="400"/>
        <v>111.46019499102115</v>
      </c>
      <c r="D1258" s="18">
        <f t="shared" si="401"/>
        <v>0.73194649632023356</v>
      </c>
      <c r="E1258" s="21" t="str">
        <f t="shared" si="402"/>
        <v>Umbra</v>
      </c>
      <c r="F1258" s="23">
        <f>IF($E1258&lt;&gt;"Umbra",fracil2($S$2,$S$3,$S$4,$A1258,$Q$2,$O$3,$Q$4,$U1258,$V1258,$W1258),0)</f>
        <v>0</v>
      </c>
      <c r="G1258" s="19">
        <f t="shared" si="403"/>
        <v>69.302239337096111</v>
      </c>
      <c r="H1258" s="19">
        <f t="shared" si="404"/>
        <v>-4.810458224441196</v>
      </c>
      <c r="I1258" s="19">
        <f t="shared" si="405"/>
        <v>-3.6024402750463009</v>
      </c>
      <c r="J1258" s="28">
        <f t="shared" si="406"/>
        <v>4.665912443914534E-3</v>
      </c>
      <c r="K1258" s="24">
        <f t="shared" si="407"/>
        <v>1047.8622187879537</v>
      </c>
      <c r="L1258" s="32">
        <f t="shared" si="408"/>
        <v>0.56594448484853488</v>
      </c>
      <c r="M1258" s="35">
        <f t="shared" si="409"/>
        <v>12.823982620812318</v>
      </c>
      <c r="O1258" s="29">
        <f t="shared" si="410"/>
        <v>1046.5868623079589</v>
      </c>
      <c r="T1258" s="48">
        <v>0.75402780092592592</v>
      </c>
      <c r="U1258" s="29">
        <v>-1523.9853066039179</v>
      </c>
      <c r="V1258" s="29">
        <v>4489.0501654352238</v>
      </c>
      <c r="W1258" s="29">
        <v>4253.69382580807</v>
      </c>
      <c r="X1258" s="4">
        <v>-0.32402846965802051</v>
      </c>
      <c r="Y1258" s="4">
        <v>-0.12091370685445559</v>
      </c>
      <c r="Z1258" s="4">
        <v>-9.3318835472161327E-3</v>
      </c>
      <c r="AA1258" s="3">
        <f t="shared" si="415"/>
        <v>0.34597927351901114</v>
      </c>
      <c r="AB1258" s="3">
        <f t="shared" si="418"/>
        <v>1.0820600902448317E-3</v>
      </c>
      <c r="AC1258" s="3">
        <f t="shared" si="416"/>
        <v>1.3960070587366067E-2</v>
      </c>
      <c r="AD1258" s="48"/>
      <c r="AE1258" s="46">
        <f t="shared" si="411"/>
        <v>42.092146831557393</v>
      </c>
      <c r="AF1258" s="46">
        <f t="shared" si="412"/>
        <v>-248.53980500897885</v>
      </c>
      <c r="AG1258" s="47">
        <f t="shared" si="413"/>
        <v>731.94649632023356</v>
      </c>
      <c r="AH1258" s="45" t="str">
        <f t="shared" si="417"/>
        <v>-248.53981,42.09215,00732</v>
      </c>
      <c r="AI1258" s="44">
        <f t="shared" si="419"/>
        <v>1021.3984096618369</v>
      </c>
    </row>
    <row r="1259" spans="1:35" ht="18" customHeight="1" x14ac:dyDescent="0.25">
      <c r="A1259" s="36">
        <f t="shared" si="414"/>
        <v>0.75403939814814824</v>
      </c>
      <c r="B1259" s="42">
        <f t="shared" si="399"/>
        <v>42.092146829913453</v>
      </c>
      <c r="C1259" s="43">
        <f t="shared" si="400"/>
        <v>111.46019340312475</v>
      </c>
      <c r="D1259" s="18">
        <f t="shared" si="401"/>
        <v>0.71800815792175854</v>
      </c>
      <c r="E1259" s="21" t="str">
        <f t="shared" si="402"/>
        <v>Umbra</v>
      </c>
      <c r="F1259" s="23">
        <f>IF($E1259&lt;&gt;"Umbra",fracil2($S$2,$S$3,$S$4,$A1259,$Q$2,$O$3,$Q$4,$U1259,$V1259,$W1259),0)</f>
        <v>0</v>
      </c>
      <c r="G1259" s="19">
        <f t="shared" si="403"/>
        <v>69.302240220195642</v>
      </c>
      <c r="H1259" s="19">
        <f t="shared" si="404"/>
        <v>-4.8112172593081022</v>
      </c>
      <c r="I1259" s="19">
        <f t="shared" si="405"/>
        <v>-3.6031993099132071</v>
      </c>
      <c r="J1259" s="28">
        <f t="shared" si="406"/>
        <v>4.6654509754515379E-3</v>
      </c>
      <c r="K1259" s="24">
        <f t="shared" si="407"/>
        <v>1047.8609568980939</v>
      </c>
      <c r="L1259" s="32">
        <f t="shared" si="408"/>
        <v>0.56595772377361009</v>
      </c>
      <c r="M1259" s="35">
        <f t="shared" si="409"/>
        <v>12.823470534599355</v>
      </c>
      <c r="O1259" s="29">
        <f t="shared" si="410"/>
        <v>1046.5867345946965</v>
      </c>
      <c r="T1259" s="48">
        <v>0.75403939814814824</v>
      </c>
      <c r="U1259" s="29">
        <v>-1524.3098538662643</v>
      </c>
      <c r="V1259" s="29">
        <v>4488.929048846363</v>
      </c>
      <c r="W1259" s="29">
        <v>4253.6844824565987</v>
      </c>
      <c r="X1259" s="4">
        <v>-0.32402145947516148</v>
      </c>
      <c r="Y1259" s="4">
        <v>-0.12092964992113481</v>
      </c>
      <c r="Z1259" s="4">
        <v>-9.324747762272937E-3</v>
      </c>
      <c r="AA1259" s="3">
        <f t="shared" si="415"/>
        <v>0.34597808796409629</v>
      </c>
      <c r="AB1259" s="3">
        <f t="shared" si="418"/>
        <v>1.0804063723617351E-3</v>
      </c>
      <c r="AC1259" s="3">
        <f t="shared" si="416"/>
        <v>1.3949454933548818E-2</v>
      </c>
      <c r="AD1259" s="48"/>
      <c r="AE1259" s="46">
        <f t="shared" si="411"/>
        <v>42.092146829913453</v>
      </c>
      <c r="AF1259" s="46">
        <f t="shared" si="412"/>
        <v>-248.53980659687525</v>
      </c>
      <c r="AG1259" s="47">
        <f t="shared" si="413"/>
        <v>718.00815792175854</v>
      </c>
      <c r="AH1259" s="45" t="str">
        <f t="shared" si="417"/>
        <v>-248.53981,42.09215,00718</v>
      </c>
      <c r="AI1259" s="44">
        <f t="shared" si="419"/>
        <v>1021.3985740945963</v>
      </c>
    </row>
    <row r="1260" spans="1:35" ht="18" customHeight="1" x14ac:dyDescent="0.25">
      <c r="A1260" s="36">
        <f t="shared" si="414"/>
        <v>0.7540509143518519</v>
      </c>
      <c r="B1260" s="42">
        <f t="shared" si="399"/>
        <v>42.092146828282921</v>
      </c>
      <c r="C1260" s="43">
        <f t="shared" si="400"/>
        <v>111.4601924446623</v>
      </c>
      <c r="D1260" s="18">
        <f t="shared" si="401"/>
        <v>0.70417568268294417</v>
      </c>
      <c r="E1260" s="21" t="str">
        <f t="shared" si="402"/>
        <v>Umbra</v>
      </c>
      <c r="F1260" s="23">
        <f>IF($E1260&lt;&gt;"Umbra",fracil2($S$2,$S$3,$S$4,$A1260,$Q$2,$O$3,$Q$4,$U1260,$V1260,$W1260),0)</f>
        <v>0</v>
      </c>
      <c r="G1260" s="19">
        <f t="shared" si="403"/>
        <v>69.302241724865539</v>
      </c>
      <c r="H1260" s="19">
        <f t="shared" si="404"/>
        <v>-4.8119707504540488</v>
      </c>
      <c r="I1260" s="19">
        <f t="shared" si="405"/>
        <v>-3.6039528010591537</v>
      </c>
      <c r="J1260" s="28">
        <f t="shared" si="406"/>
        <v>4.664993023313864E-3</v>
      </c>
      <c r="K1260" s="24">
        <f t="shared" si="407"/>
        <v>1047.859754394701</v>
      </c>
      <c r="L1260" s="32">
        <f t="shared" si="408"/>
        <v>0.5659708685012329</v>
      </c>
      <c r="M1260" s="35">
        <f t="shared" si="409"/>
        <v>12.822961720423033</v>
      </c>
      <c r="O1260" s="29">
        <f t="shared" si="410"/>
        <v>1046.5866574903507</v>
      </c>
      <c r="T1260" s="48">
        <v>0.7540509143518519</v>
      </c>
      <c r="U1260" s="29">
        <v>-1524.6321748395139</v>
      </c>
      <c r="V1260" s="29">
        <v>4488.8087446762356</v>
      </c>
      <c r="W1260" s="29">
        <v>4253.6752100689482</v>
      </c>
      <c r="X1260" s="4">
        <v>-0.3240144952215519</v>
      </c>
      <c r="Y1260" s="4">
        <v>-0.12094548954476907</v>
      </c>
      <c r="Z1260" s="4">
        <v>-9.31766627864772E-3</v>
      </c>
      <c r="AA1260" s="3">
        <f t="shared" si="415"/>
        <v>0.34597691174380574</v>
      </c>
      <c r="AB1260" s="3">
        <f t="shared" si="418"/>
        <v>1.0797232630820666E-3</v>
      </c>
      <c r="AC1260" s="3">
        <f t="shared" si="416"/>
        <v>1.393892010606267E-2</v>
      </c>
      <c r="AD1260" s="48"/>
      <c r="AE1260" s="46">
        <f t="shared" si="411"/>
        <v>42.092146828282921</v>
      </c>
      <c r="AF1260" s="46">
        <f t="shared" si="412"/>
        <v>-248.53980755533769</v>
      </c>
      <c r="AG1260" s="47">
        <f t="shared" si="413"/>
        <v>704.17568268294417</v>
      </c>
      <c r="AH1260" s="45" t="str">
        <f t="shared" si="417"/>
        <v>-248.53981,42.09215,00704</v>
      </c>
      <c r="AI1260" s="44">
        <f t="shared" si="419"/>
        <v>1021.3987083533813</v>
      </c>
    </row>
    <row r="1261" spans="1:35" ht="18" customHeight="1" x14ac:dyDescent="0.25">
      <c r="A1261" s="36">
        <f t="shared" si="414"/>
        <v>0.75406253472222229</v>
      </c>
      <c r="B1261" s="42">
        <f t="shared" si="399"/>
        <v>42.092146826638114</v>
      </c>
      <c r="C1261" s="43">
        <f t="shared" si="400"/>
        <v>111.4601951237341</v>
      </c>
      <c r="D1261" s="18">
        <f t="shared" si="401"/>
        <v>0.69021661488659447</v>
      </c>
      <c r="E1261" s="21" t="str">
        <f t="shared" si="402"/>
        <v>Umbra</v>
      </c>
      <c r="F1261" s="23">
        <f>IF($E1261&lt;&gt;"Umbra",fracil2($S$2,$S$3,$S$4,$A1261,$Q$2,$O$3,$Q$4,$U1261,$V1261,$W1261),0)</f>
        <v>0</v>
      </c>
      <c r="G1261" s="19">
        <f t="shared" si="403"/>
        <v>69.302246953985716</v>
      </c>
      <c r="H1261" s="19">
        <f t="shared" si="404"/>
        <v>-4.8127324348938982</v>
      </c>
      <c r="I1261" s="19">
        <f t="shared" si="405"/>
        <v>-3.6047144854990032</v>
      </c>
      <c r="J1261" s="28">
        <f t="shared" si="406"/>
        <v>4.6645308323376364E-3</v>
      </c>
      <c r="K1261" s="24">
        <f t="shared" si="407"/>
        <v>1047.8588341328309</v>
      </c>
      <c r="L1261" s="32">
        <f t="shared" si="408"/>
        <v>0.565984127985241</v>
      </c>
      <c r="M1261" s="35">
        <f t="shared" si="409"/>
        <v>12.822444632267329</v>
      </c>
      <c r="O1261" s="29">
        <f t="shared" si="410"/>
        <v>1046.5868728554749</v>
      </c>
      <c r="T1261" s="48">
        <v>0.75406253472222229</v>
      </c>
      <c r="U1261" s="29">
        <v>-1524.957687018142</v>
      </c>
      <c r="V1261" s="29">
        <v>4488.6872307895746</v>
      </c>
      <c r="W1261" s="29">
        <v>4253.6658528219732</v>
      </c>
      <c r="X1261" s="4">
        <v>-0.32400745966212041</v>
      </c>
      <c r="Y1261" s="4">
        <v>-0.12096149248134436</v>
      </c>
      <c r="Z1261" s="4">
        <v>-9.3105205744258412E-3</v>
      </c>
      <c r="AA1261" s="3">
        <f t="shared" si="415"/>
        <v>0.34597572512154912</v>
      </c>
      <c r="AB1261" s="3">
        <f t="shared" si="418"/>
        <v>1.0797439499923569E-3</v>
      </c>
      <c r="AC1261" s="3">
        <f t="shared" si="416"/>
        <v>1.3928289785012331E-2</v>
      </c>
      <c r="AD1261" s="48"/>
      <c r="AE1261" s="46">
        <f t="shared" si="411"/>
        <v>42.092146826638114</v>
      </c>
      <c r="AF1261" s="46">
        <f t="shared" si="412"/>
        <v>-248.53980487626592</v>
      </c>
      <c r="AG1261" s="47">
        <f t="shared" si="413"/>
        <v>690.21661488659447</v>
      </c>
      <c r="AH1261" s="45" t="str">
        <f t="shared" si="417"/>
        <v>-248.53980,42.09215,00690</v>
      </c>
      <c r="AI1261" s="44">
        <f t="shared" si="419"/>
        <v>1021.3989408964198</v>
      </c>
    </row>
    <row r="1262" spans="1:35" ht="18" customHeight="1" x14ac:dyDescent="0.25">
      <c r="A1262" s="36">
        <f t="shared" si="414"/>
        <v>0.75407429398148151</v>
      </c>
      <c r="B1262" s="42">
        <f t="shared" si="399"/>
        <v>42.092146824977611</v>
      </c>
      <c r="C1262" s="43">
        <f t="shared" si="400"/>
        <v>111.46019289962325</v>
      </c>
      <c r="D1262" s="18">
        <f t="shared" si="401"/>
        <v>0.67611799842325127</v>
      </c>
      <c r="E1262" s="21" t="str">
        <f t="shared" si="402"/>
        <v>Umbra</v>
      </c>
      <c r="F1262" s="23">
        <f>IF($E1262&lt;&gt;"Umbra",fracil2($S$2,$S$3,$S$4,$A1262,$Q$2,$O$3,$Q$4,$U1262,$V1262,$W1262),0)</f>
        <v>0</v>
      </c>
      <c r="G1262" s="19">
        <f t="shared" si="403"/>
        <v>69.302247218396772</v>
      </c>
      <c r="H1262" s="19">
        <f t="shared" si="404"/>
        <v>-4.8134999836741095</v>
      </c>
      <c r="I1262" s="19">
        <f t="shared" si="405"/>
        <v>-3.6054820342792144</v>
      </c>
      <c r="J1262" s="28">
        <f t="shared" si="406"/>
        <v>4.6640640717696752E-3</v>
      </c>
      <c r="K1262" s="24">
        <f t="shared" si="407"/>
        <v>1047.8575086251751</v>
      </c>
      <c r="L1262" s="32">
        <f t="shared" si="408"/>
        <v>0.56599754863565399</v>
      </c>
      <c r="M1262" s="35">
        <f t="shared" si="409"/>
        <v>12.821927251994248</v>
      </c>
      <c r="O1262" s="29">
        <f t="shared" si="410"/>
        <v>1046.5866939880452</v>
      </c>
      <c r="T1262" s="48">
        <v>0.75407429398148151</v>
      </c>
      <c r="U1262" s="29">
        <v>-1525.2866998770826</v>
      </c>
      <c r="V1262" s="29">
        <v>4488.564391075789</v>
      </c>
      <c r="W1262" s="29">
        <v>4253.6564020307524</v>
      </c>
      <c r="X1262" s="4">
        <v>-0.32400034690572116</v>
      </c>
      <c r="Y1262" s="4">
        <v>-0.12097767157528524</v>
      </c>
      <c r="Z1262" s="4">
        <v>-9.3033015860567898E-3</v>
      </c>
      <c r="AA1262" s="3">
        <f t="shared" si="415"/>
        <v>0.34597452685885177</v>
      </c>
      <c r="AB1262" s="3">
        <f t="shared" si="418"/>
        <v>1.0779292144733606E-3</v>
      </c>
      <c r="AC1262" s="3">
        <f t="shared" si="416"/>
        <v>1.3917550488353202E-2</v>
      </c>
      <c r="AD1262" s="48"/>
      <c r="AE1262" s="46">
        <f t="shared" si="411"/>
        <v>42.092146824977611</v>
      </c>
      <c r="AF1262" s="46">
        <f t="shared" si="412"/>
        <v>-248.53980710037675</v>
      </c>
      <c r="AG1262" s="47">
        <f t="shared" si="413"/>
        <v>676.11799842325127</v>
      </c>
      <c r="AH1262" s="45" t="str">
        <f t="shared" si="417"/>
        <v>-248.53981,42.09215,00676</v>
      </c>
      <c r="AI1262" s="44">
        <f t="shared" si="419"/>
        <v>1021.3991307670158</v>
      </c>
    </row>
    <row r="1263" spans="1:35" ht="18" customHeight="1" x14ac:dyDescent="0.25">
      <c r="A1263" s="36">
        <f t="shared" si="414"/>
        <v>0.75408571759259269</v>
      </c>
      <c r="B1263" s="42">
        <f t="shared" si="399"/>
        <v>42.092146823365439</v>
      </c>
      <c r="C1263" s="43">
        <f t="shared" si="400"/>
        <v>111.46019338882904</v>
      </c>
      <c r="D1263" s="18">
        <f t="shared" si="401"/>
        <v>0.66242347504612553</v>
      </c>
      <c r="E1263" s="21" t="str">
        <f t="shared" si="402"/>
        <v>Umbra</v>
      </c>
      <c r="F1263" s="23">
        <f>IF($E1263&lt;&gt;"Umbra",fracil2($S$2,$S$3,$S$4,$A1263,$Q$2,$O$3,$Q$4,$U1263,$V1263,$W1263),0)</f>
        <v>0</v>
      </c>
      <c r="G1263" s="19">
        <f t="shared" si="403"/>
        <v>69.302250171576262</v>
      </c>
      <c r="H1263" s="19">
        <f t="shared" si="404"/>
        <v>-4.8142464761252768</v>
      </c>
      <c r="I1263" s="19">
        <f t="shared" si="405"/>
        <v>-3.6062285267303817</v>
      </c>
      <c r="J1263" s="28">
        <f t="shared" si="406"/>
        <v>4.6636106564908238E-3</v>
      </c>
      <c r="K1263" s="24">
        <f t="shared" si="407"/>
        <v>1047.8564342418308</v>
      </c>
      <c r="L1263" s="32">
        <f t="shared" si="408"/>
        <v>0.56601058289036399</v>
      </c>
      <c r="M1263" s="35">
        <f t="shared" si="409"/>
        <v>12.821422070891078</v>
      </c>
      <c r="O1263" s="29">
        <f t="shared" si="410"/>
        <v>1046.5867332814885</v>
      </c>
      <c r="T1263" s="48">
        <v>0.75408571759259269</v>
      </c>
      <c r="U1263" s="29">
        <v>-1525.606520189705</v>
      </c>
      <c r="V1263" s="29">
        <v>4488.4449651406412</v>
      </c>
      <c r="W1263" s="29">
        <v>4253.6472221171935</v>
      </c>
      <c r="X1263" s="4">
        <v>-0.32399343063694203</v>
      </c>
      <c r="Y1263" s="4">
        <v>-0.12099340478026402</v>
      </c>
      <c r="Z1263" s="4">
        <v>-9.2962898684923589E-3</v>
      </c>
      <c r="AA1263" s="3">
        <f t="shared" si="415"/>
        <v>0.34597336328326611</v>
      </c>
      <c r="AB1263" s="3">
        <f t="shared" si="418"/>
        <v>1.0777375984106045E-3</v>
      </c>
      <c r="AC1263" s="3">
        <f t="shared" si="416"/>
        <v>1.3907119581296703E-2</v>
      </c>
      <c r="AD1263" s="48"/>
      <c r="AE1263" s="46">
        <f t="shared" si="411"/>
        <v>42.092146823365439</v>
      </c>
      <c r="AF1263" s="46">
        <f t="shared" si="412"/>
        <v>-248.53980661117095</v>
      </c>
      <c r="AG1263" s="47">
        <f t="shared" si="413"/>
        <v>662.42347504612553</v>
      </c>
      <c r="AH1263" s="45" t="str">
        <f t="shared" si="417"/>
        <v>-248.53981,42.09215,00662</v>
      </c>
      <c r="AI1263" s="44">
        <f t="shared" si="419"/>
        <v>1021.3991307670158</v>
      </c>
    </row>
    <row r="1264" spans="1:35" ht="18" customHeight="1" x14ac:dyDescent="0.25">
      <c r="A1264" s="36">
        <f t="shared" si="414"/>
        <v>0.75409730324074076</v>
      </c>
      <c r="B1264" s="42">
        <f t="shared" si="399"/>
        <v>42.09214682173176</v>
      </c>
      <c r="C1264" s="43">
        <f t="shared" si="400"/>
        <v>111.46019593319554</v>
      </c>
      <c r="D1264" s="18">
        <f t="shared" si="401"/>
        <v>0.64853845078232553</v>
      </c>
      <c r="E1264" s="21" t="str">
        <f t="shared" si="402"/>
        <v>Umbra</v>
      </c>
      <c r="F1264" s="23">
        <f>IF($E1264&lt;&gt;"Umbra",fracil2($S$2,$S$3,$S$4,$A1264,$Q$2,$O$3,$Q$4,$U1264,$V1264,$W1264),0)</f>
        <v>0</v>
      </c>
      <c r="G1264" s="19">
        <f t="shared" si="403"/>
        <v>69.302255250354335</v>
      </c>
      <c r="H1264" s="19">
        <f t="shared" si="404"/>
        <v>-4.8150040819191844</v>
      </c>
      <c r="I1264" s="19">
        <f t="shared" si="405"/>
        <v>-3.6069861325242893</v>
      </c>
      <c r="J1264" s="28">
        <f t="shared" si="406"/>
        <v>4.6631509205387386E-3</v>
      </c>
      <c r="K1264" s="24">
        <f t="shared" si="407"/>
        <v>1047.8555097253104</v>
      </c>
      <c r="L1264" s="32">
        <f t="shared" si="408"/>
        <v>0.56602379917323697</v>
      </c>
      <c r="M1264" s="35">
        <f t="shared" si="409"/>
        <v>12.820907828122735</v>
      </c>
      <c r="O1264" s="29">
        <f t="shared" si="410"/>
        <v>1046.5869378161376</v>
      </c>
      <c r="T1264" s="48">
        <v>0.75409730324074076</v>
      </c>
      <c r="U1264" s="29">
        <v>-1525.9310288167142</v>
      </c>
      <c r="V1264" s="29">
        <v>4488.323770031704</v>
      </c>
      <c r="W1264" s="29">
        <v>4253.6379145043647</v>
      </c>
      <c r="X1264" s="4">
        <v>-0.32398641071755863</v>
      </c>
      <c r="Y1264" s="4">
        <v>-0.12100937482979914</v>
      </c>
      <c r="Z1264" s="4">
        <v>-9.2891809907406416E-3</v>
      </c>
      <c r="AA1264" s="3">
        <f t="shared" si="415"/>
        <v>0.3459721838671776</v>
      </c>
      <c r="AB1264" s="3">
        <f t="shared" si="418"/>
        <v>1.0773849756317126E-3</v>
      </c>
      <c r="AC1264" s="3">
        <f t="shared" si="416"/>
        <v>1.3896544179388657E-2</v>
      </c>
      <c r="AD1264" s="48"/>
      <c r="AE1264" s="46">
        <f t="shared" si="411"/>
        <v>42.09214682173176</v>
      </c>
      <c r="AF1264" s="46">
        <f t="shared" si="412"/>
        <v>-248.53980406680446</v>
      </c>
      <c r="AG1264" s="47">
        <f t="shared" si="413"/>
        <v>648.53845078232553</v>
      </c>
      <c r="AH1264" s="45" t="str">
        <f t="shared" si="417"/>
        <v>-248.53980,42.09215,00649</v>
      </c>
      <c r="AI1264" s="44">
        <f t="shared" si="419"/>
        <v>1021.3993206376117</v>
      </c>
    </row>
    <row r="1265" spans="1:35" ht="18" customHeight="1" x14ac:dyDescent="0.25">
      <c r="A1265" s="36">
        <f t="shared" si="414"/>
        <v>0.7541087847222222</v>
      </c>
      <c r="B1265" s="42">
        <f t="shared" si="399"/>
        <v>42.092146820115588</v>
      </c>
      <c r="C1265" s="43">
        <f t="shared" si="400"/>
        <v>111.4601962197686</v>
      </c>
      <c r="D1265" s="18">
        <f t="shared" si="401"/>
        <v>0.63479614979769394</v>
      </c>
      <c r="E1265" s="21" t="str">
        <f t="shared" si="402"/>
        <v>Umbra</v>
      </c>
      <c r="F1265" s="23">
        <f>IF($E1265&lt;&gt;"Umbra",fracil2($S$2,$S$3,$S$4,$A1265,$Q$2,$O$3,$Q$4,$U1265,$V1265,$W1265),0)</f>
        <v>0</v>
      </c>
      <c r="G1265" s="19">
        <f t="shared" si="403"/>
        <v>69.302258005901251</v>
      </c>
      <c r="H1265" s="19">
        <f t="shared" si="404"/>
        <v>-4.8157531091535146</v>
      </c>
      <c r="I1265" s="19">
        <f t="shared" si="405"/>
        <v>-3.6077351597586196</v>
      </c>
      <c r="J1265" s="28">
        <f t="shared" si="406"/>
        <v>4.6626959592083175E-3</v>
      </c>
      <c r="K1265" s="24">
        <f t="shared" si="407"/>
        <v>1047.8544155297559</v>
      </c>
      <c r="L1265" s="32">
        <f t="shared" si="408"/>
        <v>0.56603689720836314</v>
      </c>
      <c r="M1265" s="35">
        <f t="shared" si="409"/>
        <v>12.820401075834294</v>
      </c>
      <c r="O1265" s="29">
        <f t="shared" si="410"/>
        <v>1046.5869608171383</v>
      </c>
      <c r="T1265" s="48">
        <v>0.7541087847222222</v>
      </c>
      <c r="U1265" s="29">
        <v>-1526.2524395497107</v>
      </c>
      <c r="V1265" s="29">
        <v>4488.2037135430091</v>
      </c>
      <c r="W1265" s="29">
        <v>4253.6287025639549</v>
      </c>
      <c r="X1265" s="4">
        <v>-0.32397945592159544</v>
      </c>
      <c r="Y1265" s="4">
        <v>-0.12102519753358092</v>
      </c>
      <c r="Z1265" s="4">
        <v>-9.2821445590506955E-3</v>
      </c>
      <c r="AA1265" s="3">
        <f t="shared" si="415"/>
        <v>0.34597101685677428</v>
      </c>
      <c r="AB1265" s="3">
        <f t="shared" si="418"/>
        <v>1.076075930907303E-3</v>
      </c>
      <c r="AC1265" s="3">
        <f t="shared" si="416"/>
        <v>1.388607659481484E-2</v>
      </c>
      <c r="AD1265" s="48"/>
      <c r="AE1265" s="46">
        <f t="shared" si="411"/>
        <v>42.092146820115588</v>
      </c>
      <c r="AF1265" s="46">
        <f t="shared" si="412"/>
        <v>-248.53980378023141</v>
      </c>
      <c r="AG1265" s="47">
        <f t="shared" si="413"/>
        <v>634.79614979769394</v>
      </c>
      <c r="AH1265" s="45" t="str">
        <f t="shared" si="417"/>
        <v>-248.53980,42.09215,00635</v>
      </c>
      <c r="AI1265" s="44">
        <f t="shared" si="419"/>
        <v>1021.3993206376117</v>
      </c>
    </row>
    <row r="1266" spans="1:35" ht="18" customHeight="1" x14ac:dyDescent="0.25">
      <c r="A1266" s="36">
        <f t="shared" si="414"/>
        <v>0.75412035879629624</v>
      </c>
      <c r="B1266" s="42">
        <f t="shared" si="399"/>
        <v>42.092146818488835</v>
      </c>
      <c r="C1266" s="43">
        <f t="shared" si="400"/>
        <v>111.46019523431765</v>
      </c>
      <c r="D1266" s="18">
        <f t="shared" si="401"/>
        <v>0.62095777803006058</v>
      </c>
      <c r="E1266" s="21" t="str">
        <f t="shared" si="402"/>
        <v>Umbra</v>
      </c>
      <c r="F1266" s="23">
        <f>IF($E1266&lt;&gt;"Umbra",fracil2($S$2,$S$3,$S$4,$A1266,$Q$2,$O$3,$Q$4,$U1266,$V1266,$W1266),0)</f>
        <v>0</v>
      </c>
      <c r="G1266" s="19">
        <f t="shared" si="403"/>
        <v>69.302259484202708</v>
      </c>
      <c r="H1266" s="19">
        <f t="shared" si="404"/>
        <v>-4.8165069219749084</v>
      </c>
      <c r="I1266" s="19">
        <f t="shared" si="405"/>
        <v>-3.6084889725800133</v>
      </c>
      <c r="J1266" s="28">
        <f t="shared" si="406"/>
        <v>4.6622380116604955E-3</v>
      </c>
      <c r="K1266" s="24">
        <f t="shared" si="407"/>
        <v>1047.8532114695436</v>
      </c>
      <c r="L1266" s="32">
        <f t="shared" si="408"/>
        <v>0.56605010067820682</v>
      </c>
      <c r="M1266" s="35">
        <f t="shared" si="409"/>
        <v>12.819892036904088</v>
      </c>
      <c r="O1266" s="29">
        <f t="shared" si="410"/>
        <v>1046.5868815429233</v>
      </c>
      <c r="T1266" s="48">
        <v>0.75412035879629624</v>
      </c>
      <c r="U1266" s="29">
        <v>-1526.5763365110765</v>
      </c>
      <c r="V1266" s="29">
        <v>4488.0827098821455</v>
      </c>
      <c r="W1266" s="29">
        <v>4253.6194262240315</v>
      </c>
      <c r="X1266" s="4">
        <v>-0.32397244447966961</v>
      </c>
      <c r="Y1266" s="4">
        <v>-0.12104115054938762</v>
      </c>
      <c r="Z1266" s="4">
        <v>-9.2750609557522706E-3</v>
      </c>
      <c r="AA1266" s="3">
        <f t="shared" si="415"/>
        <v>0.34596984213105203</v>
      </c>
      <c r="AB1266" s="3">
        <f t="shared" si="418"/>
        <v>1.0746189883476295E-3</v>
      </c>
      <c r="AC1266" s="3">
        <f t="shared" si="416"/>
        <v>1.3875538881015136E-2</v>
      </c>
      <c r="AD1266" s="48"/>
      <c r="AE1266" s="46">
        <f t="shared" si="411"/>
        <v>42.092146818488835</v>
      </c>
      <c r="AF1266" s="46">
        <f t="shared" si="412"/>
        <v>-248.53980476568233</v>
      </c>
      <c r="AG1266" s="47">
        <f t="shared" si="413"/>
        <v>620.95777803006058</v>
      </c>
      <c r="AH1266" s="45" t="str">
        <f t="shared" si="417"/>
        <v>-248.53980,42.09215,00621</v>
      </c>
      <c r="AI1266" s="44">
        <f t="shared" si="419"/>
        <v>1021.3993206376117</v>
      </c>
    </row>
    <row r="1267" spans="1:35" ht="18" customHeight="1" x14ac:dyDescent="0.25">
      <c r="A1267" s="36">
        <f t="shared" si="414"/>
        <v>0.75413200231481481</v>
      </c>
      <c r="B1267" s="42">
        <f t="shared" si="399"/>
        <v>42.092146816853692</v>
      </c>
      <c r="C1267" s="43">
        <f t="shared" si="400"/>
        <v>111.46019622811204</v>
      </c>
      <c r="D1267" s="18">
        <f t="shared" si="401"/>
        <v>0.6070404634310762</v>
      </c>
      <c r="E1267" s="21" t="str">
        <f t="shared" si="402"/>
        <v>Umbra</v>
      </c>
      <c r="F1267" s="23">
        <f>IF($E1267&lt;&gt;"Umbra",fracil2($S$2,$S$3,$S$4,$A1267,$Q$2,$O$3,$Q$4,$U1267,$V1267,$W1267),0)</f>
        <v>0</v>
      </c>
      <c r="G1267" s="19">
        <f t="shared" si="403"/>
        <v>69.302262990845307</v>
      </c>
      <c r="H1267" s="19">
        <f t="shared" si="404"/>
        <v>-4.8172657413963158</v>
      </c>
      <c r="I1267" s="19">
        <f t="shared" si="405"/>
        <v>-3.6092477920014208</v>
      </c>
      <c r="J1267" s="28">
        <f t="shared" si="406"/>
        <v>4.6617773200667125E-3</v>
      </c>
      <c r="K1267" s="24">
        <f t="shared" si="407"/>
        <v>1047.8521602515025</v>
      </c>
      <c r="L1267" s="32">
        <f t="shared" si="408"/>
        <v>0.56606338054902772</v>
      </c>
      <c r="M1267" s="35">
        <f t="shared" si="409"/>
        <v>12.819378122802519</v>
      </c>
      <c r="O1267" s="29">
        <f t="shared" si="410"/>
        <v>1046.5869614063909</v>
      </c>
      <c r="T1267" s="48">
        <v>0.75413200231481481</v>
      </c>
      <c r="U1267" s="29">
        <v>-1526.9023237106946</v>
      </c>
      <c r="V1267" s="29">
        <v>4487.9609065845934</v>
      </c>
      <c r="W1267" s="29">
        <v>4253.6100969660665</v>
      </c>
      <c r="X1267" s="4">
        <v>-0.32396538614224818</v>
      </c>
      <c r="Y1267" s="4">
        <v>-0.12105721087104758</v>
      </c>
      <c r="Z1267" s="4">
        <v>-9.2679354348168853E-3</v>
      </c>
      <c r="AA1267" s="3">
        <f t="shared" si="415"/>
        <v>0.34596866093534712</v>
      </c>
      <c r="AB1267" s="3">
        <f t="shared" si="418"/>
        <v>1.0745213504064156E-3</v>
      </c>
      <c r="AC1267" s="3">
        <f t="shared" si="416"/>
        <v>1.3864938904114834E-2</v>
      </c>
      <c r="AD1267" s="48"/>
      <c r="AE1267" s="46">
        <f t="shared" si="411"/>
        <v>42.092146816853692</v>
      </c>
      <c r="AF1267" s="46">
        <f t="shared" si="412"/>
        <v>-248.53980377188796</v>
      </c>
      <c r="AG1267" s="47">
        <f t="shared" si="413"/>
        <v>607.0404634310762</v>
      </c>
      <c r="AH1267" s="45" t="str">
        <f t="shared" si="417"/>
        <v>-248.53980,42.09215,00607</v>
      </c>
      <c r="AI1267" s="44">
        <f t="shared" si="419"/>
        <v>1021.3993206376117</v>
      </c>
    </row>
    <row r="1268" spans="1:35" ht="18" customHeight="1" x14ac:dyDescent="0.25">
      <c r="A1268" s="36">
        <f t="shared" si="414"/>
        <v>0.7541436226851852</v>
      </c>
      <c r="B1268" s="42">
        <f t="shared" si="399"/>
        <v>42.09214681522586</v>
      </c>
      <c r="C1268" s="43">
        <f t="shared" si="400"/>
        <v>111.46019311482029</v>
      </c>
      <c r="D1268" s="18">
        <f t="shared" si="401"/>
        <v>0.59317505113358493</v>
      </c>
      <c r="E1268" s="21" t="str">
        <f t="shared" si="402"/>
        <v>Umbra</v>
      </c>
      <c r="F1268" s="23">
        <f>IF($E1268&lt;&gt;"Umbra",fracil2($S$2,$S$3,$S$4,$A1268,$Q$2,$O$3,$Q$4,$U1268,$V1268,$W1268),0)</f>
        <v>0</v>
      </c>
      <c r="G1268" s="19">
        <f t="shared" si="403"/>
        <v>69.302262308604824</v>
      </c>
      <c r="H1268" s="19">
        <f t="shared" si="404"/>
        <v>-4.8180202759836925</v>
      </c>
      <c r="I1268" s="19">
        <f t="shared" si="405"/>
        <v>-3.6100023265887975</v>
      </c>
      <c r="J1268" s="28">
        <f t="shared" si="406"/>
        <v>4.6613185196976393E-3</v>
      </c>
      <c r="K1268" s="24">
        <f t="shared" si="407"/>
        <v>1047.8507833400511</v>
      </c>
      <c r="L1268" s="32">
        <f t="shared" si="408"/>
        <v>0.56607663607992431</v>
      </c>
      <c r="M1268" s="35">
        <f t="shared" si="409"/>
        <v>12.81887018275348</v>
      </c>
      <c r="O1268" s="29">
        <f t="shared" si="410"/>
        <v>1046.5867110466868</v>
      </c>
      <c r="T1268" s="48">
        <v>0.7541436226851852</v>
      </c>
      <c r="U1268" s="29">
        <v>-1527.2273374474396</v>
      </c>
      <c r="V1268" s="29">
        <v>4487.839448282376</v>
      </c>
      <c r="W1268" s="29">
        <v>4253.6008025001129</v>
      </c>
      <c r="X1268" s="4">
        <v>-0.3239583465822069</v>
      </c>
      <c r="Y1268" s="4">
        <v>-0.12107322952579563</v>
      </c>
      <c r="Z1268" s="4">
        <v>-9.2608369104803193E-3</v>
      </c>
      <c r="AA1268" s="3">
        <f t="shared" si="415"/>
        <v>0.34596748449582049</v>
      </c>
      <c r="AB1268" s="3">
        <f t="shared" si="418"/>
        <v>1.0725792855295925E-3</v>
      </c>
      <c r="AC1268" s="3">
        <f t="shared" si="416"/>
        <v>1.3854379120791016E-2</v>
      </c>
      <c r="AD1268" s="48"/>
      <c r="AE1268" s="46">
        <f t="shared" si="411"/>
        <v>42.09214681522586</v>
      </c>
      <c r="AF1268" s="46">
        <f t="shared" si="412"/>
        <v>-248.5398068851797</v>
      </c>
      <c r="AG1268" s="47">
        <f t="shared" si="413"/>
        <v>593.17505113358493</v>
      </c>
      <c r="AH1268" s="45" t="str">
        <f t="shared" si="417"/>
        <v>-248.53981,42.09215,00593</v>
      </c>
      <c r="AI1268" s="44">
        <f t="shared" si="419"/>
        <v>1021.3995531806503</v>
      </c>
    </row>
    <row r="1269" spans="1:35" ht="18" customHeight="1" x14ac:dyDescent="0.25">
      <c r="A1269" s="36">
        <f t="shared" si="414"/>
        <v>0.75415519675925935</v>
      </c>
      <c r="B1269" s="42">
        <f t="shared" si="399"/>
        <v>42.092146813604622</v>
      </c>
      <c r="C1269" s="43">
        <f t="shared" si="400"/>
        <v>111.46019520294283</v>
      </c>
      <c r="D1269" s="18">
        <f t="shared" si="401"/>
        <v>0.57935829211965029</v>
      </c>
      <c r="E1269" s="21" t="str">
        <f t="shared" si="402"/>
        <v>Umbra</v>
      </c>
      <c r="F1269" s="23">
        <f>IF($E1269&lt;&gt;"Umbra",fracil2($S$2,$S$3,$S$4,$A1269,$Q$2,$O$3,$Q$4,$U1269,$V1269,$W1269),0)</f>
        <v>0</v>
      </c>
      <c r="G1269" s="19">
        <f t="shared" si="403"/>
        <v>69.302266910871964</v>
      </c>
      <c r="H1269" s="19">
        <f t="shared" si="404"/>
        <v>-4.8187740069252447</v>
      </c>
      <c r="I1269" s="19">
        <f t="shared" si="405"/>
        <v>-3.6107560575303497</v>
      </c>
      <c r="J1269" s="28">
        <f t="shared" si="406"/>
        <v>4.6608611472234744E-3</v>
      </c>
      <c r="K1269" s="24">
        <f t="shared" si="407"/>
        <v>1047.8498286107842</v>
      </c>
      <c r="L1269" s="32">
        <f t="shared" si="408"/>
        <v>0.56608983342035568</v>
      </c>
      <c r="M1269" s="35">
        <f t="shared" si="409"/>
        <v>12.818358879744194</v>
      </c>
      <c r="O1269" s="29">
        <f t="shared" si="410"/>
        <v>1046.5868788981145</v>
      </c>
      <c r="T1269" s="48">
        <v>0.75415519675925935</v>
      </c>
      <c r="U1269" s="29">
        <v>-1527.5514516234398</v>
      </c>
      <c r="V1269" s="29">
        <v>4487.7183075127978</v>
      </c>
      <c r="W1269" s="29">
        <v>4253.5915406482136</v>
      </c>
      <c r="X1269" s="4">
        <v>-0.32395132463583348</v>
      </c>
      <c r="Y1269" s="4">
        <v>-0.12108920887208749</v>
      </c>
      <c r="Z1269" s="4">
        <v>-9.2537625548009591E-3</v>
      </c>
      <c r="AA1269" s="3">
        <f t="shared" si="415"/>
        <v>0.34596631246408927</v>
      </c>
      <c r="AB1269" s="3">
        <f t="shared" si="418"/>
        <v>1.0732004799535635E-3</v>
      </c>
      <c r="AC1269" s="3">
        <f t="shared" si="416"/>
        <v>1.3843855316884522E-2</v>
      </c>
      <c r="AD1269" s="48"/>
      <c r="AE1269" s="46">
        <f t="shared" si="411"/>
        <v>42.092146813604622</v>
      </c>
      <c r="AF1269" s="46">
        <f t="shared" si="412"/>
        <v>-248.53980479705717</v>
      </c>
      <c r="AG1269" s="47">
        <f t="shared" si="413"/>
        <v>579.35829211965029</v>
      </c>
      <c r="AH1269" s="45" t="str">
        <f t="shared" si="417"/>
        <v>-248.53980,42.09215,00579</v>
      </c>
      <c r="AI1269" s="44">
        <f t="shared" si="419"/>
        <v>1021.3997430512462</v>
      </c>
    </row>
    <row r="1270" spans="1:35" ht="18" customHeight="1" x14ac:dyDescent="0.25">
      <c r="A1270" s="36">
        <f t="shared" si="414"/>
        <v>0.75416672453703704</v>
      </c>
      <c r="B1270" s="42">
        <f t="shared" si="399"/>
        <v>42.092146811993423</v>
      </c>
      <c r="C1270" s="43">
        <f t="shared" si="400"/>
        <v>111.46019370766749</v>
      </c>
      <c r="D1270" s="18">
        <f t="shared" si="401"/>
        <v>0.56561909425545309</v>
      </c>
      <c r="E1270" s="21" t="str">
        <f t="shared" si="402"/>
        <v>Umbra</v>
      </c>
      <c r="F1270" s="23">
        <f>IF($E1270&lt;&gt;"Umbra",fracil2($S$2,$S$3,$S$4,$A1270,$Q$2,$O$3,$Q$4,$U1270,$V1270,$W1270),0)</f>
        <v>0</v>
      </c>
      <c r="G1270" s="19">
        <f t="shared" si="403"/>
        <v>69.302267852589281</v>
      </c>
      <c r="H1270" s="19">
        <f t="shared" si="404"/>
        <v>-4.8195222407963056</v>
      </c>
      <c r="I1270" s="19">
        <f t="shared" si="405"/>
        <v>-3.6115042914014106</v>
      </c>
      <c r="J1270" s="28">
        <f t="shared" si="406"/>
        <v>4.6604064525698702E-3</v>
      </c>
      <c r="K1270" s="24">
        <f t="shared" si="407"/>
        <v>1047.8485923585049</v>
      </c>
      <c r="L1270" s="32">
        <f t="shared" si="408"/>
        <v>0.56610297963003042</v>
      </c>
      <c r="M1270" s="35">
        <f t="shared" si="409"/>
        <v>12.817853977853011</v>
      </c>
      <c r="O1270" s="29">
        <f t="shared" si="410"/>
        <v>1046.5867586327142</v>
      </c>
      <c r="T1270" s="48">
        <v>0.75416672453703704</v>
      </c>
      <c r="U1270" s="29">
        <v>-1527.8739851751322</v>
      </c>
      <c r="V1270" s="29">
        <v>4487.5977390357548</v>
      </c>
      <c r="W1270" s="29">
        <v>4253.5823307883156</v>
      </c>
      <c r="X1270" s="4">
        <v>-0.3239443349140364</v>
      </c>
      <c r="Y1270" s="4">
        <v>-0.12110511575388332</v>
      </c>
      <c r="Z1270" s="4">
        <v>-9.2467276273434911E-3</v>
      </c>
      <c r="AA1270" s="3">
        <f t="shared" si="415"/>
        <v>0.34596514731468708</v>
      </c>
      <c r="AB1270" s="3">
        <f t="shared" si="418"/>
        <v>1.0715015024410496E-3</v>
      </c>
      <c r="AC1270" s="3">
        <f t="shared" si="416"/>
        <v>1.38333902017266E-2</v>
      </c>
      <c r="AD1270" s="48"/>
      <c r="AE1270" s="46">
        <f t="shared" si="411"/>
        <v>42.092146811993423</v>
      </c>
      <c r="AF1270" s="46">
        <f t="shared" si="412"/>
        <v>-248.53980629233251</v>
      </c>
      <c r="AG1270" s="47">
        <f t="shared" si="413"/>
        <v>565.61909425545309</v>
      </c>
      <c r="AH1270" s="45" t="str">
        <f t="shared" si="417"/>
        <v>-248.53981,42.09215,00566</v>
      </c>
      <c r="AI1270" s="44">
        <f t="shared" si="419"/>
        <v>1021.3998773100312</v>
      </c>
    </row>
    <row r="1271" spans="1:35" ht="18" customHeight="1" x14ac:dyDescent="0.25">
      <c r="A1271" s="36">
        <f t="shared" si="414"/>
        <v>0.75417822916666666</v>
      </c>
      <c r="B1271" s="42">
        <f t="shared" si="399"/>
        <v>42.092146810386481</v>
      </c>
      <c r="C1271" s="43">
        <f t="shared" si="400"/>
        <v>111.4601946687899</v>
      </c>
      <c r="D1271" s="18">
        <f t="shared" si="401"/>
        <v>0.55190980440784188</v>
      </c>
      <c r="E1271" s="21" t="str">
        <f t="shared" si="402"/>
        <v>Umbra</v>
      </c>
      <c r="F1271" s="23">
        <f>IF($E1271&lt;&gt;"Umbra",fracil2($S$2,$S$3,$S$4,$A1271,$Q$2,$O$3,$Q$4,$U1271,$V1271,$W1271),0)</f>
        <v>0</v>
      </c>
      <c r="G1271" s="19">
        <f t="shared" si="403"/>
        <v>69.302271288705555</v>
      </c>
      <c r="H1271" s="19">
        <f t="shared" si="404"/>
        <v>-4.8202697179390395</v>
      </c>
      <c r="I1271" s="19">
        <f t="shared" si="405"/>
        <v>-3.6122517685441444</v>
      </c>
      <c r="J1271" s="28">
        <f t="shared" si="406"/>
        <v>4.6599526347183675E-3</v>
      </c>
      <c r="K1271" s="24">
        <f t="shared" si="407"/>
        <v>1047.8475561389578</v>
      </c>
      <c r="L1271" s="32">
        <f t="shared" si="408"/>
        <v>0.56611609627077852</v>
      </c>
      <c r="M1271" s="35">
        <f t="shared" si="409"/>
        <v>12.817347740546168</v>
      </c>
      <c r="O1271" s="29">
        <f t="shared" si="410"/>
        <v>1046.5868358699468</v>
      </c>
      <c r="T1271" s="48">
        <v>0.75417822916666666</v>
      </c>
      <c r="U1271" s="29">
        <v>-1528.196054350198</v>
      </c>
      <c r="V1271" s="29">
        <v>4487.4773257477264</v>
      </c>
      <c r="W1271" s="29">
        <v>4253.5731409768596</v>
      </c>
      <c r="X1271" s="4">
        <v>-0.32393735347968661</v>
      </c>
      <c r="Y1271" s="4">
        <v>-0.12112100447570658</v>
      </c>
      <c r="Z1271" s="4">
        <v>-9.239707065561438E-3</v>
      </c>
      <c r="AA1271" s="3">
        <f t="shared" si="415"/>
        <v>0.34596398496271968</v>
      </c>
      <c r="AB1271" s="3">
        <f t="shared" si="418"/>
        <v>1.071460885942213E-3</v>
      </c>
      <c r="AC1271" s="3">
        <f t="shared" si="416"/>
        <v>1.3822946496751743E-2</v>
      </c>
      <c r="AD1271" s="48"/>
      <c r="AE1271" s="46">
        <f t="shared" si="411"/>
        <v>42.092146810386481</v>
      </c>
      <c r="AF1271" s="46">
        <f t="shared" si="412"/>
        <v>-248.53980533121012</v>
      </c>
      <c r="AG1271" s="47">
        <f t="shared" si="413"/>
        <v>551.90980440784188</v>
      </c>
      <c r="AH1271" s="45" t="str">
        <f t="shared" si="417"/>
        <v>-248.53981,42.09215,00552</v>
      </c>
      <c r="AI1271" s="44">
        <f t="shared" si="419"/>
        <v>1021.3998773100312</v>
      </c>
    </row>
    <row r="1272" spans="1:35" ht="18" customHeight="1" x14ac:dyDescent="0.25">
      <c r="A1272" s="36">
        <f t="shared" si="414"/>
        <v>0.75418981481481484</v>
      </c>
      <c r="B1272" s="42">
        <f t="shared" si="399"/>
        <v>42.092146808770366</v>
      </c>
      <c r="C1272" s="43">
        <f t="shared" si="400"/>
        <v>111.46019548585097</v>
      </c>
      <c r="D1272" s="18">
        <f t="shared" si="401"/>
        <v>0.53811498595769081</v>
      </c>
      <c r="E1272" s="21" t="str">
        <f t="shared" si="402"/>
        <v>Umbra</v>
      </c>
      <c r="F1272" s="23">
        <f>IF($E1272&lt;&gt;"Umbra",fracil2($S$2,$S$3,$S$4,$A1272,$Q$2,$O$3,$Q$4,$U1272,$V1272,$W1272),0)</f>
        <v>0</v>
      </c>
      <c r="G1272" s="19">
        <f t="shared" si="403"/>
        <v>69.302274593557883</v>
      </c>
      <c r="H1272" s="19">
        <f t="shared" si="404"/>
        <v>-4.8210218066564101</v>
      </c>
      <c r="I1272" s="19">
        <f t="shared" si="405"/>
        <v>-3.6130038572615151</v>
      </c>
      <c r="J1272" s="28">
        <f t="shared" si="406"/>
        <v>4.6594960506896044E-3</v>
      </c>
      <c r="K1272" s="24">
        <f t="shared" si="407"/>
        <v>1047.8465015740755</v>
      </c>
      <c r="L1272" s="32">
        <f t="shared" si="408"/>
        <v>0.56612930418982255</v>
      </c>
      <c r="M1272" s="35">
        <f t="shared" si="409"/>
        <v>12.816838487945233</v>
      </c>
      <c r="O1272" s="29">
        <f t="shared" si="410"/>
        <v>1046.5869015239509</v>
      </c>
      <c r="T1272" s="48">
        <v>0.75418981481481484</v>
      </c>
      <c r="U1272" s="29">
        <v>-1528.5203729118357</v>
      </c>
      <c r="V1272" s="29">
        <v>4487.3560528835378</v>
      </c>
      <c r="W1272" s="29">
        <v>4253.563893832692</v>
      </c>
      <c r="X1272" s="4">
        <v>-0.32393032094522939</v>
      </c>
      <c r="Y1272" s="4">
        <v>-0.1211370105575624</v>
      </c>
      <c r="Z1272" s="4">
        <v>-9.2326432751549167E-3</v>
      </c>
      <c r="AA1272" s="3">
        <f t="shared" si="415"/>
        <v>0.34596281571340665</v>
      </c>
      <c r="AB1272" s="3">
        <f t="shared" si="418"/>
        <v>1.0705151198664655E-3</v>
      </c>
      <c r="AC1272" s="3">
        <f t="shared" si="416"/>
        <v>1.3812438528015036E-2</v>
      </c>
      <c r="AD1272" s="48"/>
      <c r="AE1272" s="46">
        <f t="shared" si="411"/>
        <v>42.092146808770366</v>
      </c>
      <c r="AF1272" s="46">
        <f t="shared" si="412"/>
        <v>-248.53980451414901</v>
      </c>
      <c r="AG1272" s="47">
        <f t="shared" si="413"/>
        <v>538.11498595769081</v>
      </c>
      <c r="AH1272" s="45" t="str">
        <f t="shared" si="417"/>
        <v>-248.53980,42.09215,00538</v>
      </c>
      <c r="AI1272" s="44">
        <f t="shared" si="419"/>
        <v>1021.3998773100312</v>
      </c>
    </row>
    <row r="1273" spans="1:35" ht="18" customHeight="1" x14ac:dyDescent="0.25">
      <c r="A1273" s="36">
        <f t="shared" si="414"/>
        <v>0.75420142361111109</v>
      </c>
      <c r="B1273" s="42">
        <f t="shared" si="399"/>
        <v>42.092146807153185</v>
      </c>
      <c r="C1273" s="43">
        <f t="shared" si="400"/>
        <v>111.46019551387457</v>
      </c>
      <c r="D1273" s="18">
        <f t="shared" si="401"/>
        <v>0.52430578814619366</v>
      </c>
      <c r="E1273" s="21" t="str">
        <f t="shared" si="402"/>
        <v>Umbra</v>
      </c>
      <c r="F1273" s="23">
        <f>IF($E1273&lt;&gt;"Umbra",fracil2($S$2,$S$3,$S$4,$A1273,$Q$2,$O$3,$Q$4,$U1273,$V1273,$W1273),0)</f>
        <v>0</v>
      </c>
      <c r="G1273" s="19">
        <f t="shared" si="403"/>
        <v>69.302277098031055</v>
      </c>
      <c r="H1273" s="19">
        <f t="shared" si="404"/>
        <v>-4.8217744007116048</v>
      </c>
      <c r="I1273" s="19">
        <f t="shared" si="405"/>
        <v>-3.6137564513167098</v>
      </c>
      <c r="J1273" s="28">
        <f t="shared" si="406"/>
        <v>4.6590389803079588E-3</v>
      </c>
      <c r="K1273" s="24">
        <f t="shared" si="407"/>
        <v>1047.8453826059992</v>
      </c>
      <c r="L1273" s="32">
        <f t="shared" si="408"/>
        <v>0.56614253791343983</v>
      </c>
      <c r="M1273" s="35">
        <f t="shared" si="409"/>
        <v>12.816329480872199</v>
      </c>
      <c r="O1273" s="29">
        <f t="shared" si="410"/>
        <v>1046.5869037366942</v>
      </c>
      <c r="T1273" s="48">
        <v>0.75420142361111109</v>
      </c>
      <c r="U1273" s="29">
        <v>-1528.8452711036632</v>
      </c>
      <c r="V1273" s="29">
        <v>4487.2345445663577</v>
      </c>
      <c r="W1273" s="29">
        <v>4253.5546370495922</v>
      </c>
      <c r="X1273" s="4">
        <v>-0.32392327400051446</v>
      </c>
      <c r="Y1273" s="4">
        <v>-0.12115305016125252</v>
      </c>
      <c r="Z1273" s="4">
        <v>-9.2255712538726435E-3</v>
      </c>
      <c r="AA1273" s="3">
        <f t="shared" si="415"/>
        <v>0.34596164551514613</v>
      </c>
      <c r="AB1273" s="3">
        <f t="shared" si="418"/>
        <v>1.0696209111346309E-3</v>
      </c>
      <c r="AC1273" s="3">
        <f t="shared" si="416"/>
        <v>1.380191835925253E-2</v>
      </c>
      <c r="AD1273" s="48"/>
      <c r="AE1273" s="46">
        <f t="shared" si="411"/>
        <v>42.092146807153185</v>
      </c>
      <c r="AF1273" s="46">
        <f t="shared" si="412"/>
        <v>-248.53980448612543</v>
      </c>
      <c r="AG1273" s="47">
        <f t="shared" si="413"/>
        <v>524.30578814619366</v>
      </c>
      <c r="AH1273" s="45" t="str">
        <f t="shared" si="417"/>
        <v>-248.53980,42.09215,00524</v>
      </c>
      <c r="AI1273" s="44">
        <f t="shared" si="419"/>
        <v>1021.3998773100312</v>
      </c>
    </row>
    <row r="1274" spans="1:35" ht="18" customHeight="1" x14ac:dyDescent="0.25">
      <c r="A1274" s="36">
        <f t="shared" si="414"/>
        <v>0.75421306712962954</v>
      </c>
      <c r="B1274" s="42">
        <f t="shared" si="399"/>
        <v>42.092146805532877</v>
      </c>
      <c r="C1274" s="43">
        <f t="shared" si="400"/>
        <v>111.46019657224643</v>
      </c>
      <c r="D1274" s="18">
        <f t="shared" si="401"/>
        <v>0.51046252012929472</v>
      </c>
      <c r="E1274" s="21" t="str">
        <f t="shared" si="402"/>
        <v>Umbra</v>
      </c>
      <c r="F1274" s="23">
        <f>IF($E1274&lt;&gt;"Umbra",fracil2($S$2,$S$3,$S$4,$A1274,$Q$2,$O$3,$Q$4,$U1274,$V1274,$W1274),0)</f>
        <v>0</v>
      </c>
      <c r="G1274" s="19">
        <f t="shared" si="403"/>
        <v>69.302280657152281</v>
      </c>
      <c r="H1274" s="19">
        <f t="shared" si="404"/>
        <v>-4.8225292185176754</v>
      </c>
      <c r="I1274" s="19">
        <f t="shared" si="405"/>
        <v>-3.6145112691227803</v>
      </c>
      <c r="J1274" s="28">
        <f t="shared" si="406"/>
        <v>4.6585807915232773E-3</v>
      </c>
      <c r="K1274" s="24">
        <f t="shared" si="407"/>
        <v>1047.8443438635572</v>
      </c>
      <c r="L1274" s="32">
        <f t="shared" si="408"/>
        <v>0.56615580916530683</v>
      </c>
      <c r="M1274" s="35">
        <f t="shared" si="409"/>
        <v>12.815818192337115</v>
      </c>
      <c r="O1274" s="29">
        <f t="shared" si="410"/>
        <v>1046.5869887927713</v>
      </c>
      <c r="T1274" s="48">
        <v>0.75421306712962954</v>
      </c>
      <c r="U1274" s="29">
        <v>-1529.1712138507053</v>
      </c>
      <c r="V1274" s="29">
        <v>4487.1126267716254</v>
      </c>
      <c r="W1274" s="29">
        <v>4253.5453574281264</v>
      </c>
      <c r="X1274" s="4">
        <v>-0.32391620214579353</v>
      </c>
      <c r="Y1274" s="4">
        <v>-0.1211691474513524</v>
      </c>
      <c r="Z1274" s="4">
        <v>-9.2184820357110384E-3</v>
      </c>
      <c r="AA1274" s="3">
        <f t="shared" si="415"/>
        <v>0.34596047276774972</v>
      </c>
      <c r="AB1274" s="3">
        <f t="shared" si="418"/>
        <v>1.0690198478145346E-3</v>
      </c>
      <c r="AC1274" s="3">
        <f t="shared" si="416"/>
        <v>1.3791372653773152E-2</v>
      </c>
      <c r="AD1274" s="48"/>
      <c r="AE1274" s="46">
        <f t="shared" si="411"/>
        <v>42.092146805532877</v>
      </c>
      <c r="AF1274" s="46">
        <f t="shared" si="412"/>
        <v>-248.53980342775355</v>
      </c>
      <c r="AG1274" s="47">
        <f t="shared" si="413"/>
        <v>510.46252012929472</v>
      </c>
      <c r="AH1274" s="45" t="str">
        <f t="shared" si="417"/>
        <v>-248.53980,42.09215,00510</v>
      </c>
      <c r="AI1274" s="44">
        <f t="shared" si="419"/>
        <v>1021.3999722453292</v>
      </c>
    </row>
    <row r="1275" spans="1:35" ht="18" customHeight="1" x14ac:dyDescent="0.25">
      <c r="A1275" s="36">
        <f t="shared" si="414"/>
        <v>0.7542245486111111</v>
      </c>
      <c r="B1275" s="42">
        <f t="shared" si="399"/>
        <v>42.092146803937823</v>
      </c>
      <c r="C1275" s="43">
        <f t="shared" si="400"/>
        <v>111.46019589205962</v>
      </c>
      <c r="D1275" s="18">
        <f t="shared" si="401"/>
        <v>0.4968279872337007</v>
      </c>
      <c r="E1275" s="21" t="str">
        <f t="shared" si="402"/>
        <v>Umbra</v>
      </c>
      <c r="F1275" s="23">
        <f>IF($E1275&lt;&gt;"Umbra",fracil2($S$2,$S$3,$S$4,$A1275,$Q$2,$O$3,$Q$4,$U1275,$V1275,$W1275),0)</f>
        <v>0</v>
      </c>
      <c r="G1275" s="19">
        <f t="shared" si="403"/>
        <v>69.302282409609404</v>
      </c>
      <c r="H1275" s="19">
        <f t="shared" si="404"/>
        <v>-4.823272045575024</v>
      </c>
      <c r="I1275" s="19">
        <f t="shared" si="405"/>
        <v>-3.6152540961801289</v>
      </c>
      <c r="J1275" s="28">
        <f t="shared" si="406"/>
        <v>4.6581296395063173E-3</v>
      </c>
      <c r="K1275" s="24">
        <f t="shared" si="407"/>
        <v>1047.8431825136922</v>
      </c>
      <c r="L1275" s="32">
        <f t="shared" si="408"/>
        <v>0.56616889591315622</v>
      </c>
      <c r="M1275" s="35">
        <f t="shared" si="409"/>
        <v>12.81531631294102</v>
      </c>
      <c r="O1275" s="29">
        <f t="shared" si="410"/>
        <v>1046.5869340635991</v>
      </c>
      <c r="T1275" s="48">
        <v>0.7542245486111111</v>
      </c>
      <c r="U1275" s="29">
        <v>-1529.4924800088058</v>
      </c>
      <c r="V1275" s="29">
        <v>4486.9924397795266</v>
      </c>
      <c r="W1275" s="29">
        <v>4253.5362177291026</v>
      </c>
      <c r="X1275" s="4">
        <v>-0.32390922934273575</v>
      </c>
      <c r="Y1275" s="4">
        <v>-0.12118502037401055</v>
      </c>
      <c r="Z1275" s="4">
        <v>-9.2115005326877074E-3</v>
      </c>
      <c r="AA1275" s="3">
        <f t="shared" si="415"/>
        <v>0.34595931806863944</v>
      </c>
      <c r="AB1275" s="3">
        <f t="shared" si="418"/>
        <v>1.067630103523788E-3</v>
      </c>
      <c r="AC1275" s="3">
        <f t="shared" si="416"/>
        <v>1.3780987226424291E-2</v>
      </c>
      <c r="AD1275" s="48"/>
      <c r="AE1275" s="46">
        <f t="shared" si="411"/>
        <v>42.092146803937823</v>
      </c>
      <c r="AF1275" s="46">
        <f t="shared" si="412"/>
        <v>-248.53980410794037</v>
      </c>
      <c r="AG1275" s="47">
        <f t="shared" si="413"/>
        <v>496.8279872337007</v>
      </c>
      <c r="AH1275" s="45" t="str">
        <f t="shared" si="417"/>
        <v>-248.53980,42.09215,00497</v>
      </c>
      <c r="AI1275" s="44">
        <f t="shared" si="419"/>
        <v>1021.3999722453292</v>
      </c>
    </row>
    <row r="1276" spans="1:35" ht="18" customHeight="1" x14ac:dyDescent="0.25">
      <c r="A1276" s="36">
        <f t="shared" si="414"/>
        <v>0.75423613425925928</v>
      </c>
      <c r="B1276" s="42">
        <f t="shared" si="399"/>
        <v>42.092146802329864</v>
      </c>
      <c r="C1276" s="43">
        <f t="shared" si="400"/>
        <v>111.46019586285836</v>
      </c>
      <c r="D1276" s="18">
        <f t="shared" si="401"/>
        <v>0.48307806204138615</v>
      </c>
      <c r="E1276" s="21" t="str">
        <f t="shared" si="402"/>
        <v>Umbra</v>
      </c>
      <c r="F1276" s="23">
        <f>IF($E1276&lt;&gt;"Umbra",fracil2($S$2,$S$3,$S$4,$A1276,$Q$2,$O$3,$Q$4,$U1276,$V1276,$W1276),0)</f>
        <v>0</v>
      </c>
      <c r="G1276" s="19">
        <f t="shared" si="403"/>
        <v>69.302284845238447</v>
      </c>
      <c r="H1276" s="19">
        <f t="shared" si="404"/>
        <v>-4.8240213938232008</v>
      </c>
      <c r="I1276" s="19">
        <f t="shared" si="405"/>
        <v>-3.6160034444283058</v>
      </c>
      <c r="J1276" s="28">
        <f t="shared" si="406"/>
        <v>4.6576745531234755E-3</v>
      </c>
      <c r="K1276" s="24">
        <f t="shared" si="407"/>
        <v>1047.8420642967803</v>
      </c>
      <c r="L1276" s="32">
        <f t="shared" si="408"/>
        <v>0.56618209965519894</v>
      </c>
      <c r="M1276" s="35">
        <f t="shared" si="409"/>
        <v>12.814809530244858</v>
      </c>
      <c r="O1276" s="29">
        <f t="shared" si="410"/>
        <v>1046.5869316755052</v>
      </c>
      <c r="T1276" s="48">
        <v>0.75423613425925928</v>
      </c>
      <c r="U1276" s="29">
        <v>-1529.8167048177409</v>
      </c>
      <c r="V1276" s="29">
        <v>4486.8711273567787</v>
      </c>
      <c r="W1276" s="29">
        <v>4253.5270006786814</v>
      </c>
      <c r="X1276" s="4">
        <v>-0.32390219083772698</v>
      </c>
      <c r="Y1276" s="4">
        <v>-0.12120104333837643</v>
      </c>
      <c r="Z1276" s="4">
        <v>-9.2044581254328347E-3</v>
      </c>
      <c r="AA1276" s="3">
        <f t="shared" si="415"/>
        <v>0.34595815380645845</v>
      </c>
      <c r="AB1276" s="3">
        <f t="shared" si="418"/>
        <v>1.0672563646505293E-3</v>
      </c>
      <c r="AC1276" s="3">
        <f t="shared" si="416"/>
        <v>1.3770511244996585E-2</v>
      </c>
      <c r="AD1276" s="48"/>
      <c r="AE1276" s="46">
        <f t="shared" si="411"/>
        <v>42.092146802329864</v>
      </c>
      <c r="AF1276" s="46">
        <f t="shared" si="412"/>
        <v>-248.53980413714163</v>
      </c>
      <c r="AG1276" s="47">
        <f t="shared" si="413"/>
        <v>483.07806204138615</v>
      </c>
      <c r="AH1276" s="45" t="str">
        <f t="shared" si="417"/>
        <v>-248.53980,42.09215,00483</v>
      </c>
      <c r="AI1276" s="44">
        <f t="shared" si="419"/>
        <v>1021.3999722453292</v>
      </c>
    </row>
    <row r="1277" spans="1:35" ht="18" customHeight="1" x14ac:dyDescent="0.25">
      <c r="A1277" s="36">
        <f t="shared" si="414"/>
        <v>0.75424774305555553</v>
      </c>
      <c r="B1277" s="42">
        <f t="shared" si="399"/>
        <v>42.092146800721189</v>
      </c>
      <c r="C1277" s="43">
        <f t="shared" si="400"/>
        <v>111.46019456921171</v>
      </c>
      <c r="D1277" s="18">
        <f t="shared" si="401"/>
        <v>0.46931536021747888</v>
      </c>
      <c r="E1277" s="21" t="str">
        <f t="shared" si="402"/>
        <v>Umbra</v>
      </c>
      <c r="F1277" s="23">
        <f>IF($E1277&lt;&gt;"Umbra",fracil2($S$2,$S$3,$S$4,$A1277,$Q$2,$O$3,$Q$4,$U1277,$V1277,$W1277),0)</f>
        <v>0</v>
      </c>
      <c r="G1277" s="19">
        <f t="shared" si="403"/>
        <v>69.302285996402475</v>
      </c>
      <c r="H1277" s="19">
        <f t="shared" si="404"/>
        <v>-4.8247709918440602</v>
      </c>
      <c r="I1277" s="19">
        <f t="shared" si="405"/>
        <v>-3.6167530424491652</v>
      </c>
      <c r="J1277" s="28">
        <f t="shared" si="406"/>
        <v>4.6572191314778648E-3</v>
      </c>
      <c r="K1277" s="24">
        <f t="shared" si="407"/>
        <v>1047.8408435976985</v>
      </c>
      <c r="L1277" s="32">
        <f t="shared" si="408"/>
        <v>0.56619532958058061</v>
      </c>
      <c r="M1277" s="35">
        <f t="shared" si="409"/>
        <v>12.814303522517079</v>
      </c>
      <c r="O1277" s="29">
        <f t="shared" si="410"/>
        <v>1046.5868276217857</v>
      </c>
      <c r="T1277" s="48">
        <v>0.75424774305555553</v>
      </c>
      <c r="U1277" s="29">
        <v>-1530.1414723465477</v>
      </c>
      <c r="V1277" s="29">
        <v>4486.7495931437907</v>
      </c>
      <c r="W1277" s="29">
        <v>4253.5177750637049</v>
      </c>
      <c r="X1277" s="4">
        <v>-0.32389513825182181</v>
      </c>
      <c r="Y1277" s="4">
        <v>-0.12121709936191598</v>
      </c>
      <c r="Z1277" s="4">
        <v>-9.1974095860603913E-3</v>
      </c>
      <c r="AA1277" s="3">
        <f t="shared" si="415"/>
        <v>0.34595698880637915</v>
      </c>
      <c r="AB1277" s="3">
        <f t="shared" si="418"/>
        <v>1.0660510871879688E-3</v>
      </c>
      <c r="AC1277" s="3">
        <f t="shared" si="416"/>
        <v>1.3760026186944781E-2</v>
      </c>
      <c r="AD1277" s="48"/>
      <c r="AE1277" s="46">
        <f t="shared" si="411"/>
        <v>42.092146800721189</v>
      </c>
      <c r="AF1277" s="46">
        <f t="shared" si="412"/>
        <v>-248.53980543078831</v>
      </c>
      <c r="AG1277" s="47">
        <f t="shared" si="413"/>
        <v>469.31536021747888</v>
      </c>
      <c r="AH1277" s="45" t="str">
        <f t="shared" si="417"/>
        <v>-248.53981,42.09215,00469</v>
      </c>
      <c r="AI1277" s="44">
        <f t="shared" si="419"/>
        <v>1021.4000671806272</v>
      </c>
    </row>
    <row r="1278" spans="1:35" ht="18" customHeight="1" x14ac:dyDescent="0.25">
      <c r="A1278" s="36">
        <f t="shared" si="414"/>
        <v>0.75425932870370371</v>
      </c>
      <c r="B1278" s="42">
        <f t="shared" si="399"/>
        <v>42.092146799117593</v>
      </c>
      <c r="C1278" s="43">
        <f t="shared" si="400"/>
        <v>111.46019322392119</v>
      </c>
      <c r="D1278" s="18">
        <f t="shared" si="401"/>
        <v>0.4555907875601406</v>
      </c>
      <c r="E1278" s="21" t="str">
        <f t="shared" si="402"/>
        <v>Umbra</v>
      </c>
      <c r="F1278" s="23">
        <f>IF($E1278&lt;&gt;"Umbra",fracil2($S$2,$S$3,$S$4,$A1278,$Q$2,$O$3,$Q$4,$U1278,$V1278,$W1278),0)</f>
        <v>0</v>
      </c>
      <c r="G1278" s="19">
        <f t="shared" si="403"/>
        <v>69.302287088181416</v>
      </c>
      <c r="H1278" s="19">
        <f t="shared" si="404"/>
        <v>-4.8255184952959329</v>
      </c>
      <c r="I1278" s="19">
        <f t="shared" si="405"/>
        <v>-3.6175005459010379</v>
      </c>
      <c r="J1278" s="28">
        <f t="shared" si="406"/>
        <v>4.6567649005332E-3</v>
      </c>
      <c r="K1278" s="24">
        <f t="shared" si="407"/>
        <v>1047.8396220208717</v>
      </c>
      <c r="L1278" s="32">
        <f t="shared" si="408"/>
        <v>0.56620853195714294</v>
      </c>
      <c r="M1278" s="35">
        <f t="shared" si="409"/>
        <v>12.813798965572383</v>
      </c>
      <c r="O1278" s="29">
        <f t="shared" si="410"/>
        <v>1046.5867194158523</v>
      </c>
      <c r="T1278" s="48">
        <v>0.75425932870370371</v>
      </c>
      <c r="U1278" s="29">
        <v>-1530.4655810320171</v>
      </c>
      <c r="V1278" s="29">
        <v>4486.6282867910977</v>
      </c>
      <c r="W1278" s="29">
        <v>4253.5085750080807</v>
      </c>
      <c r="X1278" s="4">
        <v>-0.32388809834451809</v>
      </c>
      <c r="Y1278" s="4">
        <v>-0.12123312707995268</v>
      </c>
      <c r="Z1278" s="4">
        <v>-9.1903791212447176E-3</v>
      </c>
      <c r="AA1278" s="3">
        <f t="shared" si="415"/>
        <v>0.34595582726585833</v>
      </c>
      <c r="AB1278" s="3">
        <f t="shared" si="418"/>
        <v>1.065437317364339E-3</v>
      </c>
      <c r="AC1278" s="3">
        <f t="shared" si="416"/>
        <v>1.3749568060932341E-2</v>
      </c>
      <c r="AD1278" s="48"/>
      <c r="AE1278" s="46">
        <f t="shared" si="411"/>
        <v>42.092146799117593</v>
      </c>
      <c r="AF1278" s="46">
        <f t="shared" si="412"/>
        <v>-248.53980677607882</v>
      </c>
      <c r="AG1278" s="47">
        <f t="shared" si="413"/>
        <v>455.5907875601406</v>
      </c>
      <c r="AH1278" s="45" t="str">
        <f t="shared" si="417"/>
        <v>-248.53981,42.09215,00456</v>
      </c>
      <c r="AI1278" s="44">
        <f t="shared" si="419"/>
        <v>1021.4000671806272</v>
      </c>
    </row>
    <row r="1279" spans="1:35" ht="18" customHeight="1" x14ac:dyDescent="0.25">
      <c r="A1279" s="36">
        <f t="shared" si="414"/>
        <v>0.75427083333333333</v>
      </c>
      <c r="B1279" s="42">
        <f t="shared" si="399"/>
        <v>42.092146797525629</v>
      </c>
      <c r="C1279" s="43">
        <f t="shared" si="400"/>
        <v>111.46019603058957</v>
      </c>
      <c r="D1279" s="18">
        <f t="shared" si="401"/>
        <v>0.44195898991893046</v>
      </c>
      <c r="E1279" s="21" t="str">
        <f t="shared" si="402"/>
        <v>Umbra</v>
      </c>
      <c r="F1279" s="23">
        <f>IF($E1279&lt;&gt;"Umbra",fracil2($S$2,$S$3,$S$4,$A1279,$Q$2,$O$3,$Q$4,$U1279,$V1279,$W1279),0)</f>
        <v>0</v>
      </c>
      <c r="G1279" s="19">
        <f t="shared" si="403"/>
        <v>69.302292388570081</v>
      </c>
      <c r="H1279" s="19">
        <f t="shared" si="404"/>
        <v>-4.8262624153549929</v>
      </c>
      <c r="I1279" s="19">
        <f t="shared" si="405"/>
        <v>-3.6182444659600979</v>
      </c>
      <c r="J1279" s="28">
        <f t="shared" si="406"/>
        <v>4.65631353875699E-3</v>
      </c>
      <c r="K1279" s="24">
        <f t="shared" si="407"/>
        <v>1047.8387418443745</v>
      </c>
      <c r="L1279" s="32">
        <f t="shared" si="408"/>
        <v>0.56622163747191812</v>
      </c>
      <c r="M1279" s="35">
        <f t="shared" si="409"/>
        <v>12.813293713244049</v>
      </c>
      <c r="O1279" s="29">
        <f t="shared" si="410"/>
        <v>1046.5869450414784</v>
      </c>
      <c r="T1279" s="48">
        <v>0.75427083333333333</v>
      </c>
      <c r="U1279" s="29">
        <v>-1530.7877373797</v>
      </c>
      <c r="V1279" s="29">
        <v>4486.5076926436195</v>
      </c>
      <c r="W1279" s="29">
        <v>4253.4994371428238</v>
      </c>
      <c r="X1279" s="4">
        <v>-0.32388109926936925</v>
      </c>
      <c r="Y1279" s="4">
        <v>-0.12124906235932716</v>
      </c>
      <c r="Z1279" s="4">
        <v>-9.1833946327852418E-3</v>
      </c>
      <c r="AA1279" s="3">
        <f t="shared" si="415"/>
        <v>0.34595467379980938</v>
      </c>
      <c r="AB1279" s="3">
        <f t="shared" si="418"/>
        <v>1.0659192073073859E-3</v>
      </c>
      <c r="AC1279" s="3">
        <f t="shared" si="416"/>
        <v>1.3739178371607973E-2</v>
      </c>
      <c r="AD1279" s="48"/>
      <c r="AE1279" s="46">
        <f t="shared" si="411"/>
        <v>42.092146797525629</v>
      </c>
      <c r="AF1279" s="46">
        <f t="shared" si="412"/>
        <v>-248.53980396941043</v>
      </c>
      <c r="AG1279" s="47">
        <f t="shared" si="413"/>
        <v>441.95898991893046</v>
      </c>
      <c r="AH1279" s="45" t="str">
        <f t="shared" si="417"/>
        <v>-248.53980,42.09215,00442</v>
      </c>
      <c r="AI1279" s="44">
        <f t="shared" si="419"/>
        <v>1021.4002794624072</v>
      </c>
    </row>
    <row r="1280" spans="1:35" ht="18" customHeight="1" x14ac:dyDescent="0.25">
      <c r="A1280" s="36">
        <f t="shared" si="414"/>
        <v>0.75428244212962969</v>
      </c>
      <c r="B1280" s="42">
        <f t="shared" si="399"/>
        <v>42.092146795921956</v>
      </c>
      <c r="C1280" s="43">
        <f t="shared" si="400"/>
        <v>111.46019690968456</v>
      </c>
      <c r="D1280" s="18">
        <f t="shared" si="401"/>
        <v>0.42822066243206791</v>
      </c>
      <c r="E1280" s="21" t="str">
        <f t="shared" si="402"/>
        <v>Umbra</v>
      </c>
      <c r="F1280" s="23">
        <f>IF($E1280&lt;&gt;"Umbra",fracil2($S$2,$S$3,$S$4,$A1280,$Q$2,$O$3,$Q$4,$U1280,$V1280,$W1280),0)</f>
        <v>0</v>
      </c>
      <c r="G1280" s="19">
        <f t="shared" si="403"/>
        <v>69.302295746471316</v>
      </c>
      <c r="H1280" s="19">
        <f t="shared" si="404"/>
        <v>-4.8270114596593059</v>
      </c>
      <c r="I1280" s="19">
        <f t="shared" si="405"/>
        <v>-3.6189935102644109</v>
      </c>
      <c r="J1280" s="28">
        <f t="shared" si="406"/>
        <v>4.6558589008823632E-3</v>
      </c>
      <c r="K1280" s="24">
        <f t="shared" si="407"/>
        <v>1047.8376982838222</v>
      </c>
      <c r="L1280" s="32">
        <f t="shared" si="408"/>
        <v>0.56623486201217421</v>
      </c>
      <c r="M1280" s="35">
        <f t="shared" si="409"/>
        <v>12.812786436480561</v>
      </c>
      <c r="O1280" s="29">
        <f t="shared" si="410"/>
        <v>1046.5870156835306</v>
      </c>
      <c r="T1280" s="48">
        <v>0.75428244212962969</v>
      </c>
      <c r="U1280" s="29">
        <v>-1531.1126521919023</v>
      </c>
      <c r="V1280" s="29">
        <v>4486.3860472086899</v>
      </c>
      <c r="W1280" s="29">
        <v>4253.4902278669888</v>
      </c>
      <c r="X1280" s="4">
        <v>-0.32387403719027286</v>
      </c>
      <c r="Y1280" s="4">
        <v>-0.12126514258304931</v>
      </c>
      <c r="Z1280" s="4">
        <v>-9.1763581542235843E-3</v>
      </c>
      <c r="AA1280" s="3">
        <f t="shared" si="415"/>
        <v>0.34595351179109041</v>
      </c>
      <c r="AB1280" s="3">
        <f t="shared" si="418"/>
        <v>1.0642131546953536E-3</v>
      </c>
      <c r="AC1280" s="3">
        <f t="shared" si="416"/>
        <v>1.3728711390390389E-2</v>
      </c>
      <c r="AD1280" s="48"/>
      <c r="AE1280" s="46">
        <f t="shared" si="411"/>
        <v>42.092146795921956</v>
      </c>
      <c r="AF1280" s="46">
        <f t="shared" si="412"/>
        <v>-248.53980309031544</v>
      </c>
      <c r="AG1280" s="47">
        <f t="shared" si="413"/>
        <v>428.22066243206791</v>
      </c>
      <c r="AH1280" s="45" t="str">
        <f t="shared" si="417"/>
        <v>-248.53980,42.09215,00428</v>
      </c>
      <c r="AI1280" s="44">
        <f t="shared" si="419"/>
        <v>1021.4002794624072</v>
      </c>
    </row>
    <row r="1281" spans="1:35" ht="18" customHeight="1" x14ac:dyDescent="0.25">
      <c r="A1281" s="36">
        <f t="shared" si="414"/>
        <v>0.7542940393518518</v>
      </c>
      <c r="B1281" s="42">
        <f t="shared" si="399"/>
        <v>42.092146794323213</v>
      </c>
      <c r="C1281" s="43">
        <f t="shared" si="400"/>
        <v>111.46019424102595</v>
      </c>
      <c r="D1281" s="18">
        <f t="shared" si="401"/>
        <v>0.41451815654545499</v>
      </c>
      <c r="E1281" s="21" t="str">
        <f t="shared" si="402"/>
        <v>Umbra</v>
      </c>
      <c r="F1281" s="23">
        <f>IF($E1281&lt;&gt;"Umbra",fracil2($S$2,$S$3,$S$4,$A1281,$Q$2,$O$3,$Q$4,$U1281,$V1281,$W1281),0)</f>
        <v>0</v>
      </c>
      <c r="G1281" s="19">
        <f t="shared" si="403"/>
        <v>69.302295487588921</v>
      </c>
      <c r="H1281" s="19">
        <f t="shared" si="404"/>
        <v>-4.827757296612047</v>
      </c>
      <c r="I1281" s="19">
        <f t="shared" si="405"/>
        <v>-3.619739347217152</v>
      </c>
      <c r="J1281" s="28">
        <f t="shared" si="406"/>
        <v>4.6554055221745966E-3</v>
      </c>
      <c r="K1281" s="24">
        <f t="shared" si="407"/>
        <v>1047.8363726711289</v>
      </c>
      <c r="L1281" s="32">
        <f t="shared" si="408"/>
        <v>0.5662480750174762</v>
      </c>
      <c r="M1281" s="35">
        <f t="shared" si="409"/>
        <v>12.812283985625312</v>
      </c>
      <c r="O1281" s="29">
        <f t="shared" si="410"/>
        <v>1046.5868010745269</v>
      </c>
      <c r="T1281" s="48">
        <v>0.7542940393518518</v>
      </c>
      <c r="U1281" s="29">
        <v>-1531.4369610526544</v>
      </c>
      <c r="V1281" s="29">
        <v>4486.2646099029243</v>
      </c>
      <c r="W1281" s="29">
        <v>4253.4810426036738</v>
      </c>
      <c r="X1281" s="4">
        <v>-0.32386698642150369</v>
      </c>
      <c r="Y1281" s="4">
        <v>-0.12128119774800987</v>
      </c>
      <c r="Z1281" s="4">
        <v>-9.1693392072938942E-3</v>
      </c>
      <c r="AA1281" s="3">
        <f t="shared" si="415"/>
        <v>0.34595235308122524</v>
      </c>
      <c r="AB1281" s="3">
        <f t="shared" si="418"/>
        <v>1.0626164509458555E-3</v>
      </c>
      <c r="AC1281" s="3">
        <f t="shared" si="416"/>
        <v>1.3718270533438685E-2</v>
      </c>
      <c r="AD1281" s="48"/>
      <c r="AE1281" s="46">
        <f t="shared" si="411"/>
        <v>42.092146794323213</v>
      </c>
      <c r="AF1281" s="46">
        <f t="shared" si="412"/>
        <v>-248.53980575897407</v>
      </c>
      <c r="AG1281" s="47">
        <f t="shared" si="413"/>
        <v>414.51815654545499</v>
      </c>
      <c r="AH1281" s="45" t="str">
        <f t="shared" si="417"/>
        <v>-248.53981,42.09215,00415</v>
      </c>
      <c r="AI1281" s="44">
        <f t="shared" si="419"/>
        <v>1021.4005120054458</v>
      </c>
    </row>
    <row r="1282" spans="1:35" ht="18" customHeight="1" x14ac:dyDescent="0.25">
      <c r="A1282" s="36">
        <f t="shared" si="414"/>
        <v>0.75430554398148153</v>
      </c>
      <c r="B1282" s="42">
        <f t="shared" si="399"/>
        <v>42.092146792737005</v>
      </c>
      <c r="C1282" s="43">
        <f t="shared" si="400"/>
        <v>111.46019715017434</v>
      </c>
      <c r="D1282" s="18">
        <f t="shared" si="401"/>
        <v>0.40091723029127024</v>
      </c>
      <c r="E1282" s="21" t="str">
        <f t="shared" si="402"/>
        <v>Umbra</v>
      </c>
      <c r="F1282" s="23">
        <f>IF($E1282&lt;&gt;"Umbra",fracil2($S$2,$S$3,$S$4,$A1282,$Q$2,$O$3,$Q$4,$U1282,$V1282,$W1282),0)</f>
        <v>0</v>
      </c>
      <c r="G1282" s="19">
        <f t="shared" si="403"/>
        <v>69.302300886747418</v>
      </c>
      <c r="H1282" s="19">
        <f t="shared" si="404"/>
        <v>-4.8284995746565853</v>
      </c>
      <c r="I1282" s="19">
        <f t="shared" si="405"/>
        <v>-3.6204816252616903</v>
      </c>
      <c r="J1282" s="28">
        <f t="shared" si="406"/>
        <v>4.6549553161028823E-3</v>
      </c>
      <c r="K1282" s="24">
        <f t="shared" si="407"/>
        <v>1047.8355037638194</v>
      </c>
      <c r="L1282" s="32">
        <f t="shared" si="408"/>
        <v>0.56626117684863619</v>
      </c>
      <c r="M1282" s="35">
        <f t="shared" si="409"/>
        <v>12.811779753408358</v>
      </c>
      <c r="O1282" s="29">
        <f t="shared" si="410"/>
        <v>1046.587034940045</v>
      </c>
      <c r="T1282" s="48">
        <v>0.75430554398148153</v>
      </c>
      <c r="U1282" s="29">
        <v>-1531.7591043519333</v>
      </c>
      <c r="V1282" s="29">
        <v>4486.1439649538797</v>
      </c>
      <c r="W1282" s="29">
        <v>4253.4719254327538</v>
      </c>
      <c r="X1282" s="4">
        <v>-0.32385998086398993</v>
      </c>
      <c r="Y1282" s="4">
        <v>-0.1212971506652588</v>
      </c>
      <c r="Z1282" s="4">
        <v>-9.1623715701093424E-3</v>
      </c>
      <c r="AA1282" s="3">
        <f t="shared" si="415"/>
        <v>0.34595120323178985</v>
      </c>
      <c r="AB1282" s="3">
        <f t="shared" si="418"/>
        <v>1.0633336486888115E-3</v>
      </c>
      <c r="AC1282" s="3">
        <f t="shared" si="416"/>
        <v>1.3707906045978104E-2</v>
      </c>
      <c r="AD1282" s="48"/>
      <c r="AE1282" s="46">
        <f t="shared" si="411"/>
        <v>42.092146792737005</v>
      </c>
      <c r="AF1282" s="46">
        <f t="shared" si="412"/>
        <v>-248.53980284982566</v>
      </c>
      <c r="AG1282" s="47">
        <f t="shared" si="413"/>
        <v>400.91723029127024</v>
      </c>
      <c r="AH1282" s="45" t="str">
        <f t="shared" si="417"/>
        <v>-248.53980,42.09215,00401</v>
      </c>
      <c r="AI1282" s="44">
        <f t="shared" si="419"/>
        <v>1021.4007805230173</v>
      </c>
    </row>
    <row r="1283" spans="1:35" ht="18" customHeight="1" x14ac:dyDescent="0.25">
      <c r="A1283" s="36">
        <f t="shared" si="414"/>
        <v>0.7543171296296296</v>
      </c>
      <c r="B1283" s="42">
        <f t="shared" si="399"/>
        <v>42.092146791142603</v>
      </c>
      <c r="C1283" s="43">
        <f t="shared" si="400"/>
        <v>111.46019714179116</v>
      </c>
      <c r="D1283" s="18">
        <f t="shared" si="401"/>
        <v>0.38724057174840709</v>
      </c>
      <c r="E1283" s="21" t="str">
        <f t="shared" si="402"/>
        <v>Umbra</v>
      </c>
      <c r="F1283" s="23">
        <f>IF($E1283&lt;&gt;"Umbra",fracil2($S$2,$S$3,$S$4,$A1283,$Q$2,$O$3,$Q$4,$U1283,$V1283,$W1283),0)</f>
        <v>0</v>
      </c>
      <c r="G1283" s="19">
        <f t="shared" si="403"/>
        <v>69.302303330469471</v>
      </c>
      <c r="H1283" s="19">
        <f t="shared" si="404"/>
        <v>-4.8292449483122963</v>
      </c>
      <c r="I1283" s="19">
        <f t="shared" si="405"/>
        <v>-3.6212269989174013</v>
      </c>
      <c r="J1283" s="28">
        <f t="shared" si="406"/>
        <v>4.6545026722353564E-3</v>
      </c>
      <c r="K1283" s="24">
        <f t="shared" si="407"/>
        <v>1047.8343944091735</v>
      </c>
      <c r="L1283" s="32">
        <f t="shared" si="408"/>
        <v>0.56627437211450915</v>
      </c>
      <c r="M1283" s="35">
        <f t="shared" si="409"/>
        <v>12.811275611318564</v>
      </c>
      <c r="O1283" s="29">
        <f t="shared" si="410"/>
        <v>1046.5870342261212</v>
      </c>
      <c r="T1283" s="48">
        <v>0.7543171296296296</v>
      </c>
      <c r="U1283" s="29">
        <v>-1532.0832814949108</v>
      </c>
      <c r="V1283" s="29">
        <v>4486.0225396593814</v>
      </c>
      <c r="W1283" s="29">
        <v>4253.4627574959168</v>
      </c>
      <c r="X1283" s="4">
        <v>-0.32385292915302971</v>
      </c>
      <c r="Y1283" s="4">
        <v>-0.12131320941124447</v>
      </c>
      <c r="Z1283" s="4">
        <v>-9.1553645257715956E-3</v>
      </c>
      <c r="AA1283" s="3">
        <f t="shared" si="415"/>
        <v>0.34595004725863748</v>
      </c>
      <c r="AB1283" s="3">
        <f t="shared" si="418"/>
        <v>1.0618650196433477E-3</v>
      </c>
      <c r="AC1283" s="3">
        <f t="shared" si="416"/>
        <v>1.3697482984947168E-2</v>
      </c>
      <c r="AD1283" s="48"/>
      <c r="AE1283" s="46">
        <f t="shared" si="411"/>
        <v>42.092146791142603</v>
      </c>
      <c r="AF1283" s="46">
        <f t="shared" si="412"/>
        <v>-248.53980285820884</v>
      </c>
      <c r="AG1283" s="47">
        <f t="shared" si="413"/>
        <v>387.24057174840709</v>
      </c>
      <c r="AH1283" s="45" t="str">
        <f t="shared" si="417"/>
        <v>-248.53980,42.09215,00387</v>
      </c>
      <c r="AI1283" s="44">
        <f t="shared" si="419"/>
        <v>1021.4007805230173</v>
      </c>
    </row>
    <row r="1284" spans="1:35" ht="18" customHeight="1" x14ac:dyDescent="0.25">
      <c r="A1284" s="36">
        <f t="shared" si="414"/>
        <v>0.75432870370370375</v>
      </c>
      <c r="B1284" s="42">
        <f t="shared" si="399"/>
        <v>42.092146789552359</v>
      </c>
      <c r="C1284" s="43">
        <f t="shared" si="400"/>
        <v>111.46019562488183</v>
      </c>
      <c r="D1284" s="18">
        <f t="shared" si="401"/>
        <v>0.37359294838915957</v>
      </c>
      <c r="E1284" s="21" t="str">
        <f t="shared" si="402"/>
        <v>Umbra</v>
      </c>
      <c r="F1284" s="23">
        <f>IF($E1284&lt;&gt;"Umbra",fracil2($S$2,$S$3,$S$4,$A1284,$Q$2,$O$3,$Q$4,$U1284,$V1284,$W1284),0)</f>
        <v>0</v>
      </c>
      <c r="G1284" s="19">
        <f t="shared" si="403"/>
        <v>69.302304233842705</v>
      </c>
      <c r="H1284" s="19">
        <f t="shared" si="404"/>
        <v>-4.8299882070833871</v>
      </c>
      <c r="I1284" s="19">
        <f t="shared" si="405"/>
        <v>-3.621970257688492</v>
      </c>
      <c r="J1284" s="28">
        <f t="shared" si="406"/>
        <v>4.6540509218319448E-3</v>
      </c>
      <c r="K1284" s="24">
        <f t="shared" si="407"/>
        <v>1047.8331663441038</v>
      </c>
      <c r="L1284" s="32">
        <f t="shared" si="408"/>
        <v>0.56628755421298671</v>
      </c>
      <c r="M1284" s="35">
        <f t="shared" si="409"/>
        <v>12.810774026649883</v>
      </c>
      <c r="O1284" s="29">
        <f t="shared" si="410"/>
        <v>1046.586912221801</v>
      </c>
      <c r="T1284" s="48">
        <v>0.75432870370370375</v>
      </c>
      <c r="U1284" s="29">
        <v>-1532.4070108124902</v>
      </c>
      <c r="V1284" s="29">
        <v>4485.901263421867</v>
      </c>
      <c r="W1284" s="29">
        <v>4253.4536090224301</v>
      </c>
      <c r="X1284" s="4">
        <v>-0.32384588576973189</v>
      </c>
      <c r="Y1284" s="4">
        <v>-0.12132924958308881</v>
      </c>
      <c r="Z1284" s="4">
        <v>-9.1483703115546999E-3</v>
      </c>
      <c r="AA1284" s="3">
        <f t="shared" si="415"/>
        <v>0.34594889393338868</v>
      </c>
      <c r="AB1284" s="3">
        <f t="shared" si="418"/>
        <v>1.0609760039556328E-3</v>
      </c>
      <c r="AC1284" s="3">
        <f t="shared" si="416"/>
        <v>1.3687079054252311E-2</v>
      </c>
      <c r="AD1284" s="48"/>
      <c r="AE1284" s="46">
        <f t="shared" si="411"/>
        <v>42.092146789552359</v>
      </c>
      <c r="AF1284" s="46">
        <f t="shared" si="412"/>
        <v>-248.53980437511817</v>
      </c>
      <c r="AG1284" s="47">
        <f t="shared" si="413"/>
        <v>373.59294838915957</v>
      </c>
      <c r="AH1284" s="45" t="str">
        <f t="shared" si="417"/>
        <v>-248.53980,42.09215,00374</v>
      </c>
      <c r="AI1284" s="44">
        <f t="shared" si="419"/>
        <v>1021.4009147818023</v>
      </c>
    </row>
    <row r="1285" spans="1:35" ht="18" customHeight="1" x14ac:dyDescent="0.25">
      <c r="A1285" s="36">
        <f t="shared" si="414"/>
        <v>0.75434030092592597</v>
      </c>
      <c r="B1285" s="42">
        <f t="shared" si="399"/>
        <v>42.092146787960623</v>
      </c>
      <c r="C1285" s="43">
        <f t="shared" si="400"/>
        <v>111.46019479931289</v>
      </c>
      <c r="D1285" s="18">
        <f t="shared" si="401"/>
        <v>0.35992621997047536</v>
      </c>
      <c r="E1285" s="21" t="str">
        <f t="shared" si="402"/>
        <v>Umbra</v>
      </c>
      <c r="F1285" s="23">
        <f>IF($E1285&lt;&gt;"Umbra",fracil2($S$2,$S$3,$S$4,$A1285,$Q$2,$O$3,$Q$4,$U1285,$V1285,$W1285),0)</f>
        <v>0</v>
      </c>
      <c r="G1285" s="19">
        <f t="shared" si="403"/>
        <v>69.302305844189135</v>
      </c>
      <c r="H1285" s="19">
        <f t="shared" si="404"/>
        <v>-4.8307327535346607</v>
      </c>
      <c r="I1285" s="19">
        <f t="shared" si="405"/>
        <v>-3.6227148041397657</v>
      </c>
      <c r="J1285" s="28">
        <f t="shared" si="406"/>
        <v>4.6535986357807268E-3</v>
      </c>
      <c r="K1285" s="24">
        <f t="shared" si="407"/>
        <v>1047.8319924710693</v>
      </c>
      <c r="L1285" s="32">
        <f t="shared" si="408"/>
        <v>0.56630076090827941</v>
      </c>
      <c r="M1285" s="35">
        <f t="shared" si="409"/>
        <v>12.810271047883377</v>
      </c>
      <c r="O1285" s="29">
        <f t="shared" si="410"/>
        <v>1046.5868458035065</v>
      </c>
      <c r="T1285" s="48">
        <v>0.75434030092592597</v>
      </c>
      <c r="U1285" s="29">
        <v>-1532.7314343488833</v>
      </c>
      <c r="V1285" s="29">
        <v>4485.7797083783817</v>
      </c>
      <c r="W1285" s="29">
        <v>4253.4444477422248</v>
      </c>
      <c r="X1285" s="4">
        <v>-0.32383882461838426</v>
      </c>
      <c r="Y1285" s="4">
        <v>-0.12134533141906476</v>
      </c>
      <c r="Z1285" s="4">
        <v>-9.1413677392801918E-3</v>
      </c>
      <c r="AA1285" s="3">
        <f t="shared" si="415"/>
        <v>0.3459477393936316</v>
      </c>
      <c r="AB1285" s="3">
        <f t="shared" si="418"/>
        <v>1.0601189829949388E-3</v>
      </c>
      <c r="AC1285" s="3">
        <f t="shared" si="416"/>
        <v>1.3676662736451574E-2</v>
      </c>
      <c r="AD1285" s="48"/>
      <c r="AE1285" s="46">
        <f t="shared" si="411"/>
        <v>42.092146787960623</v>
      </c>
      <c r="AF1285" s="46">
        <f t="shared" si="412"/>
        <v>-248.53980520068711</v>
      </c>
      <c r="AG1285" s="47">
        <f t="shared" si="413"/>
        <v>359.92621997047536</v>
      </c>
      <c r="AH1285" s="45" t="str">
        <f t="shared" si="417"/>
        <v>-248.53981,42.09215,00360</v>
      </c>
      <c r="AI1285" s="44">
        <f t="shared" si="419"/>
        <v>1021.4009147818023</v>
      </c>
    </row>
    <row r="1286" spans="1:35" ht="18" customHeight="1" x14ac:dyDescent="0.25">
      <c r="A1286" s="36">
        <f t="shared" si="414"/>
        <v>0.75435188657407404</v>
      </c>
      <c r="B1286" s="42">
        <f t="shared" ref="B1286:B1312" si="420">latitude($U1286,$V1286,$W1286)</f>
        <v>42.092146786371764</v>
      </c>
      <c r="C1286" s="43">
        <f t="shared" ref="C1286:C1312" si="421">longitude($S$2,$S$3,$S$4,$A1286,$U1286,$V1286)</f>
        <v>111.46019549223534</v>
      </c>
      <c r="D1286" s="18">
        <f t="shared" ref="D1286:D1312" si="422">altitude($U1286,$V1286,$W1286)</f>
        <v>0.34627862750494387</v>
      </c>
      <c r="E1286" s="21" t="str">
        <f t="shared" ref="E1286:E1312" si="423">illum2($S$2,$S$3,$S$4,$A1286,$U1286,$V1286,$W1286)</f>
        <v>Umbra</v>
      </c>
      <c r="F1286" s="23">
        <f>IF($E1286&lt;&gt;"Umbra",fracil2($S$2,$S$3,$S$4,$A1286,$Q$2,$O$3,$Q$4,$U1286,$V1286,$W1286),0)</f>
        <v>0</v>
      </c>
      <c r="G1286" s="19">
        <f t="shared" ref="G1286:G1312" si="424">azimuth($S$2,$S$3,$S$4,$A1286,$Q$2,$O$3,$Q$4,$U1286,$V1286,$W1286)</f>
        <v>69.302308996400839</v>
      </c>
      <c r="H1286" s="19">
        <f t="shared" ref="H1286:H1312" si="425">elev($S$2,$S$3,$S$4,$A1286,$Q$2,$O$3,$Q$4,$U1286,$V1286,$W1286)</f>
        <v>-4.8314767961364087</v>
      </c>
      <c r="I1286" s="19">
        <f t="shared" ref="I1286:I1312" si="426">elev($S$2,$S$3,$S$4,$A1286,$Q$2,$O$3,$Q$4,$U1286,$V1286,$W1286)+DEGREES(ACOS($Q$3/$Q$4))</f>
        <v>-3.6234588467415136</v>
      </c>
      <c r="J1286" s="28">
        <f t="shared" ref="J1286:J1312" si="427">vang($S$2,$S$3,$S$4,$A1286,$Q$2,$O$3,$Q$4,$U1286,$V1286,$W1286,$X1286,$Y1286,$Z1286)</f>
        <v>4.6531468397694115E-3</v>
      </c>
      <c r="K1286" s="24">
        <f t="shared" ref="K1286:K1312" si="428">slant_rng($S$2,$S$3,$S$4,$A1286,$Q$2,$O$3,$Q$4,$U1286,$V1286,$W1286)</f>
        <v>1047.830942367211</v>
      </c>
      <c r="L1286" s="32">
        <f t="shared" ref="L1286:L1312" si="429">radec2("ra",$S$2,$S$3,$S$4,$A1286,$Q$2,$O$3,$Q$4,$U1286,$V1286,$W1286)/24</f>
        <v>0.56631395199038914</v>
      </c>
      <c r="M1286" s="35">
        <f t="shared" ref="M1286:M1312" si="430">radec2("dec",$S$2,$S$3,$S$4,$A1286,$Q$2,$O$3,$Q$4,$U1286,$V1286,$W1286)</f>
        <v>12.809767266341341</v>
      </c>
      <c r="O1286" s="29">
        <f t="shared" ref="O1286:O1312" si="431">DEGREES(ACOS(SIN(RADIANS($B1286))*SIN(RADIANS($O$2))+COS(RADIANS($B1286))*COS(RADIANS($O$2))*COS(RADIANS($C1286-$O$3))))*111.2</f>
        <v>1046.5869014770278</v>
      </c>
      <c r="T1286" s="48">
        <v>0.75435188657407404</v>
      </c>
      <c r="U1286" s="29">
        <v>-1533.0556446784028</v>
      </c>
      <c r="V1286" s="29">
        <v>4485.6582144737667</v>
      </c>
      <c r="W1286" s="29">
        <v>4253.4352992895638</v>
      </c>
      <c r="X1286" s="4">
        <v>-0.32383176661772495</v>
      </c>
      <c r="Y1286" s="4">
        <v>-0.12136140650849658</v>
      </c>
      <c r="Z1286" s="4">
        <v>-9.1343731218427333E-3</v>
      </c>
      <c r="AA1286" s="3">
        <f t="shared" si="415"/>
        <v>0.34594658667604494</v>
      </c>
      <c r="AB1286" s="3">
        <f t="shared" si="418"/>
        <v>1.0599679126928672E-3</v>
      </c>
      <c r="AC1286" s="3">
        <f t="shared" si="416"/>
        <v>1.3666258297054425E-2</v>
      </c>
      <c r="AD1286" s="48"/>
      <c r="AE1286" s="46">
        <f t="shared" ref="AE1286:AE1312" si="432">$B1286</f>
        <v>42.092146786371764</v>
      </c>
      <c r="AF1286" s="46">
        <f t="shared" ref="AF1286:AF1312" si="433">$C1286-360</f>
        <v>-248.53980450776464</v>
      </c>
      <c r="AG1286" s="47">
        <f t="shared" ref="AG1286:AG1312" si="434">$D1286*1000</f>
        <v>346.27862750494387</v>
      </c>
      <c r="AH1286" s="45" t="str">
        <f t="shared" si="417"/>
        <v>-248.53980,42.09215,00346</v>
      </c>
      <c r="AI1286" s="44">
        <f t="shared" si="419"/>
        <v>1021.4009147818023</v>
      </c>
    </row>
    <row r="1287" spans="1:35" ht="18" customHeight="1" x14ac:dyDescent="0.25">
      <c r="A1287" s="36">
        <f t="shared" ref="A1287:A1312" si="435">$T1287+$S$5/86400</f>
        <v>0.75436343750000001</v>
      </c>
      <c r="B1287" s="42">
        <f t="shared" si="420"/>
        <v>42.092146784790224</v>
      </c>
      <c r="C1287" s="43">
        <f t="shared" si="421"/>
        <v>111.46019442976078</v>
      </c>
      <c r="D1287" s="18">
        <f t="shared" si="422"/>
        <v>0.33268804691215337</v>
      </c>
      <c r="E1287" s="21" t="str">
        <f t="shared" si="423"/>
        <v>Umbra</v>
      </c>
      <c r="F1287" s="23">
        <f>IF($E1287&lt;&gt;"Umbra",fracil2($S$2,$S$3,$S$4,$A1287,$Q$2,$O$3,$Q$4,$U1287,$V1287,$W1287),0)</f>
        <v>0</v>
      </c>
      <c r="G1287" s="19">
        <f t="shared" si="424"/>
        <v>69.302310352020427</v>
      </c>
      <c r="H1287" s="19">
        <f t="shared" si="425"/>
        <v>-4.832217111919527</v>
      </c>
      <c r="I1287" s="19">
        <f t="shared" si="426"/>
        <v>-3.6241991625246319</v>
      </c>
      <c r="J1287" s="28">
        <f t="shared" si="427"/>
        <v>4.6526969584556937E-3</v>
      </c>
      <c r="K1287" s="24">
        <f t="shared" si="428"/>
        <v>1047.8297559765258</v>
      </c>
      <c r="L1287" s="32">
        <f t="shared" si="429"/>
        <v>0.56632710375896089</v>
      </c>
      <c r="M1287" s="35">
        <f t="shared" si="430"/>
        <v>12.809267317727443</v>
      </c>
      <c r="O1287" s="29">
        <f t="shared" si="431"/>
        <v>1046.586816010986</v>
      </c>
      <c r="T1287" s="48">
        <v>0.75436343750000001</v>
      </c>
      <c r="U1287" s="29">
        <v>-1533.3787404253048</v>
      </c>
      <c r="V1287" s="29">
        <v>4485.5371195971629</v>
      </c>
      <c r="W1287" s="29">
        <v>4253.4261890539865</v>
      </c>
      <c r="X1287" s="4">
        <v>-0.32382473099405368</v>
      </c>
      <c r="Y1287" s="4">
        <v>-0.12137743131925724</v>
      </c>
      <c r="Z1287" s="4">
        <v>-9.1274070152418604E-3</v>
      </c>
      <c r="AA1287" s="3">
        <f t="shared" ref="AA1287:AA1312" si="436">SQRT($X1287*$X1287+$Y1287*$Y1287+$Z1287*$Z1287)</f>
        <v>0.34594543904473452</v>
      </c>
      <c r="AB1287" s="3">
        <f t="shared" si="418"/>
        <v>1.0588160170023793E-3</v>
      </c>
      <c r="AC1287" s="3">
        <f t="shared" ref="AC1287:AC1312" si="437">vrel($S$2,$S$3,$S$4,$A1287,$B1287,$C1287,$U1287,$V1287,$W1287,$X1287,$Y1287,$Z1287)</f>
        <v>1.3655896312691382E-2</v>
      </c>
      <c r="AD1287" s="48"/>
      <c r="AE1287" s="46">
        <f t="shared" si="432"/>
        <v>42.092146784790224</v>
      </c>
      <c r="AF1287" s="46">
        <f t="shared" si="433"/>
        <v>-248.53980557023922</v>
      </c>
      <c r="AG1287" s="47">
        <f t="shared" si="434"/>
        <v>332.68804691215337</v>
      </c>
      <c r="AH1287" s="45" t="str">
        <f t="shared" ref="AH1287:AH1312" si="438">CONCATENATE(TEXT($AF1287,"00.00000"),",",TEXT($AE1287,"00.00000"),",",TEXT($AG1287,"00000"))</f>
        <v>-248.53981,42.09215,00333</v>
      </c>
      <c r="AI1287" s="44">
        <f t="shared" si="419"/>
        <v>1021.4010097171002</v>
      </c>
    </row>
    <row r="1288" spans="1:35" ht="18" customHeight="1" x14ac:dyDescent="0.25">
      <c r="A1288" s="36">
        <f t="shared" si="435"/>
        <v>0.75437500000000002</v>
      </c>
      <c r="B1288" s="42">
        <f t="shared" si="420"/>
        <v>42.092146783207532</v>
      </c>
      <c r="C1288" s="43">
        <f t="shared" si="421"/>
        <v>111.46019712665843</v>
      </c>
      <c r="D1288" s="18">
        <f t="shared" si="422"/>
        <v>0.31908198347628058</v>
      </c>
      <c r="E1288" s="21" t="str">
        <f t="shared" si="423"/>
        <v>Umbra</v>
      </c>
      <c r="F1288" s="23">
        <f>IF($E1288&lt;&gt;"Umbra",fracil2($S$2,$S$3,$S$4,$A1288,$Q$2,$O$3,$Q$4,$U1288,$V1288,$W1288),0)</f>
        <v>0</v>
      </c>
      <c r="G1288" s="19">
        <f t="shared" si="424"/>
        <v>69.302315536138735</v>
      </c>
      <c r="H1288" s="19">
        <f t="shared" si="425"/>
        <v>-4.8329596032216386</v>
      </c>
      <c r="I1288" s="19">
        <f t="shared" si="426"/>
        <v>-3.6249416538267436</v>
      </c>
      <c r="J1288" s="28">
        <f t="shared" si="427"/>
        <v>4.6522464411214706E-3</v>
      </c>
      <c r="K1288" s="24">
        <f t="shared" si="428"/>
        <v>1047.8288706482797</v>
      </c>
      <c r="L1288" s="32">
        <f t="shared" si="429"/>
        <v>0.5663402644625104</v>
      </c>
      <c r="M1288" s="35">
        <f t="shared" si="430"/>
        <v>12.808763073230935</v>
      </c>
      <c r="O1288" s="29">
        <f t="shared" si="431"/>
        <v>1046.5870328109252</v>
      </c>
      <c r="T1288" s="48">
        <v>0.75437500000000002</v>
      </c>
      <c r="U1288" s="29">
        <v>-1533.7024443345833</v>
      </c>
      <c r="V1288" s="29">
        <v>4485.4157781087824</v>
      </c>
      <c r="W1288" s="29">
        <v>4253.4170684397795</v>
      </c>
      <c r="X1288" s="4">
        <v>-0.32381768018185242</v>
      </c>
      <c r="Y1288" s="4">
        <v>-0.12139349144329784</v>
      </c>
      <c r="Z1288" s="4">
        <v>-9.1204324181553154E-3</v>
      </c>
      <c r="AA1288" s="3">
        <f t="shared" si="436"/>
        <v>0.34594429038595886</v>
      </c>
      <c r="AB1288" s="3">
        <f t="shared" ref="AB1288:AB1312" si="439">-($AC1288-$AC1287)/(($A1288-$A1287)*86400)*1000/9.806</f>
        <v>1.0590407206262414E-3</v>
      </c>
      <c r="AC1288" s="3">
        <f t="shared" si="437"/>
        <v>1.3645521744338222E-2</v>
      </c>
      <c r="AD1288" s="48"/>
      <c r="AE1288" s="46">
        <f t="shared" si="432"/>
        <v>42.092146783207532</v>
      </c>
      <c r="AF1288" s="46">
        <f t="shared" si="433"/>
        <v>-248.53980287334156</v>
      </c>
      <c r="AG1288" s="47">
        <f t="shared" si="434"/>
        <v>319.08198347628058</v>
      </c>
      <c r="AH1288" s="45" t="str">
        <f t="shared" si="438"/>
        <v>-248.53980,42.09215,00319</v>
      </c>
      <c r="AI1288" s="44">
        <f t="shared" ref="AI1288:AI1312" si="440">IFERROR(ACOS(SIN(RADIANS($B1287))*SIN(RADIANS($B1288))+COS(RADIANS($B1287))*COS(RADIANS($B1288))*COS(RADIANS($C1287-$C1288)))*6371,0)+AI1287</f>
        <v>1021.4012422601388</v>
      </c>
    </row>
    <row r="1289" spans="1:35" ht="18" customHeight="1" x14ac:dyDescent="0.25">
      <c r="A1289" s="36">
        <f t="shared" si="435"/>
        <v>0.75438663194444444</v>
      </c>
      <c r="B1289" s="42">
        <f t="shared" si="420"/>
        <v>42.092146781619135</v>
      </c>
      <c r="C1289" s="43">
        <f t="shared" si="421"/>
        <v>111.46019548873724</v>
      </c>
      <c r="D1289" s="18">
        <f t="shared" si="422"/>
        <v>0.30541885068851116</v>
      </c>
      <c r="E1289" s="21" t="str">
        <f t="shared" si="423"/>
        <v>Umbra</v>
      </c>
      <c r="F1289" s="23">
        <f>IF($E1289&lt;&gt;"Umbra",fracil2($S$2,$S$3,$S$4,$A1289,$Q$2,$O$3,$Q$4,$U1289,$V1289,$W1289),0)</f>
        <v>0</v>
      </c>
      <c r="G1289" s="19">
        <f t="shared" si="424"/>
        <v>69.302316319177535</v>
      </c>
      <c r="H1289" s="19">
        <f t="shared" si="425"/>
        <v>-4.8337036727373341</v>
      </c>
      <c r="I1289" s="19">
        <f t="shared" si="426"/>
        <v>-3.6256857233424391</v>
      </c>
      <c r="J1289" s="28">
        <f t="shared" si="427"/>
        <v>4.651794096368362E-3</v>
      </c>
      <c r="K1289" s="24">
        <f t="shared" si="428"/>
        <v>1047.8276324842022</v>
      </c>
      <c r="L1289" s="32">
        <f t="shared" si="429"/>
        <v>0.56635350652478145</v>
      </c>
      <c r="M1289" s="35">
        <f t="shared" si="430"/>
        <v>12.808261008092032</v>
      </c>
      <c r="O1289" s="29">
        <f t="shared" si="431"/>
        <v>1046.5869010768938</v>
      </c>
      <c r="T1289" s="48">
        <v>0.75438663194444444</v>
      </c>
      <c r="U1289" s="29">
        <v>-1534.0277480906532</v>
      </c>
      <c r="V1289" s="29">
        <v>4485.2938180737765</v>
      </c>
      <c r="W1289" s="29">
        <v>4253.4079095700927</v>
      </c>
      <c r="X1289" s="4">
        <v>-0.32381059283629804</v>
      </c>
      <c r="Y1289" s="4">
        <v>-0.1214096353230817</v>
      </c>
      <c r="Z1289" s="4">
        <v>-9.113427236555947E-3</v>
      </c>
      <c r="AA1289" s="3">
        <f t="shared" si="436"/>
        <v>0.34594313714579522</v>
      </c>
      <c r="AB1289" s="3">
        <f t="shared" si="439"/>
        <v>1.0573297360020112E-3</v>
      </c>
      <c r="AC1289" s="3">
        <f t="shared" si="437"/>
        <v>1.3635101728070049E-2</v>
      </c>
      <c r="AD1289" s="48"/>
      <c r="AE1289" s="46">
        <f t="shared" si="432"/>
        <v>42.092146781619135</v>
      </c>
      <c r="AF1289" s="46">
        <f t="shared" si="433"/>
        <v>-248.53980451126276</v>
      </c>
      <c r="AG1289" s="47">
        <f t="shared" si="434"/>
        <v>305.41885068851116</v>
      </c>
      <c r="AH1289" s="45" t="str">
        <f t="shared" si="438"/>
        <v>-248.53980,42.09215,00305</v>
      </c>
      <c r="AI1289" s="44">
        <f t="shared" si="440"/>
        <v>1021.4013765189238</v>
      </c>
    </row>
    <row r="1290" spans="1:35" ht="18" customHeight="1" x14ac:dyDescent="0.25">
      <c r="A1290" s="36">
        <f t="shared" si="435"/>
        <v>0.75439813657407406</v>
      </c>
      <c r="B1290" s="42">
        <f t="shared" si="420"/>
        <v>42.09214678004922</v>
      </c>
      <c r="C1290" s="43">
        <f t="shared" si="421"/>
        <v>111.46019530400223</v>
      </c>
      <c r="D1290" s="18">
        <f t="shared" si="422"/>
        <v>0.29191092104429117</v>
      </c>
      <c r="E1290" s="21" t="str">
        <f t="shared" si="423"/>
        <v>Umbra</v>
      </c>
      <c r="F1290" s="23">
        <f>IF($E1290&lt;&gt;"Umbra",fracil2($S$2,$S$3,$S$4,$A1290,$Q$2,$O$3,$Q$4,$U1290,$V1290,$W1290),0)</f>
        <v>0</v>
      </c>
      <c r="G1290" s="19">
        <f t="shared" si="424"/>
        <v>69.302318553226357</v>
      </c>
      <c r="H1290" s="19">
        <f t="shared" si="425"/>
        <v>-4.8344397992736381</v>
      </c>
      <c r="I1290" s="19">
        <f t="shared" si="426"/>
        <v>-3.6264218498787431</v>
      </c>
      <c r="J1290" s="28">
        <f t="shared" si="427"/>
        <v>4.6513468483494564E-3</v>
      </c>
      <c r="K1290" s="24">
        <f t="shared" si="428"/>
        <v>1047.8265238561689</v>
      </c>
      <c r="L1290" s="32">
        <f t="shared" si="429"/>
        <v>0.56636660129495153</v>
      </c>
      <c r="M1290" s="35">
        <f t="shared" si="430"/>
        <v>12.807763221119062</v>
      </c>
      <c r="O1290" s="29">
        <f t="shared" si="431"/>
        <v>1046.5868861843217</v>
      </c>
      <c r="T1290" s="48">
        <v>0.75439813657407406</v>
      </c>
      <c r="U1290" s="29">
        <v>-1534.3495955397459</v>
      </c>
      <c r="V1290" s="29">
        <v>4485.1731352564748</v>
      </c>
      <c r="W1290" s="29">
        <v>4253.3988547384679</v>
      </c>
      <c r="X1290" s="4">
        <v>-0.32380357878011079</v>
      </c>
      <c r="Y1290" s="4">
        <v>-0.1214256130167977</v>
      </c>
      <c r="Z1290" s="4">
        <v>-9.1065012897329593E-3</v>
      </c>
      <c r="AA1290" s="3">
        <f t="shared" si="436"/>
        <v>0.34594199729586522</v>
      </c>
      <c r="AB1290" s="3">
        <f t="shared" si="439"/>
        <v>1.0569342386174815E-3</v>
      </c>
      <c r="AC1290" s="3">
        <f t="shared" si="437"/>
        <v>1.3624799616709036E-2</v>
      </c>
      <c r="AD1290" s="48"/>
      <c r="AE1290" s="46">
        <f t="shared" si="432"/>
        <v>42.09214678004922</v>
      </c>
      <c r="AF1290" s="46">
        <f t="shared" si="433"/>
        <v>-248.53980469599776</v>
      </c>
      <c r="AG1290" s="47">
        <f t="shared" si="434"/>
        <v>291.91092104429117</v>
      </c>
      <c r="AH1290" s="45" t="str">
        <f t="shared" si="438"/>
        <v>-248.53980,42.09215,00292</v>
      </c>
      <c r="AI1290" s="44">
        <f t="shared" si="440"/>
        <v>1021.4013765189238</v>
      </c>
    </row>
    <row r="1291" spans="1:35" ht="18" customHeight="1" x14ac:dyDescent="0.25">
      <c r="A1291" s="36">
        <f t="shared" si="435"/>
        <v>0.75440972222222225</v>
      </c>
      <c r="B1291" s="42">
        <f t="shared" si="420"/>
        <v>42.092146778470273</v>
      </c>
      <c r="C1291" s="43">
        <f t="shared" si="421"/>
        <v>111.46019511268098</v>
      </c>
      <c r="D1291" s="18">
        <f t="shared" si="422"/>
        <v>0.27831825725297676</v>
      </c>
      <c r="E1291" s="21" t="str">
        <f t="shared" si="423"/>
        <v>Umbra</v>
      </c>
      <c r="F1291" s="23">
        <f>IF($E1291&lt;&gt;"Umbra",fracil2($S$2,$S$3,$S$4,$A1291,$Q$2,$O$3,$Q$4,$U1291,$V1291,$W1291),0)</f>
        <v>0</v>
      </c>
      <c r="G1291" s="19">
        <f t="shared" si="424"/>
        <v>69.302320795771692</v>
      </c>
      <c r="H1291" s="19">
        <f t="shared" si="425"/>
        <v>-4.8351805431253201</v>
      </c>
      <c r="I1291" s="19">
        <f t="shared" si="426"/>
        <v>-3.627162593730425</v>
      </c>
      <c r="J1291" s="28">
        <f t="shared" si="427"/>
        <v>4.6508967381119638E-3</v>
      </c>
      <c r="K1291" s="24">
        <f t="shared" si="428"/>
        <v>1047.8254080122879</v>
      </c>
      <c r="L1291" s="32">
        <f t="shared" si="429"/>
        <v>0.56637978708944259</v>
      </c>
      <c r="M1291" s="35">
        <f t="shared" si="430"/>
        <v>12.807262311330648</v>
      </c>
      <c r="O1291" s="29">
        <f t="shared" si="431"/>
        <v>1046.5868707619618</v>
      </c>
      <c r="T1291" s="48">
        <v>0.75440972222222225</v>
      </c>
      <c r="U1291" s="29">
        <v>-1534.6737020678565</v>
      </c>
      <c r="V1291" s="29">
        <v>4485.0515866612568</v>
      </c>
      <c r="W1291" s="29">
        <v>4253.389743106688</v>
      </c>
      <c r="X1291" s="4">
        <v>-0.32379651377895885</v>
      </c>
      <c r="Y1291" s="4">
        <v>-0.12144170731463602</v>
      </c>
      <c r="Z1291" s="4">
        <v>-9.0995306882647297E-3</v>
      </c>
      <c r="AA1291" s="3">
        <f t="shared" si="436"/>
        <v>0.34594085053611096</v>
      </c>
      <c r="AB1291" s="3">
        <f t="shared" si="439"/>
        <v>1.0563053109757178E-3</v>
      </c>
      <c r="AC1291" s="3">
        <f t="shared" si="437"/>
        <v>1.3614431128699698E-2</v>
      </c>
      <c r="AD1291" s="48"/>
      <c r="AE1291" s="46">
        <f t="shared" si="432"/>
        <v>42.092146778470273</v>
      </c>
      <c r="AF1291" s="46">
        <f t="shared" si="433"/>
        <v>-248.53980488731901</v>
      </c>
      <c r="AG1291" s="47">
        <f t="shared" si="434"/>
        <v>278.31825725297676</v>
      </c>
      <c r="AH1291" s="45" t="str">
        <f t="shared" si="438"/>
        <v>-248.53980,42.09215,00278</v>
      </c>
      <c r="AI1291" s="44">
        <f t="shared" si="440"/>
        <v>1021.4013765189238</v>
      </c>
    </row>
    <row r="1292" spans="1:35" ht="18" customHeight="1" x14ac:dyDescent="0.25">
      <c r="A1292" s="36">
        <f t="shared" si="435"/>
        <v>0.75442128472222214</v>
      </c>
      <c r="B1292" s="42">
        <f t="shared" si="420"/>
        <v>42.092146776896442</v>
      </c>
      <c r="C1292" s="43">
        <f t="shared" si="421"/>
        <v>111.46019496157363</v>
      </c>
      <c r="D1292" s="18">
        <f t="shared" si="422"/>
        <v>0.26476299428577477</v>
      </c>
      <c r="E1292" s="21" t="str">
        <f t="shared" si="423"/>
        <v>Umbra</v>
      </c>
      <c r="F1292" s="23">
        <f>IF($E1292&lt;&gt;"Umbra",fracil2($S$2,$S$3,$S$4,$A1292,$Q$2,$O$3,$Q$4,$U1292,$V1292,$W1292),0)</f>
        <v>0</v>
      </c>
      <c r="G1292" s="19">
        <f t="shared" si="424"/>
        <v>69.302323072540261</v>
      </c>
      <c r="H1292" s="19">
        <f t="shared" si="425"/>
        <v>-4.8359192643903794</v>
      </c>
      <c r="I1292" s="19">
        <f t="shared" si="426"/>
        <v>-3.6279013149954844</v>
      </c>
      <c r="J1292" s="28">
        <f t="shared" si="427"/>
        <v>4.6504479730880835E-3</v>
      </c>
      <c r="K1292" s="24">
        <f t="shared" si="428"/>
        <v>1047.8242986028743</v>
      </c>
      <c r="L1292" s="32">
        <f t="shared" si="429"/>
        <v>0.56639294531004514</v>
      </c>
      <c r="M1292" s="35">
        <f t="shared" si="430"/>
        <v>12.806762734951027</v>
      </c>
      <c r="O1292" s="29">
        <f t="shared" si="431"/>
        <v>1046.5868585730645</v>
      </c>
      <c r="T1292" s="48">
        <v>0.75442128472222214</v>
      </c>
      <c r="U1292" s="29">
        <v>-1534.9971570688374</v>
      </c>
      <c r="V1292" s="29">
        <v>4484.9302636964057</v>
      </c>
      <c r="W1292" s="29">
        <v>4253.3806565460345</v>
      </c>
      <c r="X1292" s="4">
        <v>-0.32378946036896084</v>
      </c>
      <c r="Y1292" s="4">
        <v>-0.1214577763374844</v>
      </c>
      <c r="Z1292" s="4">
        <v>-9.0925805627437885E-3</v>
      </c>
      <c r="AA1292" s="3">
        <f t="shared" si="436"/>
        <v>0.34593970731929463</v>
      </c>
      <c r="AB1292" s="3">
        <f t="shared" si="439"/>
        <v>1.0553062921706878E-3</v>
      </c>
      <c r="AC1292" s="3">
        <f t="shared" si="437"/>
        <v>1.3604093143532267E-2</v>
      </c>
      <c r="AD1292" s="48"/>
      <c r="AE1292" s="46">
        <f t="shared" si="432"/>
        <v>42.092146776896442</v>
      </c>
      <c r="AF1292" s="46">
        <f t="shared" si="433"/>
        <v>-248.53980503842638</v>
      </c>
      <c r="AG1292" s="47">
        <f t="shared" si="434"/>
        <v>264.76299428577477</v>
      </c>
      <c r="AH1292" s="45" t="str">
        <f t="shared" si="438"/>
        <v>-248.53981,42.09215,00265</v>
      </c>
      <c r="AI1292" s="44">
        <f t="shared" si="440"/>
        <v>1021.4013765189238</v>
      </c>
    </row>
    <row r="1293" spans="1:35" ht="18" customHeight="1" x14ac:dyDescent="0.25">
      <c r="A1293" s="36">
        <f t="shared" si="435"/>
        <v>0.75443297453703695</v>
      </c>
      <c r="B1293" s="42">
        <f t="shared" si="420"/>
        <v>42.092146775306837</v>
      </c>
      <c r="C1293" s="43">
        <f t="shared" si="421"/>
        <v>111.46019563207528</v>
      </c>
      <c r="D1293" s="18">
        <f t="shared" si="422"/>
        <v>0.25106632917595562</v>
      </c>
      <c r="E1293" s="21" t="str">
        <f t="shared" si="423"/>
        <v>Umbra</v>
      </c>
      <c r="F1293" s="23">
        <f>IF($E1293&lt;&gt;"Umbra",fracil2($S$2,$S$3,$S$4,$A1293,$Q$2,$O$3,$Q$4,$U1293,$V1293,$W1293),0)</f>
        <v>0</v>
      </c>
      <c r="G1293" s="19">
        <f t="shared" si="424"/>
        <v>69.302326210777494</v>
      </c>
      <c r="H1293" s="19">
        <f t="shared" si="425"/>
        <v>-4.8366659842347275</v>
      </c>
      <c r="I1293" s="19">
        <f t="shared" si="426"/>
        <v>-3.6286480348398324</v>
      </c>
      <c r="J1293" s="28">
        <f t="shared" si="427"/>
        <v>4.6499944447342617E-3</v>
      </c>
      <c r="K1293" s="24">
        <f t="shared" si="428"/>
        <v>1047.823243956738</v>
      </c>
      <c r="L1293" s="32">
        <f t="shared" si="429"/>
        <v>0.5664062465333487</v>
      </c>
      <c r="M1293" s="35">
        <f t="shared" si="430"/>
        <v>12.806257127259627</v>
      </c>
      <c r="O1293" s="29">
        <f t="shared" si="431"/>
        <v>1046.5869124438598</v>
      </c>
      <c r="T1293" s="48">
        <v>0.75443297453703695</v>
      </c>
      <c r="U1293" s="29">
        <v>-1535.3242302756198</v>
      </c>
      <c r="V1293" s="29">
        <v>4484.8075645856079</v>
      </c>
      <c r="W1293" s="29">
        <v>4253.371475198699</v>
      </c>
      <c r="X1293" s="4">
        <v>-0.32378232631968579</v>
      </c>
      <c r="Y1293" s="4">
        <v>-0.121474029623619</v>
      </c>
      <c r="Z1293" s="4">
        <v>-9.0855567027719603E-3</v>
      </c>
      <c r="AA1293" s="3">
        <f t="shared" si="436"/>
        <v>0.3459385524202046</v>
      </c>
      <c r="AB1293" s="3">
        <f t="shared" si="439"/>
        <v>1.054882063325195E-3</v>
      </c>
      <c r="AC1293" s="3">
        <f t="shared" si="437"/>
        <v>1.3593645528284177E-2</v>
      </c>
      <c r="AD1293" s="48"/>
      <c r="AE1293" s="46">
        <f t="shared" si="432"/>
        <v>42.092146775306837</v>
      </c>
      <c r="AF1293" s="46">
        <f t="shared" si="433"/>
        <v>-248.53980436792472</v>
      </c>
      <c r="AG1293" s="47">
        <f t="shared" si="434"/>
        <v>251.06632917595562</v>
      </c>
      <c r="AH1293" s="45" t="str">
        <f t="shared" si="438"/>
        <v>-248.53980,42.09215,00251</v>
      </c>
      <c r="AI1293" s="44">
        <f t="shared" si="440"/>
        <v>1021.4013765189238</v>
      </c>
    </row>
    <row r="1294" spans="1:35" ht="18" customHeight="1" x14ac:dyDescent="0.25">
      <c r="A1294" s="36">
        <f t="shared" si="435"/>
        <v>0.75444445601851851</v>
      </c>
      <c r="B1294" s="42">
        <f t="shared" si="420"/>
        <v>42.092146773747032</v>
      </c>
      <c r="C1294" s="43">
        <f t="shared" si="421"/>
        <v>111.46019716310107</v>
      </c>
      <c r="D1294" s="18">
        <f t="shared" si="422"/>
        <v>0.23762123335382057</v>
      </c>
      <c r="E1294" s="21" t="str">
        <f t="shared" si="423"/>
        <v>Umbra</v>
      </c>
      <c r="F1294" s="23">
        <f>IF($E1294&lt;&gt;"Umbra",fracil2($S$2,$S$3,$S$4,$A1294,$Q$2,$O$3,$Q$4,$U1294,$V1294,$W1294),0)</f>
        <v>0</v>
      </c>
      <c r="G1294" s="19">
        <f t="shared" si="424"/>
        <v>69.302330179622103</v>
      </c>
      <c r="H1294" s="19">
        <f t="shared" si="425"/>
        <v>-4.8373992988928505</v>
      </c>
      <c r="I1294" s="19">
        <f t="shared" si="426"/>
        <v>-3.6293813494979554</v>
      </c>
      <c r="J1294" s="28">
        <f t="shared" si="427"/>
        <v>4.6495492764393334E-3</v>
      </c>
      <c r="K1294" s="24">
        <f t="shared" si="428"/>
        <v>1047.8222790041154</v>
      </c>
      <c r="L1294" s="32">
        <f t="shared" si="429"/>
        <v>0.56641930880825186</v>
      </c>
      <c r="M1294" s="35">
        <f t="shared" si="430"/>
        <v>12.805759937301989</v>
      </c>
      <c r="O1294" s="29">
        <f t="shared" si="431"/>
        <v>1046.5870355044001</v>
      </c>
      <c r="T1294" s="48">
        <v>0.75444445601851851</v>
      </c>
      <c r="U1294" s="29">
        <v>-1535.6455350531414</v>
      </c>
      <c r="V1294" s="29">
        <v>4484.6870108356698</v>
      </c>
      <c r="W1294" s="29">
        <v>4253.3624624869899</v>
      </c>
      <c r="X1294" s="4">
        <v>-0.32377531577554819</v>
      </c>
      <c r="Y1294" s="4">
        <v>-0.1214900024618538</v>
      </c>
      <c r="Z1294" s="4">
        <v>-9.0786623495536772E-3</v>
      </c>
      <c r="AA1294" s="3">
        <f t="shared" si="436"/>
        <v>0.34593741907141873</v>
      </c>
      <c r="AB1294" s="3">
        <f t="shared" si="439"/>
        <v>1.0542154248497687E-3</v>
      </c>
      <c r="AC1294" s="3">
        <f t="shared" si="437"/>
        <v>1.3583390592919681E-2</v>
      </c>
      <c r="AD1294" s="48"/>
      <c r="AE1294" s="46">
        <f t="shared" si="432"/>
        <v>42.092146773747032</v>
      </c>
      <c r="AF1294" s="46">
        <f t="shared" si="433"/>
        <v>-248.53980283689893</v>
      </c>
      <c r="AG1294" s="47">
        <f t="shared" si="434"/>
        <v>237.62123335382057</v>
      </c>
      <c r="AH1294" s="45" t="str">
        <f t="shared" si="438"/>
        <v>-248.53980,42.09215,00238</v>
      </c>
      <c r="AI1294" s="44">
        <f t="shared" si="440"/>
        <v>1021.4015107777088</v>
      </c>
    </row>
    <row r="1295" spans="1:35" ht="18" customHeight="1" x14ac:dyDescent="0.25">
      <c r="A1295" s="36">
        <f t="shared" si="435"/>
        <v>0.75445605324074083</v>
      </c>
      <c r="B1295" s="42">
        <f t="shared" si="420"/>
        <v>42.092146772175354</v>
      </c>
      <c r="C1295" s="43">
        <f t="shared" si="421"/>
        <v>111.46019409198317</v>
      </c>
      <c r="D1295" s="18">
        <f t="shared" si="422"/>
        <v>0.22406591880826454</v>
      </c>
      <c r="E1295" s="21" t="str">
        <f t="shared" si="423"/>
        <v>Umbra</v>
      </c>
      <c r="F1295" s="23">
        <f>IF($E1295&lt;&gt;"Umbra",fracil2($S$2,$S$3,$S$4,$A1295,$Q$2,$O$3,$Q$4,$U1295,$V1295,$W1295),0)</f>
        <v>0</v>
      </c>
      <c r="G1295" s="19">
        <f t="shared" si="424"/>
        <v>69.302329484879849</v>
      </c>
      <c r="H1295" s="19">
        <f t="shared" si="425"/>
        <v>-4.8381369956280569</v>
      </c>
      <c r="I1295" s="19">
        <f t="shared" si="426"/>
        <v>-3.6301190462331618</v>
      </c>
      <c r="J1295" s="28">
        <f t="shared" si="427"/>
        <v>4.6491004479842181E-3</v>
      </c>
      <c r="K1295" s="24">
        <f t="shared" si="428"/>
        <v>1047.820935433705</v>
      </c>
      <c r="L1295" s="32">
        <f t="shared" si="429"/>
        <v>0.56643250531753553</v>
      </c>
      <c r="M1295" s="35">
        <f t="shared" si="430"/>
        <v>12.805263230455854</v>
      </c>
      <c r="O1295" s="29">
        <f t="shared" si="431"/>
        <v>1046.5867885370124</v>
      </c>
      <c r="T1295" s="48">
        <v>0.75445605324074083</v>
      </c>
      <c r="U1295" s="29">
        <v>-1535.9697139071377</v>
      </c>
      <c r="V1295" s="29">
        <v>4484.5653600196292</v>
      </c>
      <c r="W1295" s="29">
        <v>4253.353375891943</v>
      </c>
      <c r="X1295" s="4">
        <v>-0.32376824128559539</v>
      </c>
      <c r="Y1295" s="4">
        <v>-0.12150612122153215</v>
      </c>
      <c r="Z1295" s="4">
        <v>-9.0717089394565381E-3</v>
      </c>
      <c r="AA1295" s="3">
        <f t="shared" si="436"/>
        <v>0.3459362765923103</v>
      </c>
      <c r="AB1295" s="3">
        <f t="shared" si="439"/>
        <v>1.0526299190409603E-3</v>
      </c>
      <c r="AC1295" s="3">
        <f t="shared" si="437"/>
        <v>1.3573047859755501E-2</v>
      </c>
      <c r="AD1295" s="48"/>
      <c r="AE1295" s="46">
        <f t="shared" si="432"/>
        <v>42.092146772175354</v>
      </c>
      <c r="AF1295" s="46">
        <f t="shared" si="433"/>
        <v>-248.53980590801683</v>
      </c>
      <c r="AG1295" s="47">
        <f t="shared" si="434"/>
        <v>224.06591880826454</v>
      </c>
      <c r="AH1295" s="45" t="str">
        <f t="shared" si="438"/>
        <v>-248.53981,42.09215,00224</v>
      </c>
      <c r="AI1295" s="44">
        <f t="shared" si="440"/>
        <v>1021.401761952898</v>
      </c>
    </row>
    <row r="1296" spans="1:35" ht="18" customHeight="1" x14ac:dyDescent="0.25">
      <c r="A1296" s="36">
        <f t="shared" si="435"/>
        <v>0.75446769675925929</v>
      </c>
      <c r="B1296" s="42">
        <f t="shared" si="420"/>
        <v>42.092146770597438</v>
      </c>
      <c r="C1296" s="43">
        <f t="shared" si="421"/>
        <v>111.46019543227864</v>
      </c>
      <c r="D1296" s="18">
        <f t="shared" si="422"/>
        <v>0.21045261764174938</v>
      </c>
      <c r="E1296" s="21" t="str">
        <f t="shared" si="423"/>
        <v>Umbra</v>
      </c>
      <c r="F1296" s="23">
        <f>IF($E1296&lt;&gt;"Umbra",fracil2($S$2,$S$3,$S$4,$A1296,$Q$2,$O$3,$Q$4,$U1296,$V1296,$W1296),0)</f>
        <v>0</v>
      </c>
      <c r="G1296" s="19">
        <f t="shared" si="424"/>
        <v>69.302333289801581</v>
      </c>
      <c r="H1296" s="19">
        <f t="shared" si="425"/>
        <v>-4.8388794133010924</v>
      </c>
      <c r="I1296" s="19">
        <f t="shared" si="426"/>
        <v>-3.6308614639061974</v>
      </c>
      <c r="J1296" s="28">
        <f t="shared" si="427"/>
        <v>4.6486495628664942E-3</v>
      </c>
      <c r="K1296" s="24">
        <f t="shared" si="428"/>
        <v>1047.8199418902086</v>
      </c>
      <c r="L1296" s="32">
        <f t="shared" si="429"/>
        <v>0.56644574970585648</v>
      </c>
      <c r="M1296" s="35">
        <f t="shared" si="430"/>
        <v>12.804760016789944</v>
      </c>
      <c r="O1296" s="29">
        <f t="shared" si="431"/>
        <v>1046.5868962617492</v>
      </c>
      <c r="T1296" s="48">
        <v>0.75446769675925929</v>
      </c>
      <c r="U1296" s="29">
        <v>-1536.2955225547928</v>
      </c>
      <c r="V1296" s="29">
        <v>4484.4430786669436</v>
      </c>
      <c r="W1296" s="29">
        <v>4253.3442504265031</v>
      </c>
      <c r="X1296" s="4">
        <v>-0.3237611292277221</v>
      </c>
      <c r="Y1296" s="4">
        <v>-0.12152232628637502</v>
      </c>
      <c r="Z1296" s="4">
        <v>-9.0647253052915308E-3</v>
      </c>
      <c r="AA1296" s="3">
        <f t="shared" si="436"/>
        <v>0.34593512951089883</v>
      </c>
      <c r="AB1296" s="3">
        <f t="shared" si="439"/>
        <v>1.0529970357370177E-3</v>
      </c>
      <c r="AC1296" s="3">
        <f t="shared" si="437"/>
        <v>1.3562660216689525E-2</v>
      </c>
      <c r="AD1296" s="48"/>
      <c r="AE1296" s="46">
        <f t="shared" si="432"/>
        <v>42.092146770597438</v>
      </c>
      <c r="AF1296" s="46">
        <f t="shared" si="433"/>
        <v>-248.53980456772138</v>
      </c>
      <c r="AG1296" s="47">
        <f t="shared" si="434"/>
        <v>210.45261764174938</v>
      </c>
      <c r="AH1296" s="45" t="str">
        <f t="shared" si="438"/>
        <v>-248.53980,42.09215,00210</v>
      </c>
      <c r="AI1296" s="44">
        <f t="shared" si="440"/>
        <v>1021.401896211683</v>
      </c>
    </row>
    <row r="1297" spans="1:35" ht="18" customHeight="1" x14ac:dyDescent="0.25">
      <c r="A1297" s="36">
        <f t="shared" si="435"/>
        <v>0.75447915509259256</v>
      </c>
      <c r="B1297" s="42">
        <f t="shared" si="420"/>
        <v>42.092146769047467</v>
      </c>
      <c r="C1297" s="43">
        <f t="shared" si="421"/>
        <v>111.46019462568529</v>
      </c>
      <c r="D1297" s="18">
        <f t="shared" si="422"/>
        <v>0.19707293658211711</v>
      </c>
      <c r="E1297" s="21" t="str">
        <f t="shared" si="423"/>
        <v>Umbra</v>
      </c>
      <c r="F1297" s="23">
        <f>IF($E1297&lt;&gt;"Umbra",fracil2($S$2,$S$3,$S$4,$A1297,$Q$2,$O$3,$Q$4,$U1297,$V1297,$W1297),0)</f>
        <v>0</v>
      </c>
      <c r="G1297" s="19">
        <f t="shared" si="424"/>
        <v>69.302334868064918</v>
      </c>
      <c r="H1297" s="19">
        <f t="shared" si="425"/>
        <v>-4.8396083412784741</v>
      </c>
      <c r="I1297" s="19">
        <f t="shared" si="426"/>
        <v>-3.631590391883579</v>
      </c>
      <c r="J1297" s="28">
        <f t="shared" si="427"/>
        <v>4.6482064120722593E-3</v>
      </c>
      <c r="K1297" s="24">
        <f t="shared" si="428"/>
        <v>1047.8187948726697</v>
      </c>
      <c r="L1297" s="32">
        <f t="shared" si="429"/>
        <v>0.56645878399689786</v>
      </c>
      <c r="M1297" s="35">
        <f t="shared" si="430"/>
        <v>12.804267534005442</v>
      </c>
      <c r="O1297" s="29">
        <f t="shared" si="431"/>
        <v>1046.586831370199</v>
      </c>
      <c r="T1297" s="48">
        <v>0.75447915509259256</v>
      </c>
      <c r="U1297" s="29">
        <v>-1536.615977663773</v>
      </c>
      <c r="V1297" s="29">
        <v>4484.3227880548066</v>
      </c>
      <c r="W1297" s="29">
        <v>4253.335281564754</v>
      </c>
      <c r="X1297" s="4">
        <v>-0.32375413238101819</v>
      </c>
      <c r="Y1297" s="4">
        <v>-0.12153826933050155</v>
      </c>
      <c r="Z1297" s="4">
        <v>-9.0578601941963752E-3</v>
      </c>
      <c r="AA1297" s="3">
        <f t="shared" si="436"/>
        <v>0.34593400234284138</v>
      </c>
      <c r="AB1297" s="3">
        <f t="shared" si="439"/>
        <v>1.0518506818955177E-3</v>
      </c>
      <c r="AC1297" s="3">
        <f t="shared" si="437"/>
        <v>1.3552448913380781E-2</v>
      </c>
      <c r="AD1297" s="48"/>
      <c r="AE1297" s="46">
        <f t="shared" si="432"/>
        <v>42.092146769047467</v>
      </c>
      <c r="AF1297" s="46">
        <f t="shared" si="433"/>
        <v>-248.53980537431471</v>
      </c>
      <c r="AG1297" s="47">
        <f t="shared" si="434"/>
        <v>197.07293658211711</v>
      </c>
      <c r="AH1297" s="45" t="str">
        <f t="shared" si="438"/>
        <v>-248.53981,42.09215,00197</v>
      </c>
      <c r="AI1297" s="44">
        <f t="shared" si="440"/>
        <v>1021.401896211683</v>
      </c>
    </row>
    <row r="1298" spans="1:35" ht="18" customHeight="1" x14ac:dyDescent="0.25">
      <c r="A1298" s="36">
        <f t="shared" si="435"/>
        <v>0.75449081018518516</v>
      </c>
      <c r="B1298" s="42">
        <f t="shared" si="420"/>
        <v>42.092146767472244</v>
      </c>
      <c r="C1298" s="43">
        <f t="shared" si="421"/>
        <v>111.46019520658993</v>
      </c>
      <c r="D1298" s="18">
        <f t="shared" si="422"/>
        <v>0.18346937062324287</v>
      </c>
      <c r="E1298" s="21" t="str">
        <f t="shared" si="423"/>
        <v>Umbra</v>
      </c>
      <c r="F1298" s="23">
        <f>IF($E1298&lt;&gt;"Umbra",fracil2($S$2,$S$3,$S$4,$A1298,$Q$2,$O$3,$Q$4,$U1298,$V1298,$W1298),0)</f>
        <v>0</v>
      </c>
      <c r="G1298" s="19">
        <f t="shared" si="424"/>
        <v>69.302337898460905</v>
      </c>
      <c r="H1298" s="19">
        <f t="shared" si="425"/>
        <v>-4.8403499630462612</v>
      </c>
      <c r="I1298" s="19">
        <f t="shared" si="426"/>
        <v>-3.6323320136513662</v>
      </c>
      <c r="J1298" s="28">
        <f t="shared" si="427"/>
        <v>4.6477558004986031E-3</v>
      </c>
      <c r="K1298" s="24">
        <f t="shared" si="428"/>
        <v>1047.8177414329089</v>
      </c>
      <c r="L1298" s="32">
        <f t="shared" si="429"/>
        <v>0.56647203976935934</v>
      </c>
      <c r="M1298" s="35">
        <f t="shared" si="430"/>
        <v>12.803765419180261</v>
      </c>
      <c r="O1298" s="29">
        <f t="shared" si="431"/>
        <v>1046.5868780374583</v>
      </c>
      <c r="T1298" s="48">
        <v>0.75449081018518516</v>
      </c>
      <c r="U1298" s="29">
        <v>-1536.9420370204261</v>
      </c>
      <c r="V1298" s="29">
        <v>4484.2003748838642</v>
      </c>
      <c r="W1298" s="29">
        <v>4253.3261626252906</v>
      </c>
      <c r="X1298" s="4">
        <v>-0.32374701115733101</v>
      </c>
      <c r="Y1298" s="4">
        <v>-0.12155449649054241</v>
      </c>
      <c r="Z1298" s="4">
        <v>-9.0508797863405217E-3</v>
      </c>
      <c r="AA1298" s="3">
        <f t="shared" si="436"/>
        <v>0.34593285659977585</v>
      </c>
      <c r="AB1298" s="3">
        <f t="shared" si="439"/>
        <v>1.0514560176436095E-3</v>
      </c>
      <c r="AC1298" s="3">
        <f t="shared" si="437"/>
        <v>1.3542066161627798E-2</v>
      </c>
      <c r="AD1298" s="48"/>
      <c r="AE1298" s="46">
        <f t="shared" si="432"/>
        <v>42.092146767472244</v>
      </c>
      <c r="AF1298" s="46">
        <f t="shared" si="433"/>
        <v>-248.53980479341007</v>
      </c>
      <c r="AG1298" s="47">
        <f t="shared" si="434"/>
        <v>183.46937062324287</v>
      </c>
      <c r="AH1298" s="45" t="str">
        <f t="shared" si="438"/>
        <v>-248.53980,42.09215,00183</v>
      </c>
      <c r="AI1298" s="44">
        <f t="shared" si="440"/>
        <v>1021.401896211683</v>
      </c>
    </row>
    <row r="1299" spans="1:35" ht="18" customHeight="1" x14ac:dyDescent="0.25">
      <c r="A1299" s="36">
        <f t="shared" si="435"/>
        <v>0.75450231481481478</v>
      </c>
      <c r="B1299" s="42">
        <f t="shared" si="420"/>
        <v>42.092146765918542</v>
      </c>
      <c r="C1299" s="43">
        <f t="shared" si="421"/>
        <v>111.46019769944945</v>
      </c>
      <c r="D1299" s="18">
        <f t="shared" si="422"/>
        <v>0.17004550469482638</v>
      </c>
      <c r="E1299" s="21" t="str">
        <f t="shared" si="423"/>
        <v>Umbra</v>
      </c>
      <c r="F1299" s="23">
        <f>IF($E1299&lt;&gt;"Umbra",fracil2($S$2,$S$3,$S$4,$A1299,$Q$2,$O$3,$Q$4,$U1299,$V1299,$W1299),0)</f>
        <v>0</v>
      </c>
      <c r="G1299" s="19">
        <f t="shared" si="424"/>
        <v>69.302342842332962</v>
      </c>
      <c r="H1299" s="19">
        <f t="shared" si="425"/>
        <v>-4.8410824675548962</v>
      </c>
      <c r="I1299" s="19">
        <f t="shared" si="426"/>
        <v>-3.6330645181600012</v>
      </c>
      <c r="J1299" s="28">
        <f t="shared" si="427"/>
        <v>4.6473110727184895E-3</v>
      </c>
      <c r="K1299" s="24">
        <f t="shared" si="428"/>
        <v>1047.8168563596776</v>
      </c>
      <c r="L1299" s="32">
        <f t="shared" si="429"/>
        <v>0.56648512166525322</v>
      </c>
      <c r="M1299" s="35">
        <f t="shared" si="430"/>
        <v>12.803268033284118</v>
      </c>
      <c r="O1299" s="29">
        <f t="shared" si="431"/>
        <v>1046.5870784327826</v>
      </c>
      <c r="T1299" s="48">
        <v>0.75450231481481478</v>
      </c>
      <c r="U1299" s="29">
        <v>-1537.2640287679906</v>
      </c>
      <c r="V1299" s="29">
        <v>4484.0794701398136</v>
      </c>
      <c r="W1299" s="29">
        <v>4253.3171641450135</v>
      </c>
      <c r="X1299" s="4">
        <v>-0.32373997682442579</v>
      </c>
      <c r="Y1299" s="4">
        <v>-0.12157052632069337</v>
      </c>
      <c r="Z1299" s="4">
        <v>-9.0439910417267119E-3</v>
      </c>
      <c r="AA1299" s="3">
        <f t="shared" si="436"/>
        <v>0.34593172626709595</v>
      </c>
      <c r="AB1299" s="3">
        <f t="shared" si="439"/>
        <v>1.0512149770712934E-3</v>
      </c>
      <c r="AC1299" s="3">
        <f t="shared" si="437"/>
        <v>1.3531819796847035E-2</v>
      </c>
      <c r="AD1299" s="48"/>
      <c r="AE1299" s="46">
        <f t="shared" si="432"/>
        <v>42.092146765918542</v>
      </c>
      <c r="AF1299" s="46">
        <f t="shared" si="433"/>
        <v>-248.53980230055055</v>
      </c>
      <c r="AG1299" s="47">
        <f t="shared" si="434"/>
        <v>170.04550469482638</v>
      </c>
      <c r="AH1299" s="45" t="str">
        <f t="shared" si="438"/>
        <v>-248.53980,42.09215,00170</v>
      </c>
      <c r="AI1299" s="44">
        <f t="shared" si="440"/>
        <v>1021.402086082279</v>
      </c>
    </row>
    <row r="1300" spans="1:35" ht="18" customHeight="1" x14ac:dyDescent="0.25">
      <c r="A1300" s="36">
        <f t="shared" si="435"/>
        <v>0.75451396990740738</v>
      </c>
      <c r="B1300" s="42">
        <f t="shared" si="420"/>
        <v>42.092146764347149</v>
      </c>
      <c r="C1300" s="43">
        <f t="shared" si="421"/>
        <v>111.46019763370245</v>
      </c>
      <c r="D1300" s="18">
        <f t="shared" si="422"/>
        <v>0.15646485557954293</v>
      </c>
      <c r="E1300" s="21" t="str">
        <f t="shared" si="423"/>
        <v>Umbra</v>
      </c>
      <c r="F1300" s="23">
        <f>IF($E1300&lt;&gt;"Umbra",fracil2($S$2,$S$3,$S$4,$A1300,$Q$2,$O$3,$Q$4,$U1300,$V1300,$W1300),0)</f>
        <v>0</v>
      </c>
      <c r="G1300" s="19">
        <f t="shared" si="424"/>
        <v>69.302345210570493</v>
      </c>
      <c r="H1300" s="19">
        <f t="shared" si="425"/>
        <v>-4.8418226148274552</v>
      </c>
      <c r="I1300" s="19">
        <f t="shared" si="426"/>
        <v>-3.6338046654325602</v>
      </c>
      <c r="J1300" s="28">
        <f t="shared" si="427"/>
        <v>4.6468611549022988E-3</v>
      </c>
      <c r="K1300" s="24">
        <f t="shared" si="428"/>
        <v>1047.8157531499496</v>
      </c>
      <c r="L1300" s="32">
        <f t="shared" si="429"/>
        <v>0.56649837556155169</v>
      </c>
      <c r="M1300" s="35">
        <f t="shared" si="430"/>
        <v>12.802767391768958</v>
      </c>
      <c r="O1300" s="29">
        <f t="shared" si="431"/>
        <v>1046.5870731071989</v>
      </c>
      <c r="T1300" s="48">
        <v>0.75451396990740738</v>
      </c>
      <c r="U1300" s="29">
        <v>-1537.590023768691</v>
      </c>
      <c r="V1300" s="29">
        <v>4483.9570432929713</v>
      </c>
      <c r="W1300" s="29">
        <v>4253.3080605675987</v>
      </c>
      <c r="X1300" s="4">
        <v>-0.32373285337328583</v>
      </c>
      <c r="Y1300" s="4">
        <v>-0.12158675970723208</v>
      </c>
      <c r="Z1300" s="4">
        <v>-9.0370204239975313E-3</v>
      </c>
      <c r="AA1300" s="3">
        <f t="shared" si="436"/>
        <v>0.34593058296059531</v>
      </c>
      <c r="AB1300" s="3">
        <f t="shared" si="439"/>
        <v>1.0499719336040895E-3</v>
      </c>
      <c r="AC1300" s="3">
        <f t="shared" si="437"/>
        <v>1.3521451699892641E-2</v>
      </c>
      <c r="AD1300" s="48"/>
      <c r="AE1300" s="46">
        <f t="shared" si="432"/>
        <v>42.092146764347149</v>
      </c>
      <c r="AF1300" s="46">
        <f t="shared" si="433"/>
        <v>-248.53980236629755</v>
      </c>
      <c r="AG1300" s="47">
        <f t="shared" si="434"/>
        <v>156.46485557954293</v>
      </c>
      <c r="AH1300" s="45" t="str">
        <f t="shared" si="438"/>
        <v>-248.53980,42.09215,00156</v>
      </c>
      <c r="AI1300" s="44">
        <f t="shared" si="440"/>
        <v>1021.402086082279</v>
      </c>
    </row>
    <row r="1301" spans="1:35" ht="18" customHeight="1" x14ac:dyDescent="0.25">
      <c r="A1301" s="36">
        <f t="shared" si="435"/>
        <v>0.75452546296296286</v>
      </c>
      <c r="B1301" s="42">
        <f t="shared" si="420"/>
        <v>42.092146762800333</v>
      </c>
      <c r="C1301" s="43">
        <f t="shared" si="421"/>
        <v>111.4601955139935</v>
      </c>
      <c r="D1301" s="18">
        <f t="shared" si="422"/>
        <v>0.14308988908851461</v>
      </c>
      <c r="E1301" s="21" t="str">
        <f t="shared" si="423"/>
        <v>Umbra</v>
      </c>
      <c r="F1301" s="23">
        <f>IF($E1301&lt;&gt;"Umbra",fracil2($S$2,$S$3,$S$4,$A1301,$Q$2,$O$3,$Q$4,$U1301,$V1301,$W1301),0)</f>
        <v>0</v>
      </c>
      <c r="G1301" s="19">
        <f t="shared" si="424"/>
        <v>69.302345451728399</v>
      </c>
      <c r="H1301" s="19">
        <f t="shared" si="425"/>
        <v>-4.8425508283961936</v>
      </c>
      <c r="I1301" s="19">
        <f t="shared" si="426"/>
        <v>-3.6345328790012985</v>
      </c>
      <c r="J1301" s="28">
        <f t="shared" si="427"/>
        <v>4.6464181188365363E-3</v>
      </c>
      <c r="K1301" s="24">
        <f t="shared" si="428"/>
        <v>1047.8145016647272</v>
      </c>
      <c r="L1301" s="32">
        <f t="shared" si="429"/>
        <v>0.56651144568632983</v>
      </c>
      <c r="M1301" s="35">
        <f t="shared" si="430"/>
        <v>12.802276359127893</v>
      </c>
      <c r="O1301" s="29">
        <f t="shared" si="431"/>
        <v>1046.5869026368712</v>
      </c>
      <c r="T1301" s="48">
        <v>0.75452546296296286</v>
      </c>
      <c r="U1301" s="29">
        <v>-1537.9113203279651</v>
      </c>
      <c r="V1301" s="29">
        <v>4483.8363623030746</v>
      </c>
      <c r="W1301" s="29">
        <v>4253.2990948664037</v>
      </c>
      <c r="X1301" s="4">
        <v>-0.32372583052725357</v>
      </c>
      <c r="Y1301" s="4">
        <v>-0.1216027645632649</v>
      </c>
      <c r="Z1301" s="4">
        <v>-9.0301551701184035E-3</v>
      </c>
      <c r="AA1301" s="3">
        <f t="shared" si="436"/>
        <v>0.34592945726316132</v>
      </c>
      <c r="AB1301" s="3">
        <f t="shared" si="439"/>
        <v>1.0486759324653666E-3</v>
      </c>
      <c r="AC1301" s="3">
        <f t="shared" si="437"/>
        <v>1.351124036691231E-2</v>
      </c>
      <c r="AD1301" s="48"/>
      <c r="AE1301" s="46">
        <f t="shared" si="432"/>
        <v>42.092146762800333</v>
      </c>
      <c r="AF1301" s="46">
        <f t="shared" si="433"/>
        <v>-248.53980448600652</v>
      </c>
      <c r="AG1301" s="47">
        <f t="shared" si="434"/>
        <v>143.08988908851461</v>
      </c>
      <c r="AH1301" s="45" t="str">
        <f t="shared" si="438"/>
        <v>-248.53980,42.09215,00143</v>
      </c>
      <c r="AI1301" s="44">
        <f t="shared" si="440"/>
        <v>1021.402220341064</v>
      </c>
    </row>
    <row r="1302" spans="1:35" ht="18" customHeight="1" x14ac:dyDescent="0.25">
      <c r="A1302" s="36">
        <f t="shared" si="435"/>
        <v>0.75453704861111115</v>
      </c>
      <c r="B1302" s="42">
        <f t="shared" si="420"/>
        <v>42.092146761241345</v>
      </c>
      <c r="C1302" s="43">
        <f t="shared" si="421"/>
        <v>111.46019744049867</v>
      </c>
      <c r="D1302" s="18">
        <f t="shared" si="422"/>
        <v>0.12960436218691029</v>
      </c>
      <c r="E1302" s="21" t="str">
        <f t="shared" si="423"/>
        <v>Umbra</v>
      </c>
      <c r="F1302" s="23">
        <f>IF($E1302&lt;&gt;"Umbra",fracil2($S$2,$S$3,$S$4,$A1302,$Q$2,$O$3,$Q$4,$U1302,$V1302,$W1302),0)</f>
        <v>0</v>
      </c>
      <c r="G1302" s="19">
        <f t="shared" si="424"/>
        <v>69.302349830327429</v>
      </c>
      <c r="H1302" s="19">
        <f t="shared" si="425"/>
        <v>-4.8432864977595393</v>
      </c>
      <c r="I1302" s="19">
        <f t="shared" si="426"/>
        <v>-3.6352685483646443</v>
      </c>
      <c r="J1302" s="28">
        <f t="shared" si="427"/>
        <v>4.6459712406834736E-3</v>
      </c>
      <c r="K1302" s="24">
        <f t="shared" si="428"/>
        <v>1047.8135666045239</v>
      </c>
      <c r="L1302" s="32">
        <f t="shared" si="429"/>
        <v>0.56652461660892817</v>
      </c>
      <c r="M1302" s="35">
        <f t="shared" si="430"/>
        <v>12.80177724348861</v>
      </c>
      <c r="O1302" s="29">
        <f t="shared" si="431"/>
        <v>1046.5870574952887</v>
      </c>
      <c r="T1302" s="48">
        <v>0.75453704861111115</v>
      </c>
      <c r="U1302" s="29">
        <v>-1538.2355131502241</v>
      </c>
      <c r="V1302" s="29">
        <v>4483.7145747023178</v>
      </c>
      <c r="W1302" s="29">
        <v>4253.2900550528066</v>
      </c>
      <c r="X1302" s="4">
        <v>-0.32371874269192541</v>
      </c>
      <c r="Y1302" s="4">
        <v>-0.12161891801205767</v>
      </c>
      <c r="Z1302" s="4">
        <v>-9.023231863607678E-3</v>
      </c>
      <c r="AA1302" s="3">
        <f t="shared" si="436"/>
        <v>0.34592832249142169</v>
      </c>
      <c r="AB1302" s="3">
        <f t="shared" si="439"/>
        <v>1.04908694840365E-3</v>
      </c>
      <c r="AC1302" s="3">
        <f t="shared" si="437"/>
        <v>1.3500942732949519E-2</v>
      </c>
      <c r="AD1302" s="48"/>
      <c r="AE1302" s="46">
        <f t="shared" si="432"/>
        <v>42.092146761241345</v>
      </c>
      <c r="AF1302" s="46">
        <f t="shared" si="433"/>
        <v>-248.53980255950131</v>
      </c>
      <c r="AG1302" s="47">
        <f t="shared" si="434"/>
        <v>129.60436218691029</v>
      </c>
      <c r="AH1302" s="45" t="str">
        <f t="shared" si="438"/>
        <v>-248.53980,42.09215,00130</v>
      </c>
      <c r="AI1302" s="44">
        <f t="shared" si="440"/>
        <v>1021.4023847738233</v>
      </c>
    </row>
    <row r="1303" spans="1:35" ht="18" customHeight="1" x14ac:dyDescent="0.25">
      <c r="A1303" s="36">
        <f t="shared" si="435"/>
        <v>0.75454861111111116</v>
      </c>
      <c r="B1303" s="42">
        <f t="shared" si="420"/>
        <v>42.092146759688788</v>
      </c>
      <c r="C1303" s="43">
        <f t="shared" si="421"/>
        <v>111.46019599046893</v>
      </c>
      <c r="D1303" s="18">
        <f t="shared" si="422"/>
        <v>0.11616694414624362</v>
      </c>
      <c r="E1303" s="21" t="str">
        <f t="shared" si="423"/>
        <v>Umbra</v>
      </c>
      <c r="F1303" s="23">
        <f>IF($E1303&lt;&gt;"Umbra",fracil2($S$2,$S$3,$S$4,$A1303,$Q$2,$O$3,$Q$4,$U1303,$V1303,$W1303),0)</f>
        <v>0</v>
      </c>
      <c r="G1303" s="19">
        <f t="shared" si="424"/>
        <v>69.302350764191488</v>
      </c>
      <c r="H1303" s="19">
        <f t="shared" si="425"/>
        <v>-4.8440183547017321</v>
      </c>
      <c r="I1303" s="19">
        <f t="shared" si="426"/>
        <v>-3.6360004053068371</v>
      </c>
      <c r="J1303" s="28">
        <f t="shared" si="427"/>
        <v>4.6455261041200456E-3</v>
      </c>
      <c r="K1303" s="24">
        <f t="shared" si="428"/>
        <v>1047.8123642355606</v>
      </c>
      <c r="L1303" s="32">
        <f t="shared" si="429"/>
        <v>0.5665377627792757</v>
      </c>
      <c r="M1303" s="35">
        <f t="shared" si="430"/>
        <v>12.801283234850404</v>
      </c>
      <c r="O1303" s="29">
        <f t="shared" si="431"/>
        <v>1046.5869408692461</v>
      </c>
      <c r="T1303" s="48">
        <v>0.75454861111111116</v>
      </c>
      <c r="U1303" s="29">
        <v>-1538.5587898505382</v>
      </c>
      <c r="V1303" s="29">
        <v>4483.5931124876724</v>
      </c>
      <c r="W1303" s="29">
        <v>4253.2810474883063</v>
      </c>
      <c r="X1303" s="4">
        <v>-0.3237116725790633</v>
      </c>
      <c r="Y1303" s="4">
        <v>-0.12163503194807286</v>
      </c>
      <c r="Z1303" s="4">
        <v>-9.0163336868309494E-3</v>
      </c>
      <c r="AA1303" s="3">
        <f t="shared" si="436"/>
        <v>0.34592719209986322</v>
      </c>
      <c r="AB1303" s="3">
        <f t="shared" si="439"/>
        <v>1.0473669833638423E-3</v>
      </c>
      <c r="AC1303" s="3">
        <f t="shared" si="437"/>
        <v>1.3490682522791286E-2</v>
      </c>
      <c r="AD1303" s="48"/>
      <c r="AE1303" s="46">
        <f t="shared" si="432"/>
        <v>42.092146759688788</v>
      </c>
      <c r="AF1303" s="46">
        <f t="shared" si="433"/>
        <v>-248.53980400953105</v>
      </c>
      <c r="AG1303" s="47">
        <f t="shared" si="434"/>
        <v>116.16694414624362</v>
      </c>
      <c r="AH1303" s="45" t="str">
        <f t="shared" si="438"/>
        <v>-248.53980,42.09215,00116</v>
      </c>
      <c r="AI1303" s="44">
        <f t="shared" si="440"/>
        <v>1021.4025190326083</v>
      </c>
    </row>
    <row r="1304" spans="1:35" ht="18" customHeight="1" x14ac:dyDescent="0.25">
      <c r="A1304" s="36">
        <f t="shared" si="435"/>
        <v>0.75456018518518519</v>
      </c>
      <c r="B1304" s="42">
        <f t="shared" si="420"/>
        <v>42.09214675813601</v>
      </c>
      <c r="C1304" s="43">
        <f t="shared" si="421"/>
        <v>111.46019545679562</v>
      </c>
      <c r="D1304" s="18">
        <f t="shared" si="422"/>
        <v>0.10272341258769302</v>
      </c>
      <c r="E1304" s="21" t="str">
        <f t="shared" si="423"/>
        <v>Umbra</v>
      </c>
      <c r="F1304" s="23">
        <f>IF($E1304&lt;&gt;"Umbra",fracil2($S$2,$S$3,$S$4,$A1304,$Q$2,$O$3,$Q$4,$U1304,$V1304,$W1304),0)</f>
        <v>0</v>
      </c>
      <c r="G1304" s="19">
        <f t="shared" si="424"/>
        <v>69.302352631684386</v>
      </c>
      <c r="H1304" s="19">
        <f t="shared" si="425"/>
        <v>-4.8447508698875401</v>
      </c>
      <c r="I1304" s="19">
        <f t="shared" si="426"/>
        <v>-3.6367329204926451</v>
      </c>
      <c r="J1304" s="28">
        <f t="shared" si="427"/>
        <v>4.6450806514482116E-3</v>
      </c>
      <c r="K1304" s="24">
        <f t="shared" si="428"/>
        <v>1047.8112351905609</v>
      </c>
      <c r="L1304" s="32">
        <f t="shared" si="429"/>
        <v>0.56655092017304665</v>
      </c>
      <c r="M1304" s="35">
        <f t="shared" si="430"/>
        <v>12.800788089096098</v>
      </c>
      <c r="O1304" s="29">
        <f t="shared" si="431"/>
        <v>1046.5868979213024</v>
      </c>
      <c r="T1304" s="48">
        <v>0.75456018518518519</v>
      </c>
      <c r="U1304" s="29">
        <v>-1538.8824541912302</v>
      </c>
      <c r="V1304" s="29">
        <v>4483.4714858470979</v>
      </c>
      <c r="W1304" s="29">
        <v>4253.2720358257493</v>
      </c>
      <c r="X1304" s="4">
        <v>-0.3237045924342643</v>
      </c>
      <c r="Y1304" s="4">
        <v>-0.12165116914046654</v>
      </c>
      <c r="Z1304" s="4">
        <v>-9.0094307028969929E-3</v>
      </c>
      <c r="AA1304" s="3">
        <f t="shared" si="436"/>
        <v>0.34592606140310656</v>
      </c>
      <c r="AB1304" s="3">
        <f t="shared" si="439"/>
        <v>1.0470440546773111E-3</v>
      </c>
      <c r="AC1304" s="3">
        <f t="shared" si="437"/>
        <v>1.3480415208791152E-2</v>
      </c>
      <c r="AD1304" s="48"/>
      <c r="AE1304" s="46">
        <f t="shared" si="432"/>
        <v>42.09214675813601</v>
      </c>
      <c r="AF1304" s="46">
        <f t="shared" si="433"/>
        <v>-248.53980454320438</v>
      </c>
      <c r="AG1304" s="47">
        <f t="shared" si="434"/>
        <v>102.72341258769302</v>
      </c>
      <c r="AH1304" s="45" t="str">
        <f t="shared" si="438"/>
        <v>-248.53980,42.09215,00103</v>
      </c>
      <c r="AI1304" s="44">
        <f t="shared" si="440"/>
        <v>1021.4025190326083</v>
      </c>
    </row>
    <row r="1305" spans="1:35" ht="18" customHeight="1" x14ac:dyDescent="0.25">
      <c r="A1305" s="36">
        <f t="shared" si="435"/>
        <v>0.75457180555555559</v>
      </c>
      <c r="B1305" s="42">
        <f t="shared" si="420"/>
        <v>42.092146756577904</v>
      </c>
      <c r="C1305" s="43">
        <f t="shared" si="421"/>
        <v>111.46019752025508</v>
      </c>
      <c r="D1305" s="18">
        <f t="shared" si="422"/>
        <v>8.9228108000497741E-2</v>
      </c>
      <c r="E1305" s="21" t="str">
        <f t="shared" si="423"/>
        <v>Umbra</v>
      </c>
      <c r="F1305" s="23">
        <f>IF($E1305&lt;&gt;"Umbra",fracil2($S$2,$S$3,$S$4,$A1305,$Q$2,$O$3,$Q$4,$U1305,$V1305,$W1305),0)</f>
        <v>0</v>
      </c>
      <c r="G1305" s="19">
        <f t="shared" si="424"/>
        <v>69.302357151425312</v>
      </c>
      <c r="H1305" s="19">
        <f t="shared" si="425"/>
        <v>-4.8454871247310995</v>
      </c>
      <c r="I1305" s="19">
        <f t="shared" si="426"/>
        <v>-3.6374691753362045</v>
      </c>
      <c r="J1305" s="28">
        <f t="shared" si="427"/>
        <v>4.6446332297741246E-3</v>
      </c>
      <c r="K1305" s="24">
        <f t="shared" si="428"/>
        <v>1047.8103108630917</v>
      </c>
      <c r="L1305" s="32">
        <f t="shared" si="429"/>
        <v>0.5665641268785806</v>
      </c>
      <c r="M1305" s="35">
        <f t="shared" si="430"/>
        <v>12.800288461016489</v>
      </c>
      <c r="O1305" s="29">
        <f t="shared" si="431"/>
        <v>1046.5870637913217</v>
      </c>
      <c r="T1305" s="48">
        <v>0.75457180555555559</v>
      </c>
      <c r="U1305" s="29">
        <v>-1539.2076074477407</v>
      </c>
      <c r="V1305" s="29">
        <v>4483.3492807742196</v>
      </c>
      <c r="W1305" s="29">
        <v>4253.2629894579986</v>
      </c>
      <c r="X1305" s="4">
        <v>-0.32369747865181275</v>
      </c>
      <c r="Y1305" s="4">
        <v>-0.12166738307441866</v>
      </c>
      <c r="Z1305" s="4">
        <v>-9.0024980638644149E-3</v>
      </c>
      <c r="AA1305" s="3">
        <f t="shared" si="436"/>
        <v>0.34592492648132195</v>
      </c>
      <c r="AB1305" s="3">
        <f t="shared" si="439"/>
        <v>1.0473479901766229E-3</v>
      </c>
      <c r="AC1305" s="3">
        <f t="shared" si="437"/>
        <v>1.3470103833221895E-2</v>
      </c>
      <c r="AD1305" s="48"/>
      <c r="AE1305" s="46">
        <f t="shared" si="432"/>
        <v>42.092146756577904</v>
      </c>
      <c r="AF1305" s="46">
        <f t="shared" si="433"/>
        <v>-248.53980247974494</v>
      </c>
      <c r="AG1305" s="47">
        <f t="shared" si="434"/>
        <v>89.228108000497741</v>
      </c>
      <c r="AH1305" s="45" t="str">
        <f t="shared" si="438"/>
        <v>-248.53980,42.09215,00089</v>
      </c>
      <c r="AI1305" s="44">
        <f t="shared" si="440"/>
        <v>1021.4026532913933</v>
      </c>
    </row>
    <row r="1306" spans="1:35" ht="18" customHeight="1" x14ac:dyDescent="0.25">
      <c r="A1306" s="36">
        <f t="shared" si="435"/>
        <v>0.75458335648148145</v>
      </c>
      <c r="B1306" s="42">
        <f t="shared" si="420"/>
        <v>42.092146755032445</v>
      </c>
      <c r="C1306" s="43">
        <f t="shared" si="421"/>
        <v>111.46019595108314</v>
      </c>
      <c r="D1306" s="18">
        <f t="shared" si="422"/>
        <v>7.5835371289940667E-2</v>
      </c>
      <c r="E1306" s="21" t="str">
        <f t="shared" si="423"/>
        <v>Umbra</v>
      </c>
      <c r="F1306" s="23">
        <f>IF($E1306&lt;&gt;"Umbra",fracil2($S$2,$S$3,$S$4,$A1306,$Q$2,$O$3,$Q$4,$U1306,$V1306,$W1306),0)</f>
        <v>0</v>
      </c>
      <c r="G1306" s="19">
        <f t="shared" si="424"/>
        <v>69.302357956052603</v>
      </c>
      <c r="H1306" s="19">
        <f t="shared" si="425"/>
        <v>-4.846216509197907</v>
      </c>
      <c r="I1306" s="19">
        <f t="shared" si="426"/>
        <v>-3.638198559803012</v>
      </c>
      <c r="J1306" s="28">
        <f t="shared" si="427"/>
        <v>4.644189414626838E-3</v>
      </c>
      <c r="K1306" s="24">
        <f t="shared" si="428"/>
        <v>1047.8091030422261</v>
      </c>
      <c r="L1306" s="32">
        <f t="shared" si="429"/>
        <v>0.56657725643123757</v>
      </c>
      <c r="M1306" s="35">
        <f t="shared" si="430"/>
        <v>12.799796200771771</v>
      </c>
      <c r="O1306" s="29">
        <f t="shared" si="431"/>
        <v>1046.5869375860334</v>
      </c>
      <c r="T1306" s="48">
        <v>0.75458335648148145</v>
      </c>
      <c r="U1306" s="29">
        <v>-1539.5305300022007</v>
      </c>
      <c r="V1306" s="29">
        <v>4483.2278953030664</v>
      </c>
      <c r="W1306" s="29">
        <v>4253.2540118450988</v>
      </c>
      <c r="X1306" s="4">
        <v>-0.32369041107988833</v>
      </c>
      <c r="Y1306" s="4">
        <v>-0.1216834927296214</v>
      </c>
      <c r="Z1306" s="4">
        <v>-8.9956193370090039E-3</v>
      </c>
      <c r="AA1306" s="3">
        <f t="shared" si="436"/>
        <v>0.3459238005619204</v>
      </c>
      <c r="AB1306" s="3">
        <f t="shared" si="439"/>
        <v>1.0454461932842139E-3</v>
      </c>
      <c r="AC1306" s="3">
        <f t="shared" si="437"/>
        <v>1.3459872691141348E-2</v>
      </c>
      <c r="AD1306" s="48"/>
      <c r="AE1306" s="46">
        <f t="shared" si="432"/>
        <v>42.092146755032445</v>
      </c>
      <c r="AF1306" s="46">
        <f t="shared" si="433"/>
        <v>-248.53980404891686</v>
      </c>
      <c r="AG1306" s="47">
        <f t="shared" si="434"/>
        <v>75.835371289940667</v>
      </c>
      <c r="AH1306" s="45" t="str">
        <f t="shared" si="438"/>
        <v>-248.53980,42.09215,00076</v>
      </c>
      <c r="AI1306" s="44">
        <f t="shared" si="440"/>
        <v>1021.4027875501783</v>
      </c>
    </row>
    <row r="1307" spans="1:35" ht="18" customHeight="1" x14ac:dyDescent="0.25">
      <c r="A1307" s="36">
        <f t="shared" si="435"/>
        <v>0.75459502314814808</v>
      </c>
      <c r="B1307" s="42">
        <f t="shared" si="420"/>
        <v>42.092146753472633</v>
      </c>
      <c r="C1307" s="43">
        <f t="shared" si="421"/>
        <v>111.46019614237589</v>
      </c>
      <c r="D1307" s="18">
        <f t="shared" si="422"/>
        <v>6.2313127525158052E-2</v>
      </c>
      <c r="E1307" s="21" t="str">
        <f t="shared" si="423"/>
        <v>Umbra</v>
      </c>
      <c r="F1307" s="23">
        <f>IF($E1307&lt;&gt;"Umbra",fracil2($S$2,$S$3,$S$4,$A1307,$Q$2,$O$3,$Q$4,$U1307,$V1307,$W1307),0)</f>
        <v>0</v>
      </c>
      <c r="G1307" s="19">
        <f t="shared" si="424"/>
        <v>69.302360575435969</v>
      </c>
      <c r="H1307" s="19">
        <f t="shared" si="425"/>
        <v>-4.8469535747614767</v>
      </c>
      <c r="I1307" s="19">
        <f t="shared" si="426"/>
        <v>-3.6389356253665817</v>
      </c>
      <c r="J1307" s="28">
        <f t="shared" si="427"/>
        <v>4.6437411121218568E-3</v>
      </c>
      <c r="K1307" s="24">
        <f t="shared" si="428"/>
        <v>1047.8080264199618</v>
      </c>
      <c r="L1307" s="32">
        <f t="shared" si="429"/>
        <v>0.56659051489213985</v>
      </c>
      <c r="M1307" s="35">
        <f t="shared" si="430"/>
        <v>12.799297419230687</v>
      </c>
      <c r="O1307" s="29">
        <f t="shared" si="431"/>
        <v>1046.5869529275908</v>
      </c>
      <c r="T1307" s="48">
        <v>0.75459502314814808</v>
      </c>
      <c r="U1307" s="29">
        <v>-1539.85681870293</v>
      </c>
      <c r="V1307" s="29">
        <v>4483.1052254916012</v>
      </c>
      <c r="W1307" s="29">
        <v>4253.2449474192063</v>
      </c>
      <c r="X1307" s="4">
        <v>-0.32368326857140667</v>
      </c>
      <c r="Y1307" s="4">
        <v>-0.12169977338198343</v>
      </c>
      <c r="Z1307" s="4">
        <v>-8.9886715424878846E-3</v>
      </c>
      <c r="AA1307" s="3">
        <f t="shared" si="436"/>
        <v>0.34592266391549747</v>
      </c>
      <c r="AB1307" s="3">
        <f t="shared" si="439"/>
        <v>1.0454628951061863E-3</v>
      </c>
      <c r="AC1307" s="3">
        <f t="shared" si="437"/>
        <v>1.3449538867518773E-2</v>
      </c>
      <c r="AD1307" s="48"/>
      <c r="AE1307" s="46">
        <f t="shared" si="432"/>
        <v>42.092146753472633</v>
      </c>
      <c r="AF1307" s="46">
        <f t="shared" si="433"/>
        <v>-248.53980385762412</v>
      </c>
      <c r="AG1307" s="47">
        <f t="shared" si="434"/>
        <v>62.313127525158052</v>
      </c>
      <c r="AH1307" s="45" t="str">
        <f t="shared" si="438"/>
        <v>-248.53980,42.09215,00062</v>
      </c>
      <c r="AI1307" s="44">
        <f t="shared" si="440"/>
        <v>1021.4027875501783</v>
      </c>
    </row>
    <row r="1308" spans="1:35" ht="18" customHeight="1" x14ac:dyDescent="0.25">
      <c r="A1308" s="36">
        <f t="shared" si="435"/>
        <v>0.75460650462962964</v>
      </c>
      <c r="B1308" s="42">
        <f t="shared" si="420"/>
        <v>42.092146751939673</v>
      </c>
      <c r="C1308" s="43">
        <f t="shared" si="421"/>
        <v>111.46019566335993</v>
      </c>
      <c r="D1308" s="18">
        <f t="shared" si="422"/>
        <v>4.9017859259038232E-2</v>
      </c>
      <c r="E1308" s="21" t="str">
        <f t="shared" si="423"/>
        <v>Umbra</v>
      </c>
      <c r="F1308" s="23">
        <f>IF($E1308&lt;&gt;"Umbra",fracil2($S$2,$S$3,$S$4,$A1308,$Q$2,$O$3,$Q$4,$U1308,$V1308,$W1308),0)</f>
        <v>0</v>
      </c>
      <c r="G1308" s="19">
        <f t="shared" si="424"/>
        <v>69.302362471990079</v>
      </c>
      <c r="H1308" s="19">
        <f t="shared" si="425"/>
        <v>-4.8476780346509223</v>
      </c>
      <c r="I1308" s="19">
        <f t="shared" si="426"/>
        <v>-3.6396600852560272</v>
      </c>
      <c r="J1308" s="28">
        <f t="shared" si="427"/>
        <v>4.6433003482067381E-3</v>
      </c>
      <c r="K1308" s="24">
        <f t="shared" si="428"/>
        <v>1047.8069144246199</v>
      </c>
      <c r="L1308" s="32">
        <f t="shared" si="429"/>
        <v>0.56660356227108633</v>
      </c>
      <c r="M1308" s="35">
        <f t="shared" si="430"/>
        <v>12.798807663893514</v>
      </c>
      <c r="O1308" s="29">
        <f t="shared" si="431"/>
        <v>1046.5869143747743</v>
      </c>
      <c r="T1308" s="48">
        <v>0.75460650462962964</v>
      </c>
      <c r="U1308" s="29">
        <v>-1540.1778694974398</v>
      </c>
      <c r="V1308" s="29">
        <v>4482.9845062324594</v>
      </c>
      <c r="W1308" s="29">
        <v>4253.2360351428651</v>
      </c>
      <c r="X1308" s="4">
        <v>-0.32367623873130763</v>
      </c>
      <c r="Y1308" s="4">
        <v>-0.12171579787480989</v>
      </c>
      <c r="Z1308" s="4">
        <v>-8.9818399507043904E-3</v>
      </c>
      <c r="AA1308" s="3">
        <f t="shared" si="436"/>
        <v>0.34592154662646862</v>
      </c>
      <c r="AB1308" s="3">
        <f t="shared" si="439"/>
        <v>1.0445529380379061E-3</v>
      </c>
      <c r="AC1308" s="3">
        <f t="shared" si="437"/>
        <v>1.3439377924497189E-2</v>
      </c>
      <c r="AD1308" s="48"/>
      <c r="AE1308" s="46">
        <f t="shared" si="432"/>
        <v>42.092146751939673</v>
      </c>
      <c r="AF1308" s="46">
        <f t="shared" si="433"/>
        <v>-248.53980433664009</v>
      </c>
      <c r="AG1308" s="47">
        <f t="shared" si="434"/>
        <v>49.017859259038232</v>
      </c>
      <c r="AH1308" s="45" t="str">
        <f t="shared" si="438"/>
        <v>-248.53980,42.09215,00049</v>
      </c>
      <c r="AI1308" s="44">
        <f t="shared" si="440"/>
        <v>1021.4028824854763</v>
      </c>
    </row>
    <row r="1309" spans="1:35" ht="18" customHeight="1" x14ac:dyDescent="0.25">
      <c r="A1309" s="36">
        <f t="shared" si="435"/>
        <v>0.75461804398148147</v>
      </c>
      <c r="B1309" s="42">
        <f t="shared" si="420"/>
        <v>42.092146750400879</v>
      </c>
      <c r="C1309" s="43">
        <f t="shared" si="421"/>
        <v>111.46019504552888</v>
      </c>
      <c r="D1309" s="18">
        <f t="shared" si="422"/>
        <v>3.5666196939018846E-2</v>
      </c>
      <c r="E1309" s="21" t="str">
        <f t="shared" si="423"/>
        <v>Umbra</v>
      </c>
      <c r="F1309" s="23">
        <f>IF($E1309&lt;&gt;"Umbra",fracil2($S$2,$S$3,$S$4,$A1309,$Q$2,$O$3,$Q$4,$U1309,$V1309,$W1309),0)</f>
        <v>0</v>
      </c>
      <c r="G1309" s="19">
        <f t="shared" si="424"/>
        <v>69.302364237398066</v>
      </c>
      <c r="H1309" s="19">
        <f t="shared" si="425"/>
        <v>-4.8484055207745342</v>
      </c>
      <c r="I1309" s="19">
        <f t="shared" si="426"/>
        <v>-3.6403875713796392</v>
      </c>
      <c r="J1309" s="28">
        <f t="shared" si="427"/>
        <v>4.6428576905634391E-3</v>
      </c>
      <c r="K1309" s="24">
        <f t="shared" si="428"/>
        <v>1047.8057868883013</v>
      </c>
      <c r="L1309" s="32">
        <f t="shared" si="429"/>
        <v>0.56661667435051222</v>
      </c>
      <c r="M1309" s="35">
        <f t="shared" si="430"/>
        <v>12.798315960855751</v>
      </c>
      <c r="O1309" s="29">
        <f t="shared" si="431"/>
        <v>1046.5868646606227</v>
      </c>
      <c r="T1309" s="48">
        <v>0.75461804398148147</v>
      </c>
      <c r="U1309" s="29">
        <v>-1540.5005209017274</v>
      </c>
      <c r="V1309" s="29">
        <v>4482.8631664650484</v>
      </c>
      <c r="W1309" s="29">
        <v>4253.227085063706</v>
      </c>
      <c r="X1309" s="4">
        <v>-0.32366917197855882</v>
      </c>
      <c r="Y1309" s="4">
        <v>-0.12173190708348962</v>
      </c>
      <c r="Z1309" s="4">
        <v>-8.9749786183728544E-3</v>
      </c>
      <c r="AA1309" s="3">
        <f t="shared" si="436"/>
        <v>0.3459204248561647</v>
      </c>
      <c r="AB1309" s="3">
        <f t="shared" si="439"/>
        <v>1.043834276160793E-3</v>
      </c>
      <c r="AC1309" s="3">
        <f t="shared" si="437"/>
        <v>1.3429172793101912E-2</v>
      </c>
      <c r="AD1309" s="48"/>
      <c r="AE1309" s="46">
        <f t="shared" si="432"/>
        <v>42.092146750400879</v>
      </c>
      <c r="AF1309" s="46">
        <f t="shared" si="433"/>
        <v>-248.53980495447112</v>
      </c>
      <c r="AG1309" s="47">
        <f t="shared" si="434"/>
        <v>35.666196939018846</v>
      </c>
      <c r="AH1309" s="45" t="str">
        <f t="shared" si="438"/>
        <v>-248.53980,42.09215,00036</v>
      </c>
      <c r="AI1309" s="44">
        <f t="shared" si="440"/>
        <v>1021.4028824854763</v>
      </c>
    </row>
    <row r="1310" spans="1:35" ht="18" customHeight="1" x14ac:dyDescent="0.25">
      <c r="A1310" s="36">
        <f t="shared" si="435"/>
        <v>0.75462962962962965</v>
      </c>
      <c r="B1310" s="42">
        <f t="shared" si="420"/>
        <v>42.0921467488578</v>
      </c>
      <c r="C1310" s="43">
        <f t="shared" si="421"/>
        <v>111.46019424707124</v>
      </c>
      <c r="D1310" s="18">
        <f t="shared" si="422"/>
        <v>2.2271799415648275E-2</v>
      </c>
      <c r="E1310" s="21" t="str">
        <f t="shared" si="423"/>
        <v>Umbra</v>
      </c>
      <c r="F1310" s="23">
        <f>IF($E1310&lt;&gt;"Umbra",fracil2($S$2,$S$3,$S$4,$A1310,$Q$2,$O$3,$Q$4,$U1310,$V1310,$W1310),0)</f>
        <v>0</v>
      </c>
      <c r="G1310" s="19">
        <f t="shared" si="424"/>
        <v>69.302365826661983</v>
      </c>
      <c r="H1310" s="19">
        <f t="shared" si="425"/>
        <v>-4.8491352739858025</v>
      </c>
      <c r="I1310" s="19">
        <f t="shared" si="426"/>
        <v>-3.6411173245909074</v>
      </c>
      <c r="J1310" s="28">
        <f t="shared" si="427"/>
        <v>4.6424135914605565E-3</v>
      </c>
      <c r="K1310" s="24">
        <f t="shared" si="428"/>
        <v>1047.8046415552742</v>
      </c>
      <c r="L1310" s="32">
        <f t="shared" si="429"/>
        <v>0.56662983799856226</v>
      </c>
      <c r="M1310" s="35">
        <f t="shared" si="430"/>
        <v>12.797822855004437</v>
      </c>
      <c r="O1310" s="29">
        <f t="shared" si="431"/>
        <v>1046.5868004233737</v>
      </c>
      <c r="T1310" s="48">
        <v>0.75462962962962965</v>
      </c>
      <c r="U1310" s="29">
        <v>-1540.8244459103535</v>
      </c>
      <c r="V1310" s="29">
        <v>4482.7413289108854</v>
      </c>
      <c r="W1310" s="29">
        <v>4253.2181063377184</v>
      </c>
      <c r="X1310" s="4">
        <v>-0.32366207545722658</v>
      </c>
      <c r="Y1310" s="4">
        <v>-0.12174808472130554</v>
      </c>
      <c r="Z1310" s="4">
        <v>-8.9680945338498855E-3</v>
      </c>
      <c r="AA1310" s="3">
        <f t="shared" si="436"/>
        <v>0.34591929975379182</v>
      </c>
      <c r="AB1310" s="3">
        <f t="shared" si="439"/>
        <v>1.0431058924713237E-3</v>
      </c>
      <c r="AC1310" s="3">
        <f t="shared" si="437"/>
        <v>1.3418933868023926E-2</v>
      </c>
      <c r="AD1310" s="48"/>
      <c r="AE1310" s="46">
        <f t="shared" si="432"/>
        <v>42.0921467488578</v>
      </c>
      <c r="AF1310" s="46">
        <f t="shared" si="433"/>
        <v>-248.53980575292877</v>
      </c>
      <c r="AG1310" s="47">
        <f t="shared" si="434"/>
        <v>22.271799415648275</v>
      </c>
      <c r="AH1310" s="45" t="str">
        <f t="shared" si="438"/>
        <v>-248.53981,42.09215,00022</v>
      </c>
      <c r="AI1310" s="44">
        <f t="shared" si="440"/>
        <v>1021.4028824854763</v>
      </c>
    </row>
    <row r="1311" spans="1:35" ht="18" customHeight="1" x14ac:dyDescent="0.25">
      <c r="A1311" s="36">
        <f t="shared" si="435"/>
        <v>0.75464127314814811</v>
      </c>
      <c r="B1311" s="42">
        <f t="shared" si="420"/>
        <v>42.092146747308732</v>
      </c>
      <c r="C1311" s="43">
        <f t="shared" si="421"/>
        <v>111.46019415852597</v>
      </c>
      <c r="D1311" s="18">
        <f t="shared" si="422"/>
        <v>8.8185648901344393E-3</v>
      </c>
      <c r="E1311" s="21" t="str">
        <f t="shared" si="423"/>
        <v>Umbra</v>
      </c>
      <c r="F1311" s="23">
        <f>IF($E1311&lt;&gt;"Umbra",fracil2($S$2,$S$3,$S$4,$A1311,$Q$2,$O$3,$Q$4,$U1311,$V1311,$W1311),0)</f>
        <v>0</v>
      </c>
      <c r="G1311" s="19">
        <f t="shared" si="424"/>
        <v>69.302368148919811</v>
      </c>
      <c r="H1311" s="19">
        <f t="shared" si="425"/>
        <v>-4.8498684858272787</v>
      </c>
      <c r="I1311" s="19">
        <f t="shared" si="426"/>
        <v>-3.6418505364323837</v>
      </c>
      <c r="J1311" s="28">
        <f t="shared" si="427"/>
        <v>4.6419674245395505E-3</v>
      </c>
      <c r="K1311" s="24">
        <f t="shared" si="428"/>
        <v>1047.8035486987906</v>
      </c>
      <c r="L1311" s="32">
        <f t="shared" si="429"/>
        <v>0.56664306562033573</v>
      </c>
      <c r="M1311" s="35">
        <f t="shared" si="430"/>
        <v>12.79732687226417</v>
      </c>
      <c r="O1311" s="29">
        <f t="shared" si="431"/>
        <v>1046.5867932652955</v>
      </c>
      <c r="T1311" s="48">
        <v>0.75464127314814811</v>
      </c>
      <c r="U1311" s="29">
        <v>-1541.1500370750914</v>
      </c>
      <c r="V1311" s="29">
        <v>4482.6188456570098</v>
      </c>
      <c r="W1311" s="29">
        <v>4253.2090881713302</v>
      </c>
      <c r="X1311" s="4">
        <v>-0.32365494090684371</v>
      </c>
      <c r="Y1311" s="4">
        <v>-0.12176434939202392</v>
      </c>
      <c r="Z1311" s="4">
        <v>-8.9611783944582631E-3</v>
      </c>
      <c r="AA1311" s="3">
        <f t="shared" si="436"/>
        <v>0.34591816991088037</v>
      </c>
      <c r="AB1311" s="3">
        <f t="shared" si="439"/>
        <v>1.0427496490694166E-3</v>
      </c>
      <c r="AC1311" s="3">
        <f t="shared" si="437"/>
        <v>1.3408647313746854E-2</v>
      </c>
      <c r="AD1311" s="48"/>
      <c r="AE1311" s="46">
        <f t="shared" si="432"/>
        <v>42.092146747308732</v>
      </c>
      <c r="AF1311" s="46">
        <f t="shared" si="433"/>
        <v>-248.53980584147405</v>
      </c>
      <c r="AG1311" s="47">
        <f t="shared" si="434"/>
        <v>8.8185648901344393</v>
      </c>
      <c r="AH1311" s="45" t="str">
        <f t="shared" si="438"/>
        <v>-248.53981,42.09215,00009</v>
      </c>
      <c r="AI1311" s="44">
        <f t="shared" si="440"/>
        <v>1021.4028824854763</v>
      </c>
    </row>
    <row r="1312" spans="1:35" ht="18" customHeight="1" x14ac:dyDescent="0.25">
      <c r="A1312" s="36">
        <f t="shared" si="435"/>
        <v>0.75465282407407408</v>
      </c>
      <c r="B1312" s="42">
        <f t="shared" si="420"/>
        <v>42.092146745773263</v>
      </c>
      <c r="C1312" s="43">
        <f t="shared" si="421"/>
        <v>111.46019531567116</v>
      </c>
      <c r="D1312" s="18">
        <f t="shared" si="422"/>
        <v>-4.5214146621219697E-3</v>
      </c>
      <c r="E1312" s="21" t="str">
        <f t="shared" si="423"/>
        <v>Umbra</v>
      </c>
      <c r="F1312" s="23">
        <f>IF($E1312&lt;&gt;"Umbra",fracil2($S$2,$S$3,$S$4,$A1312,$Q$2,$O$3,$Q$4,$U1312,$V1312,$W1312),0)</f>
        <v>0</v>
      </c>
      <c r="G1312" s="19">
        <f t="shared" si="424"/>
        <v>69.302371718545203</v>
      </c>
      <c r="H1312" s="19">
        <f t="shared" si="425"/>
        <v>-4.850595965444116</v>
      </c>
      <c r="I1312" s="19">
        <f t="shared" si="426"/>
        <v>-3.6425780160492209</v>
      </c>
      <c r="J1312" s="28">
        <f t="shared" si="427"/>
        <v>4.6415249705125091E-3</v>
      </c>
      <c r="K1312" s="24">
        <f t="shared" si="428"/>
        <v>1047.8025652656931</v>
      </c>
      <c r="L1312" s="32">
        <f t="shared" si="429"/>
        <v>0.56665618584931143</v>
      </c>
      <c r="M1312" s="35">
        <f t="shared" si="430"/>
        <v>12.796833828838986</v>
      </c>
      <c r="O1312" s="29">
        <f t="shared" si="431"/>
        <v>1046.586886265198</v>
      </c>
      <c r="T1312" s="48">
        <v>0.75465282407407408</v>
      </c>
      <c r="U1312" s="29">
        <v>-1541.4731283963345</v>
      </c>
      <c r="V1312" s="29">
        <v>4482.4972839660077</v>
      </c>
      <c r="W1312" s="29">
        <v>4253.2001459236953</v>
      </c>
      <c r="X1312" s="4">
        <v>-0.32364785913852451</v>
      </c>
      <c r="Y1312" s="4">
        <v>-0.12178049437260691</v>
      </c>
      <c r="Z1312" s="4">
        <v>-8.9543200190329193E-3</v>
      </c>
      <c r="AA1312" s="3">
        <f t="shared" si="436"/>
        <v>0.34591704985673949</v>
      </c>
      <c r="AB1312" s="3">
        <f t="shared" si="439"/>
        <v>1.0423246785792426E-3</v>
      </c>
      <c r="AC1312" s="3">
        <f t="shared" si="437"/>
        <v>1.339844672002026E-2</v>
      </c>
      <c r="AD1312" s="48"/>
      <c r="AE1312" s="46">
        <f t="shared" si="432"/>
        <v>42.092146745773263</v>
      </c>
      <c r="AF1312" s="46">
        <f t="shared" si="433"/>
        <v>-248.53980468432883</v>
      </c>
      <c r="AG1312" s="47">
        <f t="shared" si="434"/>
        <v>-4.5214146621219697</v>
      </c>
      <c r="AH1312" s="45" t="str">
        <f t="shared" si="438"/>
        <v>-248.53980,42.09215,-00005</v>
      </c>
      <c r="AI1312" s="44">
        <f t="shared" si="440"/>
        <v>1021.4029774207743</v>
      </c>
    </row>
  </sheetData>
  <mergeCells count="8">
    <mergeCell ref="R1:S1"/>
    <mergeCell ref="H4:I4"/>
    <mergeCell ref="U3:Z3"/>
    <mergeCell ref="A1:M1"/>
    <mergeCell ref="A2:M2"/>
    <mergeCell ref="B3:D3"/>
    <mergeCell ref="G3:M3"/>
    <mergeCell ref="N1:P1"/>
  </mergeCells>
  <conditionalFormatting sqref="F14:G24 I14:M24 F6:G11 I6:M11 H6:H91 F33:M1312">
    <cfRule type="expression" dxfId="13" priority="23">
      <formula>$I6&gt;=0</formula>
    </cfRule>
  </conditionalFormatting>
  <conditionalFormatting sqref="F34:G34 I34:M34">
    <cfRule type="expression" dxfId="12" priority="22">
      <formula>$I34&gt;=0</formula>
    </cfRule>
  </conditionalFormatting>
  <conditionalFormatting sqref="F32:G32 I32:M32">
    <cfRule type="expression" dxfId="11" priority="21">
      <formula>$I32&gt;=0</formula>
    </cfRule>
  </conditionalFormatting>
  <conditionalFormatting sqref="F26:G31 I26:M31">
    <cfRule type="expression" dxfId="10" priority="19">
      <formula>$I26&gt;=0</formula>
    </cfRule>
  </conditionalFormatting>
  <conditionalFormatting sqref="F25:G28 I25:M28">
    <cfRule type="expression" dxfId="9" priority="18">
      <formula>$I25&gt;=0</formula>
    </cfRule>
  </conditionalFormatting>
  <conditionalFormatting sqref="F13:G13 I13:M13">
    <cfRule type="expression" dxfId="8" priority="17">
      <formula>$I13&gt;=0</formula>
    </cfRule>
  </conditionalFormatting>
  <conditionalFormatting sqref="F12:G12 I12:M12">
    <cfRule type="expression" dxfId="7" priority="16">
      <formula>$I12&gt;=0</formula>
    </cfRule>
  </conditionalFormatting>
  <conditionalFormatting sqref="H14:H24">
    <cfRule type="expression" dxfId="6" priority="14">
      <formula>$I14&gt;=0</formula>
    </cfRule>
  </conditionalFormatting>
  <conditionalFormatting sqref="H34">
    <cfRule type="expression" dxfId="5" priority="13">
      <formula>$I34&gt;=0</formula>
    </cfRule>
  </conditionalFormatting>
  <conditionalFormatting sqref="H32">
    <cfRule type="expression" dxfId="4" priority="12">
      <formula>$I32&gt;=0</formula>
    </cfRule>
  </conditionalFormatting>
  <conditionalFormatting sqref="H26:H31">
    <cfRule type="expression" dxfId="3" priority="10">
      <formula>$I26&gt;=0</formula>
    </cfRule>
  </conditionalFormatting>
  <conditionalFormatting sqref="H25:H28">
    <cfRule type="expression" dxfId="2" priority="9">
      <formula>$I25&gt;=0</formula>
    </cfRule>
  </conditionalFormatting>
  <conditionalFormatting sqref="H13">
    <cfRule type="expression" dxfId="1" priority="8">
      <formula>$I13&gt;=0</formula>
    </cfRule>
  </conditionalFormatting>
  <conditionalFormatting sqref="H12">
    <cfRule type="expression" dxfId="0" priority="7">
      <formula>$I12&gt;=0</formula>
    </cfRule>
  </conditionalFormatting>
  <printOptions horizontalCentered="1" verticalCentered="1"/>
  <pageMargins left="0.35433070866141736" right="0.35433070866141736" top="0.39370078740157483" bottom="0.39370078740157483" header="0.51181102362204722" footer="0.51181102362204722"/>
  <pageSetup orientation="landscape" horizontalDpi="4294967294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C9"/>
  <sheetViews>
    <sheetView workbookViewId="0">
      <selection activeCell="A7" sqref="A7"/>
    </sheetView>
  </sheetViews>
  <sheetFormatPr defaultRowHeight="15.6" x14ac:dyDescent="0.3"/>
  <cols>
    <col min="1" max="1" width="15" style="27" bestFit="1" customWidth="1"/>
    <col min="2" max="2" width="17.33203125" style="27" bestFit="1" customWidth="1"/>
    <col min="3" max="3" width="15.6640625" style="27" customWidth="1"/>
    <col min="4" max="16384" width="8.88671875" style="27"/>
  </cols>
  <sheetData>
    <row r="1" spans="1:3" x14ac:dyDescent="0.3">
      <c r="A1" s="25" t="s">
        <v>22</v>
      </c>
      <c r="B1" s="26">
        <v>3.3528099999999999E-3</v>
      </c>
      <c r="C1" s="27" t="s">
        <v>26</v>
      </c>
    </row>
    <row r="2" spans="1:3" x14ac:dyDescent="0.3">
      <c r="A2" s="25" t="s">
        <v>23</v>
      </c>
      <c r="B2" s="26">
        <f>(1-B$1)^2</f>
        <v>0.99330562133489608</v>
      </c>
    </row>
    <row r="3" spans="1:3" x14ac:dyDescent="0.3">
      <c r="A3" s="25" t="s">
        <v>24</v>
      </c>
      <c r="B3" s="26">
        <f>2*B$1-B$1*B$1</f>
        <v>6.6943786651038999E-3</v>
      </c>
    </row>
    <row r="5" spans="1:3" x14ac:dyDescent="0.3">
      <c r="A5" s="72" t="s">
        <v>25</v>
      </c>
      <c r="B5" s="72"/>
      <c r="C5" s="72"/>
    </row>
    <row r="7" spans="1:3" x14ac:dyDescent="0.3">
      <c r="B7" s="34"/>
    </row>
    <row r="8" spans="1:3" x14ac:dyDescent="0.3">
      <c r="B8" s="33"/>
      <c r="C8" s="33"/>
    </row>
    <row r="9" spans="1:3" x14ac:dyDescent="0.3">
      <c r="B9" s="33"/>
    </row>
  </sheetData>
  <mergeCells count="1">
    <mergeCell ref="A5:C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8392C-8C63-45A7-943E-EAB2DAF8AED8}">
  <dimension ref="A1:E9"/>
  <sheetViews>
    <sheetView workbookViewId="0">
      <selection activeCell="A4" sqref="A4"/>
    </sheetView>
  </sheetViews>
  <sheetFormatPr defaultRowHeight="14.4" x14ac:dyDescent="0.3"/>
  <cols>
    <col min="1" max="1" width="4.5546875" style="58" customWidth="1"/>
    <col min="2" max="2" width="24.33203125" style="58" bestFit="1" customWidth="1"/>
    <col min="3" max="16384" width="8.88671875" style="58"/>
  </cols>
  <sheetData>
    <row r="1" spans="1:5" x14ac:dyDescent="0.3">
      <c r="A1" s="59">
        <v>1</v>
      </c>
      <c r="B1" s="58" t="s">
        <v>53</v>
      </c>
      <c r="C1" s="58">
        <v>42.345430999999998</v>
      </c>
      <c r="D1" s="58">
        <v>111.44084700000001</v>
      </c>
      <c r="E1" s="58">
        <v>1251</v>
      </c>
    </row>
    <row r="2" spans="1:5" x14ac:dyDescent="0.3">
      <c r="A2" s="59">
        <v>2</v>
      </c>
      <c r="B2" s="73" t="s">
        <v>56</v>
      </c>
      <c r="C2" s="58">
        <v>39.346600000000002</v>
      </c>
      <c r="D2" s="60">
        <v>99.569299999999998</v>
      </c>
      <c r="E2" s="58">
        <v>1416</v>
      </c>
    </row>
    <row r="3" spans="1:5" x14ac:dyDescent="0.3">
      <c r="A3" s="59">
        <v>3</v>
      </c>
      <c r="B3" s="73" t="s">
        <v>57</v>
      </c>
      <c r="C3" s="58">
        <v>39.346288899999998</v>
      </c>
      <c r="D3" s="58">
        <v>99.569719399999997</v>
      </c>
      <c r="E3" s="58">
        <v>1416</v>
      </c>
    </row>
    <row r="4" spans="1:5" x14ac:dyDescent="0.3">
      <c r="A4" s="59"/>
    </row>
    <row r="5" spans="1:5" x14ac:dyDescent="0.3">
      <c r="A5" s="59"/>
    </row>
    <row r="6" spans="1:5" x14ac:dyDescent="0.3">
      <c r="A6" s="59"/>
    </row>
    <row r="7" spans="1:5" x14ac:dyDescent="0.3">
      <c r="A7" s="59"/>
    </row>
    <row r="8" spans="1:5" x14ac:dyDescent="0.3">
      <c r="A8" s="59"/>
    </row>
    <row r="9" spans="1:5" x14ac:dyDescent="0.3">
      <c r="A9" s="59"/>
      <c r="B9" s="60"/>
      <c r="D9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Compute Ephemeris</vt:lpstr>
      <vt:lpstr>Const</vt:lpstr>
      <vt:lpstr>Sites</vt:lpstr>
      <vt:lpstr>Chart1</vt:lpstr>
      <vt:lpstr>Chart1a</vt:lpstr>
      <vt:lpstr>Chart2</vt:lpstr>
      <vt:lpstr>Chart3</vt:lpstr>
      <vt:lpstr>Chart4</vt:lpstr>
      <vt:lpstr>Chart5</vt:lpstr>
      <vt:lpstr>Chart6</vt:lpstr>
      <vt:lpstr>Chart7</vt:lpstr>
      <vt:lpstr>Chart8</vt:lpstr>
      <vt:lpstr>Chart9</vt:lpstr>
      <vt:lpstr>Chart10</vt:lpstr>
      <vt:lpstr>'Compute Ephemeris'!Print_Area</vt:lpstr>
      <vt:lpstr>'Compute Ephemeris'!Print_Titles</vt:lpstr>
    </vt:vector>
  </TitlesOfParts>
  <Company>Molczan Software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Molczan</dc:creator>
  <cp:lastModifiedBy>Ted</cp:lastModifiedBy>
  <cp:lastPrinted>2020-12-16T16:36:59Z</cp:lastPrinted>
  <dcterms:created xsi:type="dcterms:W3CDTF">2005-02-02T10:52:37Z</dcterms:created>
  <dcterms:modified xsi:type="dcterms:W3CDTF">2020-12-20T19:34:45Z</dcterms:modified>
</cp:coreProperties>
</file>